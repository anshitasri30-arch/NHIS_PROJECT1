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BE22A62-8171-4A60-9CC7-F63B06CFF745}" xr6:coauthVersionLast="47" xr6:coauthVersionMax="47" xr10:uidLastSave="{00000000-0000-0000-0000-000000000000}"/>
  <bookViews>
    <workbookView xWindow="-108" yWindow="-108" windowWidth="16608" windowHeight="8832" activeTab="4" xr2:uid="{DAFD1048-010A-4E89-A285-FB379BA15F1C}"/>
  </bookViews>
  <sheets>
    <sheet name="Dataset_1" sheetId="2" r:id="rId1"/>
    <sheet name="Dataset_2" sheetId="3" r:id="rId2"/>
    <sheet name="Data set 1&amp; 2Merge " sheetId="1" r:id="rId3"/>
    <sheet name="Dataset_3" sheetId="5" r:id="rId4"/>
    <sheet name="Final Data set " sheetId="16" r:id="rId5"/>
    <sheet name="Dashboard Pivot Table &amp; chart" sheetId="25" r:id="rId6"/>
  </sheets>
  <externalReferences>
    <externalReference r:id="rId7"/>
  </externalReferences>
  <definedNames>
    <definedName name="_xlcn.WorksheetConnection_ANSHITAdataset.xlsxdataset_21" hidden="1">dataset_2[]</definedName>
    <definedName name="_xlcn.WorksheetConnection_ANSHITAdataset.xlsxMerge11" hidden="1">Merge1</definedName>
    <definedName name="ExternalData_1" localSheetId="0" hidden="1">Dataset_1!$A$1:$J$611</definedName>
    <definedName name="ExternalData_2" localSheetId="1" hidden="1">Dataset_2!$A$1:$H$1000</definedName>
    <definedName name="ExternalData_3" localSheetId="4" hidden="1">'Final Data set '!$A$1:$P$1001</definedName>
    <definedName name="ExternalData_4" localSheetId="3" hidden="1">Dataset_3!$A$1:$P$391</definedName>
  </definedNames>
  <calcPr calcId="191029"/>
  <pivotCaches>
    <pivotCache cacheId="30" r:id="rId8"/>
    <pivotCache cacheId="3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rge1" name="Merge1" connection="WorksheetConnection_ANSHITA dataset.xlsx!Merge1"/>
          <x15:modelTable id="dataset_2" name="dataset_2" connection="WorksheetConnection_ANSHITA dataset.xlsx!dataset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01" i="16" l="1"/>
  <c r="X1001" i="16"/>
  <c r="W1001" i="16"/>
  <c r="V1001" i="16"/>
  <c r="U1001" i="16"/>
  <c r="T1001" i="16"/>
  <c r="S1001" i="16"/>
  <c r="R1001" i="16"/>
  <c r="Q1001" i="16"/>
  <c r="Y1000" i="16"/>
  <c r="X1000" i="16"/>
  <c r="W1000" i="16"/>
  <c r="V1000" i="16"/>
  <c r="U1000" i="16"/>
  <c r="T1000" i="16"/>
  <c r="S1000" i="16"/>
  <c r="R1000" i="16"/>
  <c r="Q1000" i="16"/>
  <c r="Y999" i="16"/>
  <c r="X999" i="16"/>
  <c r="W999" i="16"/>
  <c r="V999" i="16"/>
  <c r="U999" i="16"/>
  <c r="T999" i="16"/>
  <c r="S999" i="16"/>
  <c r="R999" i="16"/>
  <c r="Q999" i="16"/>
  <c r="Y998" i="16"/>
  <c r="X998" i="16"/>
  <c r="W998" i="16"/>
  <c r="V998" i="16"/>
  <c r="U998" i="16"/>
  <c r="T998" i="16"/>
  <c r="S998" i="16"/>
  <c r="R998" i="16"/>
  <c r="Q998" i="16"/>
  <c r="Y997" i="16"/>
  <c r="X997" i="16"/>
  <c r="W997" i="16"/>
  <c r="V997" i="16"/>
  <c r="U997" i="16"/>
  <c r="T997" i="16"/>
  <c r="S997" i="16"/>
  <c r="R997" i="16"/>
  <c r="Q997" i="16"/>
  <c r="Y996" i="16"/>
  <c r="X996" i="16"/>
  <c r="W996" i="16"/>
  <c r="V996" i="16"/>
  <c r="U996" i="16"/>
  <c r="T996" i="16"/>
  <c r="S996" i="16"/>
  <c r="R996" i="16"/>
  <c r="Q996" i="16"/>
  <c r="Y995" i="16"/>
  <c r="X995" i="16"/>
  <c r="W995" i="16"/>
  <c r="V995" i="16"/>
  <c r="U995" i="16"/>
  <c r="T995" i="16"/>
  <c r="S995" i="16"/>
  <c r="R995" i="16"/>
  <c r="Q995" i="16"/>
  <c r="Y994" i="16"/>
  <c r="X994" i="16"/>
  <c r="W994" i="16"/>
  <c r="V994" i="16"/>
  <c r="U994" i="16"/>
  <c r="T994" i="16"/>
  <c r="S994" i="16"/>
  <c r="R994" i="16"/>
  <c r="Q994" i="16"/>
  <c r="Y993" i="16"/>
  <c r="X993" i="16"/>
  <c r="W993" i="16"/>
  <c r="V993" i="16"/>
  <c r="U993" i="16"/>
  <c r="T993" i="16"/>
  <c r="S993" i="16"/>
  <c r="R993" i="16"/>
  <c r="Q993" i="16"/>
  <c r="Y992" i="16"/>
  <c r="X992" i="16"/>
  <c r="W992" i="16"/>
  <c r="V992" i="16"/>
  <c r="U992" i="16"/>
  <c r="T992" i="16"/>
  <c r="S992" i="16"/>
  <c r="R992" i="16"/>
  <c r="Q992" i="16"/>
  <c r="Y991" i="16"/>
  <c r="X991" i="16"/>
  <c r="W991" i="16"/>
  <c r="V991" i="16"/>
  <c r="U991" i="16"/>
  <c r="T991" i="16"/>
  <c r="S991" i="16"/>
  <c r="R991" i="16"/>
  <c r="Q991" i="16"/>
  <c r="Y990" i="16"/>
  <c r="X990" i="16"/>
  <c r="W990" i="16"/>
  <c r="V990" i="16"/>
  <c r="U990" i="16"/>
  <c r="T990" i="16"/>
  <c r="S990" i="16"/>
  <c r="R990" i="16"/>
  <c r="Q990" i="16"/>
  <c r="Y989" i="16"/>
  <c r="X989" i="16"/>
  <c r="W989" i="16"/>
  <c r="V989" i="16"/>
  <c r="U989" i="16"/>
  <c r="T989" i="16"/>
  <c r="S989" i="16"/>
  <c r="R989" i="16"/>
  <c r="Q989" i="16"/>
  <c r="Y988" i="16"/>
  <c r="X988" i="16"/>
  <c r="W988" i="16"/>
  <c r="V988" i="16"/>
  <c r="U988" i="16"/>
  <c r="T988" i="16"/>
  <c r="S988" i="16"/>
  <c r="R988" i="16"/>
  <c r="Q988" i="16"/>
  <c r="Y987" i="16"/>
  <c r="X987" i="16"/>
  <c r="W987" i="16"/>
  <c r="V987" i="16"/>
  <c r="U987" i="16"/>
  <c r="T987" i="16"/>
  <c r="S987" i="16"/>
  <c r="R987" i="16"/>
  <c r="Q987" i="16"/>
  <c r="Y986" i="16"/>
  <c r="X986" i="16"/>
  <c r="W986" i="16"/>
  <c r="V986" i="16"/>
  <c r="U986" i="16"/>
  <c r="T986" i="16"/>
  <c r="S986" i="16"/>
  <c r="R986" i="16"/>
  <c r="Q986" i="16"/>
  <c r="Y985" i="16"/>
  <c r="X985" i="16"/>
  <c r="W985" i="16"/>
  <c r="V985" i="16"/>
  <c r="U985" i="16"/>
  <c r="T985" i="16"/>
  <c r="S985" i="16"/>
  <c r="R985" i="16"/>
  <c r="Q985" i="16"/>
  <c r="Y984" i="16"/>
  <c r="X984" i="16"/>
  <c r="W984" i="16"/>
  <c r="V984" i="16"/>
  <c r="U984" i="16"/>
  <c r="T984" i="16"/>
  <c r="S984" i="16"/>
  <c r="R984" i="16"/>
  <c r="Q984" i="16"/>
  <c r="Y983" i="16"/>
  <c r="X983" i="16"/>
  <c r="W983" i="16"/>
  <c r="V983" i="16"/>
  <c r="U983" i="16"/>
  <c r="T983" i="16"/>
  <c r="S983" i="16"/>
  <c r="R983" i="16"/>
  <c r="Q983" i="16"/>
  <c r="Y982" i="16"/>
  <c r="X982" i="16"/>
  <c r="W982" i="16"/>
  <c r="V982" i="16"/>
  <c r="U982" i="16"/>
  <c r="T982" i="16"/>
  <c r="S982" i="16"/>
  <c r="R982" i="16"/>
  <c r="Q982" i="16"/>
  <c r="Y981" i="16"/>
  <c r="X981" i="16"/>
  <c r="W981" i="16"/>
  <c r="V981" i="16"/>
  <c r="U981" i="16"/>
  <c r="T981" i="16"/>
  <c r="S981" i="16"/>
  <c r="R981" i="16"/>
  <c r="Q981" i="16"/>
  <c r="Y980" i="16"/>
  <c r="X980" i="16"/>
  <c r="W980" i="16"/>
  <c r="V980" i="16"/>
  <c r="U980" i="16"/>
  <c r="T980" i="16"/>
  <c r="S980" i="16"/>
  <c r="R980" i="16"/>
  <c r="Q980" i="16"/>
  <c r="Y979" i="16"/>
  <c r="X979" i="16"/>
  <c r="W979" i="16"/>
  <c r="V979" i="16"/>
  <c r="U979" i="16"/>
  <c r="T979" i="16"/>
  <c r="S979" i="16"/>
  <c r="R979" i="16"/>
  <c r="Q979" i="16"/>
  <c r="Y978" i="16"/>
  <c r="X978" i="16"/>
  <c r="W978" i="16"/>
  <c r="V978" i="16"/>
  <c r="U978" i="16"/>
  <c r="T978" i="16"/>
  <c r="S978" i="16"/>
  <c r="R978" i="16"/>
  <c r="Q978" i="16"/>
  <c r="Y977" i="16"/>
  <c r="X977" i="16"/>
  <c r="W977" i="16"/>
  <c r="V977" i="16"/>
  <c r="U977" i="16"/>
  <c r="T977" i="16"/>
  <c r="S977" i="16"/>
  <c r="R977" i="16"/>
  <c r="Q977" i="16"/>
  <c r="Y976" i="16"/>
  <c r="X976" i="16"/>
  <c r="W976" i="16"/>
  <c r="V976" i="16"/>
  <c r="U976" i="16"/>
  <c r="T976" i="16"/>
  <c r="S976" i="16"/>
  <c r="R976" i="16"/>
  <c r="Q976" i="16"/>
  <c r="Y975" i="16"/>
  <c r="X975" i="16"/>
  <c r="W975" i="16"/>
  <c r="V975" i="16"/>
  <c r="U975" i="16"/>
  <c r="T975" i="16"/>
  <c r="S975" i="16"/>
  <c r="R975" i="16"/>
  <c r="Q975" i="16"/>
  <c r="Y974" i="16"/>
  <c r="X974" i="16"/>
  <c r="W974" i="16"/>
  <c r="V974" i="16"/>
  <c r="U974" i="16"/>
  <c r="T974" i="16"/>
  <c r="S974" i="16"/>
  <c r="R974" i="16"/>
  <c r="Q974" i="16"/>
  <c r="Y973" i="16"/>
  <c r="X973" i="16"/>
  <c r="W973" i="16"/>
  <c r="V973" i="16"/>
  <c r="U973" i="16"/>
  <c r="T973" i="16"/>
  <c r="S973" i="16"/>
  <c r="R973" i="16"/>
  <c r="Q973" i="16"/>
  <c r="Y972" i="16"/>
  <c r="X972" i="16"/>
  <c r="W972" i="16"/>
  <c r="V972" i="16"/>
  <c r="U972" i="16"/>
  <c r="T972" i="16"/>
  <c r="S972" i="16"/>
  <c r="R972" i="16"/>
  <c r="Q972" i="16"/>
  <c r="Y971" i="16"/>
  <c r="X971" i="16"/>
  <c r="W971" i="16"/>
  <c r="V971" i="16"/>
  <c r="U971" i="16"/>
  <c r="T971" i="16"/>
  <c r="S971" i="16"/>
  <c r="R971" i="16"/>
  <c r="Q971" i="16"/>
  <c r="Y970" i="16"/>
  <c r="X970" i="16"/>
  <c r="W970" i="16"/>
  <c r="V970" i="16"/>
  <c r="U970" i="16"/>
  <c r="T970" i="16"/>
  <c r="S970" i="16"/>
  <c r="R970" i="16"/>
  <c r="Q970" i="16"/>
  <c r="Y969" i="16"/>
  <c r="X969" i="16"/>
  <c r="W969" i="16"/>
  <c r="V969" i="16"/>
  <c r="U969" i="16"/>
  <c r="T969" i="16"/>
  <c r="S969" i="16"/>
  <c r="R969" i="16"/>
  <c r="Q969" i="16"/>
  <c r="Y968" i="16"/>
  <c r="X968" i="16"/>
  <c r="W968" i="16"/>
  <c r="V968" i="16"/>
  <c r="U968" i="16"/>
  <c r="T968" i="16"/>
  <c r="S968" i="16"/>
  <c r="R968" i="16"/>
  <c r="Q968" i="16"/>
  <c r="Y967" i="16"/>
  <c r="X967" i="16"/>
  <c r="W967" i="16"/>
  <c r="V967" i="16"/>
  <c r="U967" i="16"/>
  <c r="T967" i="16"/>
  <c r="S967" i="16"/>
  <c r="R967" i="16"/>
  <c r="Q967" i="16"/>
  <c r="Y966" i="16"/>
  <c r="X966" i="16"/>
  <c r="W966" i="16"/>
  <c r="V966" i="16"/>
  <c r="U966" i="16"/>
  <c r="T966" i="16"/>
  <c r="S966" i="16"/>
  <c r="R966" i="16"/>
  <c r="Q966" i="16"/>
  <c r="Y965" i="16"/>
  <c r="X965" i="16"/>
  <c r="W965" i="16"/>
  <c r="V965" i="16"/>
  <c r="U965" i="16"/>
  <c r="T965" i="16"/>
  <c r="S965" i="16"/>
  <c r="R965" i="16"/>
  <c r="Q965" i="16"/>
  <c r="Y964" i="16"/>
  <c r="X964" i="16"/>
  <c r="W964" i="16"/>
  <c r="V964" i="16"/>
  <c r="U964" i="16"/>
  <c r="T964" i="16"/>
  <c r="S964" i="16"/>
  <c r="R964" i="16"/>
  <c r="Q964" i="16"/>
  <c r="Y963" i="16"/>
  <c r="X963" i="16"/>
  <c r="W963" i="16"/>
  <c r="V963" i="16"/>
  <c r="U963" i="16"/>
  <c r="T963" i="16"/>
  <c r="S963" i="16"/>
  <c r="R963" i="16"/>
  <c r="Q963" i="16"/>
  <c r="Y962" i="16"/>
  <c r="X962" i="16"/>
  <c r="W962" i="16"/>
  <c r="V962" i="16"/>
  <c r="U962" i="16"/>
  <c r="T962" i="16"/>
  <c r="S962" i="16"/>
  <c r="R962" i="16"/>
  <c r="Q962" i="16"/>
  <c r="Y961" i="16"/>
  <c r="X961" i="16"/>
  <c r="W961" i="16"/>
  <c r="V961" i="16"/>
  <c r="U961" i="16"/>
  <c r="T961" i="16"/>
  <c r="S961" i="16"/>
  <c r="R961" i="16"/>
  <c r="Q961" i="16"/>
  <c r="Y960" i="16"/>
  <c r="X960" i="16"/>
  <c r="W960" i="16"/>
  <c r="V960" i="16"/>
  <c r="U960" i="16"/>
  <c r="T960" i="16"/>
  <c r="S960" i="16"/>
  <c r="R960" i="16"/>
  <c r="Q960" i="16"/>
  <c r="Y959" i="16"/>
  <c r="X959" i="16"/>
  <c r="W959" i="16"/>
  <c r="V959" i="16"/>
  <c r="U959" i="16"/>
  <c r="T959" i="16"/>
  <c r="S959" i="16"/>
  <c r="R959" i="16"/>
  <c r="Q959" i="16"/>
  <c r="Y958" i="16"/>
  <c r="X958" i="16"/>
  <c r="W958" i="16"/>
  <c r="V958" i="16"/>
  <c r="U958" i="16"/>
  <c r="T958" i="16"/>
  <c r="S958" i="16"/>
  <c r="R958" i="16"/>
  <c r="Q958" i="16"/>
  <c r="Y957" i="16"/>
  <c r="X957" i="16"/>
  <c r="W957" i="16"/>
  <c r="V957" i="16"/>
  <c r="U957" i="16"/>
  <c r="T957" i="16"/>
  <c r="S957" i="16"/>
  <c r="R957" i="16"/>
  <c r="Q957" i="16"/>
  <c r="Y956" i="16"/>
  <c r="X956" i="16"/>
  <c r="W956" i="16"/>
  <c r="V956" i="16"/>
  <c r="U956" i="16"/>
  <c r="T956" i="16"/>
  <c r="S956" i="16"/>
  <c r="R956" i="16"/>
  <c r="Q956" i="16"/>
  <c r="Y955" i="16"/>
  <c r="X955" i="16"/>
  <c r="W955" i="16"/>
  <c r="V955" i="16"/>
  <c r="U955" i="16"/>
  <c r="T955" i="16"/>
  <c r="S955" i="16"/>
  <c r="R955" i="16"/>
  <c r="Q955" i="16"/>
  <c r="Y954" i="16"/>
  <c r="X954" i="16"/>
  <c r="W954" i="16"/>
  <c r="V954" i="16"/>
  <c r="U954" i="16"/>
  <c r="T954" i="16"/>
  <c r="S954" i="16"/>
  <c r="R954" i="16"/>
  <c r="Q954" i="16"/>
  <c r="Y953" i="16"/>
  <c r="X953" i="16"/>
  <c r="W953" i="16"/>
  <c r="V953" i="16"/>
  <c r="U953" i="16"/>
  <c r="T953" i="16"/>
  <c r="S953" i="16"/>
  <c r="R953" i="16"/>
  <c r="Q953" i="16"/>
  <c r="Y952" i="16"/>
  <c r="X952" i="16"/>
  <c r="W952" i="16"/>
  <c r="V952" i="16"/>
  <c r="U952" i="16"/>
  <c r="T952" i="16"/>
  <c r="S952" i="16"/>
  <c r="R952" i="16"/>
  <c r="Q952" i="16"/>
  <c r="Y951" i="16"/>
  <c r="X951" i="16"/>
  <c r="W951" i="16"/>
  <c r="V951" i="16"/>
  <c r="U951" i="16"/>
  <c r="T951" i="16"/>
  <c r="S951" i="16"/>
  <c r="R951" i="16"/>
  <c r="Q951" i="16"/>
  <c r="Y950" i="16"/>
  <c r="X950" i="16"/>
  <c r="W950" i="16"/>
  <c r="V950" i="16"/>
  <c r="U950" i="16"/>
  <c r="T950" i="16"/>
  <c r="S950" i="16"/>
  <c r="R950" i="16"/>
  <c r="Q950" i="16"/>
  <c r="Y949" i="16"/>
  <c r="X949" i="16"/>
  <c r="W949" i="16"/>
  <c r="V949" i="16"/>
  <c r="U949" i="16"/>
  <c r="T949" i="16"/>
  <c r="S949" i="16"/>
  <c r="R949" i="16"/>
  <c r="Q949" i="16"/>
  <c r="Y948" i="16"/>
  <c r="X948" i="16"/>
  <c r="W948" i="16"/>
  <c r="V948" i="16"/>
  <c r="U948" i="16"/>
  <c r="T948" i="16"/>
  <c r="S948" i="16"/>
  <c r="R948" i="16"/>
  <c r="Q948" i="16"/>
  <c r="Y947" i="16"/>
  <c r="X947" i="16"/>
  <c r="W947" i="16"/>
  <c r="V947" i="16"/>
  <c r="U947" i="16"/>
  <c r="T947" i="16"/>
  <c r="S947" i="16"/>
  <c r="R947" i="16"/>
  <c r="Q947" i="16"/>
  <c r="Y946" i="16"/>
  <c r="X946" i="16"/>
  <c r="W946" i="16"/>
  <c r="V946" i="16"/>
  <c r="U946" i="16"/>
  <c r="T946" i="16"/>
  <c r="S946" i="16"/>
  <c r="R946" i="16"/>
  <c r="Q946" i="16"/>
  <c r="Y945" i="16"/>
  <c r="X945" i="16"/>
  <c r="W945" i="16"/>
  <c r="V945" i="16"/>
  <c r="U945" i="16"/>
  <c r="T945" i="16"/>
  <c r="S945" i="16"/>
  <c r="R945" i="16"/>
  <c r="Q945" i="16"/>
  <c r="Y944" i="16"/>
  <c r="X944" i="16"/>
  <c r="W944" i="16"/>
  <c r="V944" i="16"/>
  <c r="U944" i="16"/>
  <c r="T944" i="16"/>
  <c r="S944" i="16"/>
  <c r="R944" i="16"/>
  <c r="Q944" i="16"/>
  <c r="Y943" i="16"/>
  <c r="X943" i="16"/>
  <c r="W943" i="16"/>
  <c r="V943" i="16"/>
  <c r="U943" i="16"/>
  <c r="T943" i="16"/>
  <c r="S943" i="16"/>
  <c r="R943" i="16"/>
  <c r="Q943" i="16"/>
  <c r="Y942" i="16"/>
  <c r="X942" i="16"/>
  <c r="W942" i="16"/>
  <c r="V942" i="16"/>
  <c r="U942" i="16"/>
  <c r="T942" i="16"/>
  <c r="S942" i="16"/>
  <c r="R942" i="16"/>
  <c r="Q942" i="16"/>
  <c r="Y941" i="16"/>
  <c r="X941" i="16"/>
  <c r="W941" i="16"/>
  <c r="V941" i="16"/>
  <c r="U941" i="16"/>
  <c r="T941" i="16"/>
  <c r="S941" i="16"/>
  <c r="R941" i="16"/>
  <c r="Q941" i="16"/>
  <c r="Y940" i="16"/>
  <c r="X940" i="16"/>
  <c r="W940" i="16"/>
  <c r="V940" i="16"/>
  <c r="U940" i="16"/>
  <c r="T940" i="16"/>
  <c r="S940" i="16"/>
  <c r="R940" i="16"/>
  <c r="Q940" i="16"/>
  <c r="Y939" i="16"/>
  <c r="X939" i="16"/>
  <c r="W939" i="16"/>
  <c r="V939" i="16"/>
  <c r="U939" i="16"/>
  <c r="T939" i="16"/>
  <c r="S939" i="16"/>
  <c r="R939" i="16"/>
  <c r="Q939" i="16"/>
  <c r="Y938" i="16"/>
  <c r="X938" i="16"/>
  <c r="W938" i="16"/>
  <c r="V938" i="16"/>
  <c r="U938" i="16"/>
  <c r="T938" i="16"/>
  <c r="S938" i="16"/>
  <c r="R938" i="16"/>
  <c r="Q938" i="16"/>
  <c r="Y937" i="16"/>
  <c r="X937" i="16"/>
  <c r="W937" i="16"/>
  <c r="V937" i="16"/>
  <c r="U937" i="16"/>
  <c r="T937" i="16"/>
  <c r="S937" i="16"/>
  <c r="R937" i="16"/>
  <c r="Q937" i="16"/>
  <c r="Y936" i="16"/>
  <c r="X936" i="16"/>
  <c r="W936" i="16"/>
  <c r="V936" i="16"/>
  <c r="U936" i="16"/>
  <c r="T936" i="16"/>
  <c r="S936" i="16"/>
  <c r="R936" i="16"/>
  <c r="Q936" i="16"/>
  <c r="Y935" i="16"/>
  <c r="X935" i="16"/>
  <c r="W935" i="16"/>
  <c r="V935" i="16"/>
  <c r="U935" i="16"/>
  <c r="T935" i="16"/>
  <c r="S935" i="16"/>
  <c r="R935" i="16"/>
  <c r="Q935" i="16"/>
  <c r="Y934" i="16"/>
  <c r="X934" i="16"/>
  <c r="W934" i="16"/>
  <c r="V934" i="16"/>
  <c r="U934" i="16"/>
  <c r="T934" i="16"/>
  <c r="S934" i="16"/>
  <c r="R934" i="16"/>
  <c r="Q934" i="16"/>
  <c r="Y933" i="16"/>
  <c r="X933" i="16"/>
  <c r="W933" i="16"/>
  <c r="V933" i="16"/>
  <c r="U933" i="16"/>
  <c r="T933" i="16"/>
  <c r="S933" i="16"/>
  <c r="R933" i="16"/>
  <c r="Q933" i="16"/>
  <c r="Y932" i="16"/>
  <c r="X932" i="16"/>
  <c r="W932" i="16"/>
  <c r="V932" i="16"/>
  <c r="U932" i="16"/>
  <c r="T932" i="16"/>
  <c r="S932" i="16"/>
  <c r="R932" i="16"/>
  <c r="Q932" i="16"/>
  <c r="Y931" i="16"/>
  <c r="X931" i="16"/>
  <c r="W931" i="16"/>
  <c r="V931" i="16"/>
  <c r="U931" i="16"/>
  <c r="T931" i="16"/>
  <c r="S931" i="16"/>
  <c r="R931" i="16"/>
  <c r="Q931" i="16"/>
  <c r="Y930" i="16"/>
  <c r="X930" i="16"/>
  <c r="W930" i="16"/>
  <c r="V930" i="16"/>
  <c r="U930" i="16"/>
  <c r="T930" i="16"/>
  <c r="S930" i="16"/>
  <c r="R930" i="16"/>
  <c r="Q930" i="16"/>
  <c r="Y929" i="16"/>
  <c r="X929" i="16"/>
  <c r="W929" i="16"/>
  <c r="V929" i="16"/>
  <c r="U929" i="16"/>
  <c r="T929" i="16"/>
  <c r="S929" i="16"/>
  <c r="R929" i="16"/>
  <c r="Q929" i="16"/>
  <c r="Y928" i="16"/>
  <c r="X928" i="16"/>
  <c r="W928" i="16"/>
  <c r="V928" i="16"/>
  <c r="U928" i="16"/>
  <c r="T928" i="16"/>
  <c r="S928" i="16"/>
  <c r="R928" i="16"/>
  <c r="Q928" i="16"/>
  <c r="Y927" i="16"/>
  <c r="X927" i="16"/>
  <c r="W927" i="16"/>
  <c r="V927" i="16"/>
  <c r="U927" i="16"/>
  <c r="T927" i="16"/>
  <c r="S927" i="16"/>
  <c r="R927" i="16"/>
  <c r="Q927" i="16"/>
  <c r="Y926" i="16"/>
  <c r="X926" i="16"/>
  <c r="W926" i="16"/>
  <c r="V926" i="16"/>
  <c r="U926" i="16"/>
  <c r="T926" i="16"/>
  <c r="S926" i="16"/>
  <c r="R926" i="16"/>
  <c r="Q926" i="16"/>
  <c r="Y925" i="16"/>
  <c r="X925" i="16"/>
  <c r="W925" i="16"/>
  <c r="V925" i="16"/>
  <c r="U925" i="16"/>
  <c r="T925" i="16"/>
  <c r="S925" i="16"/>
  <c r="R925" i="16"/>
  <c r="Q925" i="16"/>
  <c r="Y924" i="16"/>
  <c r="X924" i="16"/>
  <c r="W924" i="16"/>
  <c r="V924" i="16"/>
  <c r="U924" i="16"/>
  <c r="T924" i="16"/>
  <c r="S924" i="16"/>
  <c r="R924" i="16"/>
  <c r="Q924" i="16"/>
  <c r="Y923" i="16"/>
  <c r="X923" i="16"/>
  <c r="W923" i="16"/>
  <c r="V923" i="16"/>
  <c r="U923" i="16"/>
  <c r="T923" i="16"/>
  <c r="S923" i="16"/>
  <c r="R923" i="16"/>
  <c r="Q923" i="16"/>
  <c r="Y922" i="16"/>
  <c r="X922" i="16"/>
  <c r="W922" i="16"/>
  <c r="V922" i="16"/>
  <c r="U922" i="16"/>
  <c r="T922" i="16"/>
  <c r="S922" i="16"/>
  <c r="R922" i="16"/>
  <c r="Q922" i="16"/>
  <c r="Y921" i="16"/>
  <c r="X921" i="16"/>
  <c r="W921" i="16"/>
  <c r="V921" i="16"/>
  <c r="U921" i="16"/>
  <c r="T921" i="16"/>
  <c r="S921" i="16"/>
  <c r="R921" i="16"/>
  <c r="Q921" i="16"/>
  <c r="Y920" i="16"/>
  <c r="X920" i="16"/>
  <c r="W920" i="16"/>
  <c r="V920" i="16"/>
  <c r="U920" i="16"/>
  <c r="T920" i="16"/>
  <c r="S920" i="16"/>
  <c r="R920" i="16"/>
  <c r="Q920" i="16"/>
  <c r="Y919" i="16"/>
  <c r="X919" i="16"/>
  <c r="W919" i="16"/>
  <c r="V919" i="16"/>
  <c r="U919" i="16"/>
  <c r="T919" i="16"/>
  <c r="S919" i="16"/>
  <c r="R919" i="16"/>
  <c r="Q919" i="16"/>
  <c r="Y918" i="16"/>
  <c r="X918" i="16"/>
  <c r="W918" i="16"/>
  <c r="V918" i="16"/>
  <c r="U918" i="16"/>
  <c r="T918" i="16"/>
  <c r="S918" i="16"/>
  <c r="R918" i="16"/>
  <c r="Q918" i="16"/>
  <c r="Y917" i="16"/>
  <c r="X917" i="16"/>
  <c r="W917" i="16"/>
  <c r="V917" i="16"/>
  <c r="U917" i="16"/>
  <c r="T917" i="16"/>
  <c r="S917" i="16"/>
  <c r="R917" i="16"/>
  <c r="Q917" i="16"/>
  <c r="Y916" i="16"/>
  <c r="X916" i="16"/>
  <c r="W916" i="16"/>
  <c r="V916" i="16"/>
  <c r="U916" i="16"/>
  <c r="T916" i="16"/>
  <c r="S916" i="16"/>
  <c r="R916" i="16"/>
  <c r="Q916" i="16"/>
  <c r="Y915" i="16"/>
  <c r="X915" i="16"/>
  <c r="W915" i="16"/>
  <c r="V915" i="16"/>
  <c r="U915" i="16"/>
  <c r="T915" i="16"/>
  <c r="S915" i="16"/>
  <c r="R915" i="16"/>
  <c r="Q915" i="16"/>
  <c r="Y914" i="16"/>
  <c r="X914" i="16"/>
  <c r="W914" i="16"/>
  <c r="V914" i="16"/>
  <c r="U914" i="16"/>
  <c r="T914" i="16"/>
  <c r="S914" i="16"/>
  <c r="R914" i="16"/>
  <c r="Q914" i="16"/>
  <c r="Y913" i="16"/>
  <c r="X913" i="16"/>
  <c r="W913" i="16"/>
  <c r="V913" i="16"/>
  <c r="U913" i="16"/>
  <c r="T913" i="16"/>
  <c r="S913" i="16"/>
  <c r="R913" i="16"/>
  <c r="Q913" i="16"/>
  <c r="Y912" i="16"/>
  <c r="X912" i="16"/>
  <c r="W912" i="16"/>
  <c r="V912" i="16"/>
  <c r="U912" i="16"/>
  <c r="T912" i="16"/>
  <c r="S912" i="16"/>
  <c r="R912" i="16"/>
  <c r="Q912" i="16"/>
  <c r="Y911" i="16"/>
  <c r="X911" i="16"/>
  <c r="W911" i="16"/>
  <c r="V911" i="16"/>
  <c r="U911" i="16"/>
  <c r="T911" i="16"/>
  <c r="S911" i="16"/>
  <c r="R911" i="16"/>
  <c r="Q911" i="16"/>
  <c r="Y910" i="16"/>
  <c r="X910" i="16"/>
  <c r="W910" i="16"/>
  <c r="V910" i="16"/>
  <c r="U910" i="16"/>
  <c r="T910" i="16"/>
  <c r="S910" i="16"/>
  <c r="R910" i="16"/>
  <c r="Q910" i="16"/>
  <c r="Y909" i="16"/>
  <c r="X909" i="16"/>
  <c r="W909" i="16"/>
  <c r="V909" i="16"/>
  <c r="U909" i="16"/>
  <c r="T909" i="16"/>
  <c r="S909" i="16"/>
  <c r="R909" i="16"/>
  <c r="Q909" i="16"/>
  <c r="Y908" i="16"/>
  <c r="X908" i="16"/>
  <c r="W908" i="16"/>
  <c r="V908" i="16"/>
  <c r="U908" i="16"/>
  <c r="T908" i="16"/>
  <c r="S908" i="16"/>
  <c r="R908" i="16"/>
  <c r="Q908" i="16"/>
  <c r="Y907" i="16"/>
  <c r="X907" i="16"/>
  <c r="W907" i="16"/>
  <c r="V907" i="16"/>
  <c r="U907" i="16"/>
  <c r="T907" i="16"/>
  <c r="S907" i="16"/>
  <c r="R907" i="16"/>
  <c r="Q907" i="16"/>
  <c r="Y906" i="16"/>
  <c r="X906" i="16"/>
  <c r="W906" i="16"/>
  <c r="V906" i="16"/>
  <c r="U906" i="16"/>
  <c r="T906" i="16"/>
  <c r="S906" i="16"/>
  <c r="R906" i="16"/>
  <c r="Q906" i="16"/>
  <c r="Y905" i="16"/>
  <c r="X905" i="16"/>
  <c r="W905" i="16"/>
  <c r="V905" i="16"/>
  <c r="U905" i="16"/>
  <c r="T905" i="16"/>
  <c r="S905" i="16"/>
  <c r="R905" i="16"/>
  <c r="Q905" i="16"/>
  <c r="Y904" i="16"/>
  <c r="X904" i="16"/>
  <c r="W904" i="16"/>
  <c r="V904" i="16"/>
  <c r="U904" i="16"/>
  <c r="T904" i="16"/>
  <c r="S904" i="16"/>
  <c r="R904" i="16"/>
  <c r="Q904" i="16"/>
  <c r="Y903" i="16"/>
  <c r="X903" i="16"/>
  <c r="W903" i="16"/>
  <c r="V903" i="16"/>
  <c r="U903" i="16"/>
  <c r="T903" i="16"/>
  <c r="S903" i="16"/>
  <c r="R903" i="16"/>
  <c r="Q903" i="16"/>
  <c r="Y902" i="16"/>
  <c r="X902" i="16"/>
  <c r="W902" i="16"/>
  <c r="V902" i="16"/>
  <c r="U902" i="16"/>
  <c r="T902" i="16"/>
  <c r="S902" i="16"/>
  <c r="R902" i="16"/>
  <c r="Q902" i="16"/>
  <c r="Y901" i="16"/>
  <c r="X901" i="16"/>
  <c r="W901" i="16"/>
  <c r="V901" i="16"/>
  <c r="U901" i="16"/>
  <c r="T901" i="16"/>
  <c r="S901" i="16"/>
  <c r="R901" i="16"/>
  <c r="Q901" i="16"/>
  <c r="Y900" i="16"/>
  <c r="X900" i="16"/>
  <c r="W900" i="16"/>
  <c r="V900" i="16"/>
  <c r="U900" i="16"/>
  <c r="T900" i="16"/>
  <c r="S900" i="16"/>
  <c r="R900" i="16"/>
  <c r="Q900" i="16"/>
  <c r="Y899" i="16"/>
  <c r="X899" i="16"/>
  <c r="W899" i="16"/>
  <c r="V899" i="16"/>
  <c r="U899" i="16"/>
  <c r="T899" i="16"/>
  <c r="S899" i="16"/>
  <c r="R899" i="16"/>
  <c r="Q899" i="16"/>
  <c r="Y898" i="16"/>
  <c r="X898" i="16"/>
  <c r="W898" i="16"/>
  <c r="V898" i="16"/>
  <c r="U898" i="16"/>
  <c r="T898" i="16"/>
  <c r="S898" i="16"/>
  <c r="R898" i="16"/>
  <c r="Q898" i="16"/>
  <c r="Y897" i="16"/>
  <c r="X897" i="16"/>
  <c r="W897" i="16"/>
  <c r="V897" i="16"/>
  <c r="U897" i="16"/>
  <c r="T897" i="16"/>
  <c r="S897" i="16"/>
  <c r="R897" i="16"/>
  <c r="Q897" i="16"/>
  <c r="Y896" i="16"/>
  <c r="X896" i="16"/>
  <c r="W896" i="16"/>
  <c r="V896" i="16"/>
  <c r="U896" i="16"/>
  <c r="T896" i="16"/>
  <c r="S896" i="16"/>
  <c r="R896" i="16"/>
  <c r="Q896" i="16"/>
  <c r="Y895" i="16"/>
  <c r="X895" i="16"/>
  <c r="W895" i="16"/>
  <c r="V895" i="16"/>
  <c r="U895" i="16"/>
  <c r="T895" i="16"/>
  <c r="S895" i="16"/>
  <c r="R895" i="16"/>
  <c r="Q895" i="16"/>
  <c r="Y894" i="16"/>
  <c r="X894" i="16"/>
  <c r="W894" i="16"/>
  <c r="V894" i="16"/>
  <c r="U894" i="16"/>
  <c r="T894" i="16"/>
  <c r="S894" i="16"/>
  <c r="R894" i="16"/>
  <c r="Q894" i="16"/>
  <c r="Y893" i="16"/>
  <c r="X893" i="16"/>
  <c r="W893" i="16"/>
  <c r="V893" i="16"/>
  <c r="U893" i="16"/>
  <c r="T893" i="16"/>
  <c r="S893" i="16"/>
  <c r="R893" i="16"/>
  <c r="Q893" i="16"/>
  <c r="Y892" i="16"/>
  <c r="X892" i="16"/>
  <c r="W892" i="16"/>
  <c r="V892" i="16"/>
  <c r="U892" i="16"/>
  <c r="T892" i="16"/>
  <c r="S892" i="16"/>
  <c r="R892" i="16"/>
  <c r="Q892" i="16"/>
  <c r="Y891" i="16"/>
  <c r="X891" i="16"/>
  <c r="W891" i="16"/>
  <c r="V891" i="16"/>
  <c r="U891" i="16"/>
  <c r="T891" i="16"/>
  <c r="S891" i="16"/>
  <c r="R891" i="16"/>
  <c r="Q891" i="16"/>
  <c r="Y890" i="16"/>
  <c r="X890" i="16"/>
  <c r="W890" i="16"/>
  <c r="V890" i="16"/>
  <c r="U890" i="16"/>
  <c r="T890" i="16"/>
  <c r="S890" i="16"/>
  <c r="R890" i="16"/>
  <c r="Q890" i="16"/>
  <c r="Y889" i="16"/>
  <c r="X889" i="16"/>
  <c r="W889" i="16"/>
  <c r="V889" i="16"/>
  <c r="U889" i="16"/>
  <c r="T889" i="16"/>
  <c r="S889" i="16"/>
  <c r="R889" i="16"/>
  <c r="Q889" i="16"/>
  <c r="Y888" i="16"/>
  <c r="X888" i="16"/>
  <c r="W888" i="16"/>
  <c r="V888" i="16"/>
  <c r="U888" i="16"/>
  <c r="T888" i="16"/>
  <c r="S888" i="16"/>
  <c r="R888" i="16"/>
  <c r="Q888" i="16"/>
  <c r="Y887" i="16"/>
  <c r="X887" i="16"/>
  <c r="W887" i="16"/>
  <c r="V887" i="16"/>
  <c r="U887" i="16"/>
  <c r="T887" i="16"/>
  <c r="S887" i="16"/>
  <c r="R887" i="16"/>
  <c r="Q887" i="16"/>
  <c r="Y886" i="16"/>
  <c r="X886" i="16"/>
  <c r="W886" i="16"/>
  <c r="V886" i="16"/>
  <c r="U886" i="16"/>
  <c r="T886" i="16"/>
  <c r="S886" i="16"/>
  <c r="R886" i="16"/>
  <c r="Q886" i="16"/>
  <c r="Y885" i="16"/>
  <c r="X885" i="16"/>
  <c r="W885" i="16"/>
  <c r="V885" i="16"/>
  <c r="U885" i="16"/>
  <c r="T885" i="16"/>
  <c r="S885" i="16"/>
  <c r="R885" i="16"/>
  <c r="Q885" i="16"/>
  <c r="Y884" i="16"/>
  <c r="X884" i="16"/>
  <c r="W884" i="16"/>
  <c r="V884" i="16"/>
  <c r="U884" i="16"/>
  <c r="T884" i="16"/>
  <c r="S884" i="16"/>
  <c r="R884" i="16"/>
  <c r="Q884" i="16"/>
  <c r="Y883" i="16"/>
  <c r="X883" i="16"/>
  <c r="W883" i="16"/>
  <c r="V883" i="16"/>
  <c r="U883" i="16"/>
  <c r="T883" i="16"/>
  <c r="S883" i="16"/>
  <c r="R883" i="16"/>
  <c r="Q883" i="16"/>
  <c r="Y882" i="16"/>
  <c r="X882" i="16"/>
  <c r="W882" i="16"/>
  <c r="V882" i="16"/>
  <c r="U882" i="16"/>
  <c r="T882" i="16"/>
  <c r="S882" i="16"/>
  <c r="R882" i="16"/>
  <c r="Q882" i="16"/>
  <c r="Y881" i="16"/>
  <c r="X881" i="16"/>
  <c r="W881" i="16"/>
  <c r="V881" i="16"/>
  <c r="U881" i="16"/>
  <c r="T881" i="16"/>
  <c r="S881" i="16"/>
  <c r="R881" i="16"/>
  <c r="Q881" i="16"/>
  <c r="Y880" i="16"/>
  <c r="X880" i="16"/>
  <c r="W880" i="16"/>
  <c r="V880" i="16"/>
  <c r="U880" i="16"/>
  <c r="T880" i="16"/>
  <c r="S880" i="16"/>
  <c r="R880" i="16"/>
  <c r="Q880" i="16"/>
  <c r="Y879" i="16"/>
  <c r="X879" i="16"/>
  <c r="W879" i="16"/>
  <c r="V879" i="16"/>
  <c r="U879" i="16"/>
  <c r="T879" i="16"/>
  <c r="S879" i="16"/>
  <c r="R879" i="16"/>
  <c r="Q879" i="16"/>
  <c r="Y878" i="16"/>
  <c r="X878" i="16"/>
  <c r="W878" i="16"/>
  <c r="V878" i="16"/>
  <c r="U878" i="16"/>
  <c r="T878" i="16"/>
  <c r="S878" i="16"/>
  <c r="R878" i="16"/>
  <c r="Q878" i="16"/>
  <c r="Y877" i="16"/>
  <c r="X877" i="16"/>
  <c r="W877" i="16"/>
  <c r="V877" i="16"/>
  <c r="U877" i="16"/>
  <c r="T877" i="16"/>
  <c r="S877" i="16"/>
  <c r="R877" i="16"/>
  <c r="Q877" i="16"/>
  <c r="Y876" i="16"/>
  <c r="X876" i="16"/>
  <c r="W876" i="16"/>
  <c r="V876" i="16"/>
  <c r="U876" i="16"/>
  <c r="T876" i="16"/>
  <c r="S876" i="16"/>
  <c r="R876" i="16"/>
  <c r="Q876" i="16"/>
  <c r="Y875" i="16"/>
  <c r="X875" i="16"/>
  <c r="W875" i="16"/>
  <c r="V875" i="16"/>
  <c r="U875" i="16"/>
  <c r="T875" i="16"/>
  <c r="S875" i="16"/>
  <c r="R875" i="16"/>
  <c r="Q875" i="16"/>
  <c r="Y874" i="16"/>
  <c r="X874" i="16"/>
  <c r="W874" i="16"/>
  <c r="V874" i="16"/>
  <c r="U874" i="16"/>
  <c r="T874" i="16"/>
  <c r="S874" i="16"/>
  <c r="R874" i="16"/>
  <c r="Q874" i="16"/>
  <c r="Y873" i="16"/>
  <c r="X873" i="16"/>
  <c r="W873" i="16"/>
  <c r="V873" i="16"/>
  <c r="U873" i="16"/>
  <c r="T873" i="16"/>
  <c r="S873" i="16"/>
  <c r="R873" i="16"/>
  <c r="Q873" i="16"/>
  <c r="Y872" i="16"/>
  <c r="X872" i="16"/>
  <c r="W872" i="16"/>
  <c r="V872" i="16"/>
  <c r="U872" i="16"/>
  <c r="T872" i="16"/>
  <c r="S872" i="16"/>
  <c r="R872" i="16"/>
  <c r="Q872" i="16"/>
  <c r="Y871" i="16"/>
  <c r="X871" i="16"/>
  <c r="W871" i="16"/>
  <c r="V871" i="16"/>
  <c r="U871" i="16"/>
  <c r="T871" i="16"/>
  <c r="S871" i="16"/>
  <c r="R871" i="16"/>
  <c r="Q871" i="16"/>
  <c r="Y870" i="16"/>
  <c r="X870" i="16"/>
  <c r="W870" i="16"/>
  <c r="V870" i="16"/>
  <c r="U870" i="16"/>
  <c r="T870" i="16"/>
  <c r="S870" i="16"/>
  <c r="R870" i="16"/>
  <c r="Q870" i="16"/>
  <c r="Y869" i="16"/>
  <c r="X869" i="16"/>
  <c r="W869" i="16"/>
  <c r="V869" i="16"/>
  <c r="U869" i="16"/>
  <c r="T869" i="16"/>
  <c r="S869" i="16"/>
  <c r="R869" i="16"/>
  <c r="Q869" i="16"/>
  <c r="Y868" i="16"/>
  <c r="X868" i="16"/>
  <c r="W868" i="16"/>
  <c r="V868" i="16"/>
  <c r="U868" i="16"/>
  <c r="T868" i="16"/>
  <c r="S868" i="16"/>
  <c r="R868" i="16"/>
  <c r="Q868" i="16"/>
  <c r="Y867" i="16"/>
  <c r="X867" i="16"/>
  <c r="W867" i="16"/>
  <c r="V867" i="16"/>
  <c r="U867" i="16"/>
  <c r="T867" i="16"/>
  <c r="S867" i="16"/>
  <c r="R867" i="16"/>
  <c r="Q867" i="16"/>
  <c r="Y866" i="16"/>
  <c r="X866" i="16"/>
  <c r="W866" i="16"/>
  <c r="V866" i="16"/>
  <c r="U866" i="16"/>
  <c r="T866" i="16"/>
  <c r="S866" i="16"/>
  <c r="R866" i="16"/>
  <c r="Q866" i="16"/>
  <c r="Y865" i="16"/>
  <c r="X865" i="16"/>
  <c r="W865" i="16"/>
  <c r="V865" i="16"/>
  <c r="U865" i="16"/>
  <c r="T865" i="16"/>
  <c r="S865" i="16"/>
  <c r="R865" i="16"/>
  <c r="Q865" i="16"/>
  <c r="Y864" i="16"/>
  <c r="X864" i="16"/>
  <c r="W864" i="16"/>
  <c r="V864" i="16"/>
  <c r="U864" i="16"/>
  <c r="T864" i="16"/>
  <c r="S864" i="16"/>
  <c r="R864" i="16"/>
  <c r="Q864" i="16"/>
  <c r="Y863" i="16"/>
  <c r="X863" i="16"/>
  <c r="W863" i="16"/>
  <c r="V863" i="16"/>
  <c r="U863" i="16"/>
  <c r="T863" i="16"/>
  <c r="S863" i="16"/>
  <c r="R863" i="16"/>
  <c r="Q863" i="16"/>
  <c r="Y862" i="16"/>
  <c r="X862" i="16"/>
  <c r="W862" i="16"/>
  <c r="V862" i="16"/>
  <c r="U862" i="16"/>
  <c r="T862" i="16"/>
  <c r="S862" i="16"/>
  <c r="R862" i="16"/>
  <c r="Q862" i="16"/>
  <c r="Y861" i="16"/>
  <c r="X861" i="16"/>
  <c r="W861" i="16"/>
  <c r="V861" i="16"/>
  <c r="U861" i="16"/>
  <c r="T861" i="16"/>
  <c r="S861" i="16"/>
  <c r="R861" i="16"/>
  <c r="Q861" i="16"/>
  <c r="Y860" i="16"/>
  <c r="X860" i="16"/>
  <c r="W860" i="16"/>
  <c r="V860" i="16"/>
  <c r="U860" i="16"/>
  <c r="T860" i="16"/>
  <c r="S860" i="16"/>
  <c r="R860" i="16"/>
  <c r="Q860" i="16"/>
  <c r="Y859" i="16"/>
  <c r="X859" i="16"/>
  <c r="W859" i="16"/>
  <c r="V859" i="16"/>
  <c r="U859" i="16"/>
  <c r="T859" i="16"/>
  <c r="S859" i="16"/>
  <c r="R859" i="16"/>
  <c r="Q859" i="16"/>
  <c r="Y858" i="16"/>
  <c r="X858" i="16"/>
  <c r="W858" i="16"/>
  <c r="V858" i="16"/>
  <c r="U858" i="16"/>
  <c r="T858" i="16"/>
  <c r="S858" i="16"/>
  <c r="R858" i="16"/>
  <c r="Q858" i="16"/>
  <c r="Y857" i="16"/>
  <c r="X857" i="16"/>
  <c r="W857" i="16"/>
  <c r="V857" i="16"/>
  <c r="U857" i="16"/>
  <c r="T857" i="16"/>
  <c r="S857" i="16"/>
  <c r="R857" i="16"/>
  <c r="Q857" i="16"/>
  <c r="Y856" i="16"/>
  <c r="X856" i="16"/>
  <c r="W856" i="16"/>
  <c r="V856" i="16"/>
  <c r="U856" i="16"/>
  <c r="T856" i="16"/>
  <c r="S856" i="16"/>
  <c r="R856" i="16"/>
  <c r="Q856" i="16"/>
  <c r="Y855" i="16"/>
  <c r="X855" i="16"/>
  <c r="W855" i="16"/>
  <c r="V855" i="16"/>
  <c r="U855" i="16"/>
  <c r="T855" i="16"/>
  <c r="S855" i="16"/>
  <c r="R855" i="16"/>
  <c r="Q855" i="16"/>
  <c r="Y854" i="16"/>
  <c r="X854" i="16"/>
  <c r="W854" i="16"/>
  <c r="V854" i="16"/>
  <c r="U854" i="16"/>
  <c r="T854" i="16"/>
  <c r="S854" i="16"/>
  <c r="R854" i="16"/>
  <c r="Q854" i="16"/>
  <c r="Y853" i="16"/>
  <c r="X853" i="16"/>
  <c r="W853" i="16"/>
  <c r="V853" i="16"/>
  <c r="U853" i="16"/>
  <c r="T853" i="16"/>
  <c r="S853" i="16"/>
  <c r="R853" i="16"/>
  <c r="Q853" i="16"/>
  <c r="Y852" i="16"/>
  <c r="X852" i="16"/>
  <c r="W852" i="16"/>
  <c r="V852" i="16"/>
  <c r="U852" i="16"/>
  <c r="T852" i="16"/>
  <c r="S852" i="16"/>
  <c r="R852" i="16"/>
  <c r="Q852" i="16"/>
  <c r="Y851" i="16"/>
  <c r="X851" i="16"/>
  <c r="W851" i="16"/>
  <c r="V851" i="16"/>
  <c r="U851" i="16"/>
  <c r="T851" i="16"/>
  <c r="S851" i="16"/>
  <c r="R851" i="16"/>
  <c r="Q851" i="16"/>
  <c r="Y850" i="16"/>
  <c r="X850" i="16"/>
  <c r="W850" i="16"/>
  <c r="V850" i="16"/>
  <c r="U850" i="16"/>
  <c r="T850" i="16"/>
  <c r="S850" i="16"/>
  <c r="R850" i="16"/>
  <c r="Q850" i="16"/>
  <c r="Y849" i="16"/>
  <c r="X849" i="16"/>
  <c r="W849" i="16"/>
  <c r="V849" i="16"/>
  <c r="U849" i="16"/>
  <c r="T849" i="16"/>
  <c r="S849" i="16"/>
  <c r="R849" i="16"/>
  <c r="Q849" i="16"/>
  <c r="Y848" i="16"/>
  <c r="X848" i="16"/>
  <c r="W848" i="16"/>
  <c r="V848" i="16"/>
  <c r="U848" i="16"/>
  <c r="T848" i="16"/>
  <c r="S848" i="16"/>
  <c r="R848" i="16"/>
  <c r="Q848" i="16"/>
  <c r="Y847" i="16"/>
  <c r="X847" i="16"/>
  <c r="W847" i="16"/>
  <c r="V847" i="16"/>
  <c r="U847" i="16"/>
  <c r="T847" i="16"/>
  <c r="S847" i="16"/>
  <c r="R847" i="16"/>
  <c r="Q847" i="16"/>
  <c r="Y846" i="16"/>
  <c r="X846" i="16"/>
  <c r="W846" i="16"/>
  <c r="V846" i="16"/>
  <c r="U846" i="16"/>
  <c r="T846" i="16"/>
  <c r="S846" i="16"/>
  <c r="R846" i="16"/>
  <c r="Q846" i="16"/>
  <c r="Y845" i="16"/>
  <c r="X845" i="16"/>
  <c r="W845" i="16"/>
  <c r="V845" i="16"/>
  <c r="U845" i="16"/>
  <c r="T845" i="16"/>
  <c r="S845" i="16"/>
  <c r="R845" i="16"/>
  <c r="Q845" i="16"/>
  <c r="Y844" i="16"/>
  <c r="X844" i="16"/>
  <c r="W844" i="16"/>
  <c r="V844" i="16"/>
  <c r="U844" i="16"/>
  <c r="T844" i="16"/>
  <c r="S844" i="16"/>
  <c r="R844" i="16"/>
  <c r="Q844" i="16"/>
  <c r="Y843" i="16"/>
  <c r="X843" i="16"/>
  <c r="W843" i="16"/>
  <c r="V843" i="16"/>
  <c r="U843" i="16"/>
  <c r="T843" i="16"/>
  <c r="S843" i="16"/>
  <c r="R843" i="16"/>
  <c r="Q843" i="16"/>
  <c r="Y842" i="16"/>
  <c r="X842" i="16"/>
  <c r="W842" i="16"/>
  <c r="V842" i="16"/>
  <c r="U842" i="16"/>
  <c r="T842" i="16"/>
  <c r="S842" i="16"/>
  <c r="R842" i="16"/>
  <c r="Q842" i="16"/>
  <c r="Y841" i="16"/>
  <c r="X841" i="16"/>
  <c r="W841" i="16"/>
  <c r="V841" i="16"/>
  <c r="U841" i="16"/>
  <c r="T841" i="16"/>
  <c r="S841" i="16"/>
  <c r="R841" i="16"/>
  <c r="Q841" i="16"/>
  <c r="Y840" i="16"/>
  <c r="X840" i="16"/>
  <c r="W840" i="16"/>
  <c r="V840" i="16"/>
  <c r="U840" i="16"/>
  <c r="T840" i="16"/>
  <c r="S840" i="16"/>
  <c r="R840" i="16"/>
  <c r="Q840" i="16"/>
  <c r="Y839" i="16"/>
  <c r="X839" i="16"/>
  <c r="W839" i="16"/>
  <c r="V839" i="16"/>
  <c r="U839" i="16"/>
  <c r="T839" i="16"/>
  <c r="S839" i="16"/>
  <c r="R839" i="16"/>
  <c r="Q839" i="16"/>
  <c r="Y838" i="16"/>
  <c r="X838" i="16"/>
  <c r="W838" i="16"/>
  <c r="V838" i="16"/>
  <c r="U838" i="16"/>
  <c r="T838" i="16"/>
  <c r="S838" i="16"/>
  <c r="R838" i="16"/>
  <c r="Q838" i="16"/>
  <c r="Y837" i="16"/>
  <c r="X837" i="16"/>
  <c r="W837" i="16"/>
  <c r="V837" i="16"/>
  <c r="U837" i="16"/>
  <c r="T837" i="16"/>
  <c r="S837" i="16"/>
  <c r="R837" i="16"/>
  <c r="Q837" i="16"/>
  <c r="Y836" i="16"/>
  <c r="X836" i="16"/>
  <c r="W836" i="16"/>
  <c r="V836" i="16"/>
  <c r="U836" i="16"/>
  <c r="T836" i="16"/>
  <c r="S836" i="16"/>
  <c r="R836" i="16"/>
  <c r="Q836" i="16"/>
  <c r="Y835" i="16"/>
  <c r="X835" i="16"/>
  <c r="W835" i="16"/>
  <c r="V835" i="16"/>
  <c r="U835" i="16"/>
  <c r="T835" i="16"/>
  <c r="S835" i="16"/>
  <c r="R835" i="16"/>
  <c r="Q835" i="16"/>
  <c r="Y834" i="16"/>
  <c r="X834" i="16"/>
  <c r="W834" i="16"/>
  <c r="V834" i="16"/>
  <c r="U834" i="16"/>
  <c r="T834" i="16"/>
  <c r="S834" i="16"/>
  <c r="R834" i="16"/>
  <c r="Q834" i="16"/>
  <c r="Y833" i="16"/>
  <c r="X833" i="16"/>
  <c r="W833" i="16"/>
  <c r="V833" i="16"/>
  <c r="U833" i="16"/>
  <c r="T833" i="16"/>
  <c r="S833" i="16"/>
  <c r="R833" i="16"/>
  <c r="Q833" i="16"/>
  <c r="Y832" i="16"/>
  <c r="X832" i="16"/>
  <c r="W832" i="16"/>
  <c r="V832" i="16"/>
  <c r="U832" i="16"/>
  <c r="T832" i="16"/>
  <c r="S832" i="16"/>
  <c r="R832" i="16"/>
  <c r="Q832" i="16"/>
  <c r="Y831" i="16"/>
  <c r="X831" i="16"/>
  <c r="W831" i="16"/>
  <c r="V831" i="16"/>
  <c r="U831" i="16"/>
  <c r="T831" i="16"/>
  <c r="S831" i="16"/>
  <c r="R831" i="16"/>
  <c r="Q831" i="16"/>
  <c r="Y830" i="16"/>
  <c r="X830" i="16"/>
  <c r="W830" i="16"/>
  <c r="V830" i="16"/>
  <c r="U830" i="16"/>
  <c r="T830" i="16"/>
  <c r="S830" i="16"/>
  <c r="R830" i="16"/>
  <c r="Q830" i="16"/>
  <c r="Y829" i="16"/>
  <c r="X829" i="16"/>
  <c r="W829" i="16"/>
  <c r="V829" i="16"/>
  <c r="U829" i="16"/>
  <c r="T829" i="16"/>
  <c r="S829" i="16"/>
  <c r="R829" i="16"/>
  <c r="Q829" i="16"/>
  <c r="Y828" i="16"/>
  <c r="X828" i="16"/>
  <c r="W828" i="16"/>
  <c r="V828" i="16"/>
  <c r="U828" i="16"/>
  <c r="T828" i="16"/>
  <c r="S828" i="16"/>
  <c r="R828" i="16"/>
  <c r="Q828" i="16"/>
  <c r="Y827" i="16"/>
  <c r="X827" i="16"/>
  <c r="W827" i="16"/>
  <c r="V827" i="16"/>
  <c r="U827" i="16"/>
  <c r="T827" i="16"/>
  <c r="S827" i="16"/>
  <c r="R827" i="16"/>
  <c r="Q827" i="16"/>
  <c r="Y826" i="16"/>
  <c r="X826" i="16"/>
  <c r="W826" i="16"/>
  <c r="V826" i="16"/>
  <c r="U826" i="16"/>
  <c r="T826" i="16"/>
  <c r="S826" i="16"/>
  <c r="R826" i="16"/>
  <c r="Q826" i="16"/>
  <c r="Y825" i="16"/>
  <c r="X825" i="16"/>
  <c r="W825" i="16"/>
  <c r="V825" i="16"/>
  <c r="U825" i="16"/>
  <c r="T825" i="16"/>
  <c r="S825" i="16"/>
  <c r="R825" i="16"/>
  <c r="Q825" i="16"/>
  <c r="Y824" i="16"/>
  <c r="X824" i="16"/>
  <c r="W824" i="16"/>
  <c r="V824" i="16"/>
  <c r="U824" i="16"/>
  <c r="T824" i="16"/>
  <c r="S824" i="16"/>
  <c r="R824" i="16"/>
  <c r="Q824" i="16"/>
  <c r="Y823" i="16"/>
  <c r="X823" i="16"/>
  <c r="W823" i="16"/>
  <c r="V823" i="16"/>
  <c r="U823" i="16"/>
  <c r="T823" i="16"/>
  <c r="S823" i="16"/>
  <c r="R823" i="16"/>
  <c r="Q823" i="16"/>
  <c r="Y822" i="16"/>
  <c r="X822" i="16"/>
  <c r="W822" i="16"/>
  <c r="V822" i="16"/>
  <c r="U822" i="16"/>
  <c r="T822" i="16"/>
  <c r="S822" i="16"/>
  <c r="R822" i="16"/>
  <c r="Q822" i="16"/>
  <c r="Y821" i="16"/>
  <c r="X821" i="16"/>
  <c r="W821" i="16"/>
  <c r="V821" i="16"/>
  <c r="U821" i="16"/>
  <c r="T821" i="16"/>
  <c r="S821" i="16"/>
  <c r="R821" i="16"/>
  <c r="Q821" i="16"/>
  <c r="Y820" i="16"/>
  <c r="X820" i="16"/>
  <c r="W820" i="16"/>
  <c r="V820" i="16"/>
  <c r="U820" i="16"/>
  <c r="T820" i="16"/>
  <c r="S820" i="16"/>
  <c r="R820" i="16"/>
  <c r="Q820" i="16"/>
  <c r="Y819" i="16"/>
  <c r="X819" i="16"/>
  <c r="W819" i="16"/>
  <c r="V819" i="16"/>
  <c r="U819" i="16"/>
  <c r="T819" i="16"/>
  <c r="S819" i="16"/>
  <c r="R819" i="16"/>
  <c r="Q819" i="16"/>
  <c r="Y818" i="16"/>
  <c r="X818" i="16"/>
  <c r="W818" i="16"/>
  <c r="V818" i="16"/>
  <c r="U818" i="16"/>
  <c r="T818" i="16"/>
  <c r="S818" i="16"/>
  <c r="R818" i="16"/>
  <c r="Q818" i="16"/>
  <c r="Y817" i="16"/>
  <c r="X817" i="16"/>
  <c r="W817" i="16"/>
  <c r="V817" i="16"/>
  <c r="U817" i="16"/>
  <c r="T817" i="16"/>
  <c r="S817" i="16"/>
  <c r="R817" i="16"/>
  <c r="Q817" i="16"/>
  <c r="Y816" i="16"/>
  <c r="X816" i="16"/>
  <c r="W816" i="16"/>
  <c r="V816" i="16"/>
  <c r="U816" i="16"/>
  <c r="T816" i="16"/>
  <c r="S816" i="16"/>
  <c r="R816" i="16"/>
  <c r="Q816" i="16"/>
  <c r="Y815" i="16"/>
  <c r="X815" i="16"/>
  <c r="W815" i="16"/>
  <c r="V815" i="16"/>
  <c r="U815" i="16"/>
  <c r="T815" i="16"/>
  <c r="S815" i="16"/>
  <c r="R815" i="16"/>
  <c r="Q815" i="16"/>
  <c r="Y814" i="16"/>
  <c r="X814" i="16"/>
  <c r="W814" i="16"/>
  <c r="V814" i="16"/>
  <c r="U814" i="16"/>
  <c r="T814" i="16"/>
  <c r="S814" i="16"/>
  <c r="R814" i="16"/>
  <c r="Q814" i="16"/>
  <c r="Y813" i="16"/>
  <c r="X813" i="16"/>
  <c r="W813" i="16"/>
  <c r="V813" i="16"/>
  <c r="U813" i="16"/>
  <c r="T813" i="16"/>
  <c r="S813" i="16"/>
  <c r="R813" i="16"/>
  <c r="Q813" i="16"/>
  <c r="Y812" i="16"/>
  <c r="X812" i="16"/>
  <c r="W812" i="16"/>
  <c r="V812" i="16"/>
  <c r="U812" i="16"/>
  <c r="T812" i="16"/>
  <c r="S812" i="16"/>
  <c r="R812" i="16"/>
  <c r="Q812" i="16"/>
  <c r="Y811" i="16"/>
  <c r="X811" i="16"/>
  <c r="W811" i="16"/>
  <c r="V811" i="16"/>
  <c r="U811" i="16"/>
  <c r="T811" i="16"/>
  <c r="S811" i="16"/>
  <c r="R811" i="16"/>
  <c r="Q811" i="16"/>
  <c r="Y810" i="16"/>
  <c r="X810" i="16"/>
  <c r="W810" i="16"/>
  <c r="V810" i="16"/>
  <c r="U810" i="16"/>
  <c r="T810" i="16"/>
  <c r="S810" i="16"/>
  <c r="R810" i="16"/>
  <c r="Q810" i="16"/>
  <c r="Y809" i="16"/>
  <c r="X809" i="16"/>
  <c r="W809" i="16"/>
  <c r="V809" i="16"/>
  <c r="U809" i="16"/>
  <c r="T809" i="16"/>
  <c r="S809" i="16"/>
  <c r="R809" i="16"/>
  <c r="Q809" i="16"/>
  <c r="Y808" i="16"/>
  <c r="X808" i="16"/>
  <c r="W808" i="16"/>
  <c r="V808" i="16"/>
  <c r="U808" i="16"/>
  <c r="T808" i="16"/>
  <c r="S808" i="16"/>
  <c r="R808" i="16"/>
  <c r="Q808" i="16"/>
  <c r="Y807" i="16"/>
  <c r="X807" i="16"/>
  <c r="W807" i="16"/>
  <c r="V807" i="16"/>
  <c r="U807" i="16"/>
  <c r="T807" i="16"/>
  <c r="S807" i="16"/>
  <c r="R807" i="16"/>
  <c r="Q807" i="16"/>
  <c r="Y806" i="16"/>
  <c r="X806" i="16"/>
  <c r="W806" i="16"/>
  <c r="V806" i="16"/>
  <c r="U806" i="16"/>
  <c r="T806" i="16"/>
  <c r="S806" i="16"/>
  <c r="R806" i="16"/>
  <c r="Q806" i="16"/>
  <c r="Y805" i="16"/>
  <c r="X805" i="16"/>
  <c r="W805" i="16"/>
  <c r="V805" i="16"/>
  <c r="U805" i="16"/>
  <c r="T805" i="16"/>
  <c r="S805" i="16"/>
  <c r="R805" i="16"/>
  <c r="Q805" i="16"/>
  <c r="Y804" i="16"/>
  <c r="X804" i="16"/>
  <c r="W804" i="16"/>
  <c r="V804" i="16"/>
  <c r="U804" i="16"/>
  <c r="T804" i="16"/>
  <c r="S804" i="16"/>
  <c r="R804" i="16"/>
  <c r="Q804" i="16"/>
  <c r="Y803" i="16"/>
  <c r="X803" i="16"/>
  <c r="W803" i="16"/>
  <c r="V803" i="16"/>
  <c r="U803" i="16"/>
  <c r="T803" i="16"/>
  <c r="S803" i="16"/>
  <c r="R803" i="16"/>
  <c r="Q803" i="16"/>
  <c r="Y802" i="16"/>
  <c r="X802" i="16"/>
  <c r="W802" i="16"/>
  <c r="V802" i="16"/>
  <c r="U802" i="16"/>
  <c r="T802" i="16"/>
  <c r="S802" i="16"/>
  <c r="R802" i="16"/>
  <c r="Q802" i="16"/>
  <c r="Y801" i="16"/>
  <c r="X801" i="16"/>
  <c r="W801" i="16"/>
  <c r="V801" i="16"/>
  <c r="U801" i="16"/>
  <c r="T801" i="16"/>
  <c r="S801" i="16"/>
  <c r="R801" i="16"/>
  <c r="Q801" i="16"/>
  <c r="Y800" i="16"/>
  <c r="X800" i="16"/>
  <c r="W800" i="16"/>
  <c r="V800" i="16"/>
  <c r="U800" i="16"/>
  <c r="T800" i="16"/>
  <c r="S800" i="16"/>
  <c r="R800" i="16"/>
  <c r="Q800" i="16"/>
  <c r="Y799" i="16"/>
  <c r="X799" i="16"/>
  <c r="W799" i="16"/>
  <c r="V799" i="16"/>
  <c r="U799" i="16"/>
  <c r="T799" i="16"/>
  <c r="S799" i="16"/>
  <c r="R799" i="16"/>
  <c r="Q799" i="16"/>
  <c r="Y798" i="16"/>
  <c r="X798" i="16"/>
  <c r="W798" i="16"/>
  <c r="V798" i="16"/>
  <c r="U798" i="16"/>
  <c r="T798" i="16"/>
  <c r="S798" i="16"/>
  <c r="R798" i="16"/>
  <c r="Q798" i="16"/>
  <c r="Y797" i="16"/>
  <c r="X797" i="16"/>
  <c r="W797" i="16"/>
  <c r="V797" i="16"/>
  <c r="U797" i="16"/>
  <c r="T797" i="16"/>
  <c r="S797" i="16"/>
  <c r="R797" i="16"/>
  <c r="Q797" i="16"/>
  <c r="Y796" i="16"/>
  <c r="X796" i="16"/>
  <c r="W796" i="16"/>
  <c r="V796" i="16"/>
  <c r="U796" i="16"/>
  <c r="T796" i="16"/>
  <c r="S796" i="16"/>
  <c r="R796" i="16"/>
  <c r="Q796" i="16"/>
  <c r="Y795" i="16"/>
  <c r="X795" i="16"/>
  <c r="W795" i="16"/>
  <c r="V795" i="16"/>
  <c r="U795" i="16"/>
  <c r="T795" i="16"/>
  <c r="S795" i="16"/>
  <c r="R795" i="16"/>
  <c r="Q795" i="16"/>
  <c r="Y794" i="16"/>
  <c r="X794" i="16"/>
  <c r="W794" i="16"/>
  <c r="V794" i="16"/>
  <c r="U794" i="16"/>
  <c r="T794" i="16"/>
  <c r="S794" i="16"/>
  <c r="R794" i="16"/>
  <c r="Q794" i="16"/>
  <c r="Y793" i="16"/>
  <c r="X793" i="16"/>
  <c r="W793" i="16"/>
  <c r="V793" i="16"/>
  <c r="U793" i="16"/>
  <c r="T793" i="16"/>
  <c r="S793" i="16"/>
  <c r="R793" i="16"/>
  <c r="Q793" i="16"/>
  <c r="Y792" i="16"/>
  <c r="X792" i="16"/>
  <c r="W792" i="16"/>
  <c r="V792" i="16"/>
  <c r="U792" i="16"/>
  <c r="T792" i="16"/>
  <c r="S792" i="16"/>
  <c r="R792" i="16"/>
  <c r="Q792" i="16"/>
  <c r="Y791" i="16"/>
  <c r="X791" i="16"/>
  <c r="W791" i="16"/>
  <c r="V791" i="16"/>
  <c r="U791" i="16"/>
  <c r="T791" i="16"/>
  <c r="S791" i="16"/>
  <c r="R791" i="16"/>
  <c r="Q791" i="16"/>
  <c r="Y790" i="16"/>
  <c r="X790" i="16"/>
  <c r="W790" i="16"/>
  <c r="V790" i="16"/>
  <c r="U790" i="16"/>
  <c r="T790" i="16"/>
  <c r="S790" i="16"/>
  <c r="R790" i="16"/>
  <c r="Q790" i="16"/>
  <c r="Y789" i="16"/>
  <c r="X789" i="16"/>
  <c r="W789" i="16"/>
  <c r="V789" i="16"/>
  <c r="U789" i="16"/>
  <c r="T789" i="16"/>
  <c r="S789" i="16"/>
  <c r="R789" i="16"/>
  <c r="Q789" i="16"/>
  <c r="Y788" i="16"/>
  <c r="X788" i="16"/>
  <c r="W788" i="16"/>
  <c r="V788" i="16"/>
  <c r="U788" i="16"/>
  <c r="T788" i="16"/>
  <c r="S788" i="16"/>
  <c r="R788" i="16"/>
  <c r="Q788" i="16"/>
  <c r="Y787" i="16"/>
  <c r="X787" i="16"/>
  <c r="W787" i="16"/>
  <c r="V787" i="16"/>
  <c r="U787" i="16"/>
  <c r="T787" i="16"/>
  <c r="S787" i="16"/>
  <c r="R787" i="16"/>
  <c r="Q787" i="16"/>
  <c r="Y786" i="16"/>
  <c r="X786" i="16"/>
  <c r="W786" i="16"/>
  <c r="V786" i="16"/>
  <c r="U786" i="16"/>
  <c r="T786" i="16"/>
  <c r="S786" i="16"/>
  <c r="R786" i="16"/>
  <c r="Q786" i="16"/>
  <c r="Y785" i="16"/>
  <c r="X785" i="16"/>
  <c r="W785" i="16"/>
  <c r="V785" i="16"/>
  <c r="U785" i="16"/>
  <c r="T785" i="16"/>
  <c r="S785" i="16"/>
  <c r="R785" i="16"/>
  <c r="Q785" i="16"/>
  <c r="Y784" i="16"/>
  <c r="X784" i="16"/>
  <c r="W784" i="16"/>
  <c r="V784" i="16"/>
  <c r="U784" i="16"/>
  <c r="T784" i="16"/>
  <c r="S784" i="16"/>
  <c r="R784" i="16"/>
  <c r="Q784" i="16"/>
  <c r="Y783" i="16"/>
  <c r="X783" i="16"/>
  <c r="W783" i="16"/>
  <c r="V783" i="16"/>
  <c r="U783" i="16"/>
  <c r="T783" i="16"/>
  <c r="S783" i="16"/>
  <c r="R783" i="16"/>
  <c r="Q783" i="16"/>
  <c r="Y782" i="16"/>
  <c r="X782" i="16"/>
  <c r="W782" i="16"/>
  <c r="V782" i="16"/>
  <c r="U782" i="16"/>
  <c r="T782" i="16"/>
  <c r="S782" i="16"/>
  <c r="R782" i="16"/>
  <c r="Q782" i="16"/>
  <c r="Y781" i="16"/>
  <c r="X781" i="16"/>
  <c r="W781" i="16"/>
  <c r="V781" i="16"/>
  <c r="U781" i="16"/>
  <c r="T781" i="16"/>
  <c r="S781" i="16"/>
  <c r="R781" i="16"/>
  <c r="Q781" i="16"/>
  <c r="Y780" i="16"/>
  <c r="X780" i="16"/>
  <c r="W780" i="16"/>
  <c r="V780" i="16"/>
  <c r="U780" i="16"/>
  <c r="T780" i="16"/>
  <c r="S780" i="16"/>
  <c r="R780" i="16"/>
  <c r="Q780" i="16"/>
  <c r="Y779" i="16"/>
  <c r="X779" i="16"/>
  <c r="W779" i="16"/>
  <c r="V779" i="16"/>
  <c r="U779" i="16"/>
  <c r="T779" i="16"/>
  <c r="S779" i="16"/>
  <c r="R779" i="16"/>
  <c r="Q779" i="16"/>
  <c r="Y778" i="16"/>
  <c r="X778" i="16"/>
  <c r="W778" i="16"/>
  <c r="V778" i="16"/>
  <c r="U778" i="16"/>
  <c r="T778" i="16"/>
  <c r="S778" i="16"/>
  <c r="R778" i="16"/>
  <c r="Q778" i="16"/>
  <c r="Y777" i="16"/>
  <c r="X777" i="16"/>
  <c r="W777" i="16"/>
  <c r="V777" i="16"/>
  <c r="U777" i="16"/>
  <c r="T777" i="16"/>
  <c r="S777" i="16"/>
  <c r="R777" i="16"/>
  <c r="Q777" i="16"/>
  <c r="Y776" i="16"/>
  <c r="X776" i="16"/>
  <c r="W776" i="16"/>
  <c r="V776" i="16"/>
  <c r="U776" i="16"/>
  <c r="T776" i="16"/>
  <c r="S776" i="16"/>
  <c r="R776" i="16"/>
  <c r="Q776" i="16"/>
  <c r="Y775" i="16"/>
  <c r="X775" i="16"/>
  <c r="W775" i="16"/>
  <c r="V775" i="16"/>
  <c r="U775" i="16"/>
  <c r="T775" i="16"/>
  <c r="S775" i="16"/>
  <c r="R775" i="16"/>
  <c r="Q775" i="16"/>
  <c r="Y774" i="16"/>
  <c r="X774" i="16"/>
  <c r="W774" i="16"/>
  <c r="V774" i="16"/>
  <c r="U774" i="16"/>
  <c r="T774" i="16"/>
  <c r="S774" i="16"/>
  <c r="R774" i="16"/>
  <c r="Q774" i="16"/>
  <c r="Y773" i="16"/>
  <c r="X773" i="16"/>
  <c r="W773" i="16"/>
  <c r="V773" i="16"/>
  <c r="U773" i="16"/>
  <c r="T773" i="16"/>
  <c r="S773" i="16"/>
  <c r="R773" i="16"/>
  <c r="Q773" i="16"/>
  <c r="Y772" i="16"/>
  <c r="X772" i="16"/>
  <c r="W772" i="16"/>
  <c r="V772" i="16"/>
  <c r="U772" i="16"/>
  <c r="T772" i="16"/>
  <c r="S772" i="16"/>
  <c r="R772" i="16"/>
  <c r="Q772" i="16"/>
  <c r="Y771" i="16"/>
  <c r="X771" i="16"/>
  <c r="W771" i="16"/>
  <c r="V771" i="16"/>
  <c r="U771" i="16"/>
  <c r="T771" i="16"/>
  <c r="S771" i="16"/>
  <c r="R771" i="16"/>
  <c r="Q771" i="16"/>
  <c r="Y770" i="16"/>
  <c r="X770" i="16"/>
  <c r="W770" i="16"/>
  <c r="V770" i="16"/>
  <c r="U770" i="16"/>
  <c r="T770" i="16"/>
  <c r="S770" i="16"/>
  <c r="R770" i="16"/>
  <c r="Q770" i="16"/>
  <c r="Y769" i="16"/>
  <c r="X769" i="16"/>
  <c r="W769" i="16"/>
  <c r="V769" i="16"/>
  <c r="U769" i="16"/>
  <c r="T769" i="16"/>
  <c r="S769" i="16"/>
  <c r="R769" i="16"/>
  <c r="Q769" i="16"/>
  <c r="Y768" i="16"/>
  <c r="X768" i="16"/>
  <c r="W768" i="16"/>
  <c r="V768" i="16"/>
  <c r="U768" i="16"/>
  <c r="T768" i="16"/>
  <c r="S768" i="16"/>
  <c r="R768" i="16"/>
  <c r="Q768" i="16"/>
  <c r="Y767" i="16"/>
  <c r="X767" i="16"/>
  <c r="W767" i="16"/>
  <c r="V767" i="16"/>
  <c r="U767" i="16"/>
  <c r="T767" i="16"/>
  <c r="S767" i="16"/>
  <c r="R767" i="16"/>
  <c r="Q767" i="16"/>
  <c r="Y766" i="16"/>
  <c r="X766" i="16"/>
  <c r="W766" i="16"/>
  <c r="V766" i="16"/>
  <c r="U766" i="16"/>
  <c r="T766" i="16"/>
  <c r="S766" i="16"/>
  <c r="R766" i="16"/>
  <c r="Q766" i="16"/>
  <c r="Y765" i="16"/>
  <c r="X765" i="16"/>
  <c r="W765" i="16"/>
  <c r="V765" i="16"/>
  <c r="U765" i="16"/>
  <c r="T765" i="16"/>
  <c r="S765" i="16"/>
  <c r="R765" i="16"/>
  <c r="Q765" i="16"/>
  <c r="Y764" i="16"/>
  <c r="X764" i="16"/>
  <c r="W764" i="16"/>
  <c r="V764" i="16"/>
  <c r="U764" i="16"/>
  <c r="T764" i="16"/>
  <c r="S764" i="16"/>
  <c r="R764" i="16"/>
  <c r="Q764" i="16"/>
  <c r="Y763" i="16"/>
  <c r="X763" i="16"/>
  <c r="W763" i="16"/>
  <c r="V763" i="16"/>
  <c r="U763" i="16"/>
  <c r="T763" i="16"/>
  <c r="S763" i="16"/>
  <c r="R763" i="16"/>
  <c r="Q763" i="16"/>
  <c r="Y762" i="16"/>
  <c r="X762" i="16"/>
  <c r="W762" i="16"/>
  <c r="V762" i="16"/>
  <c r="U762" i="16"/>
  <c r="T762" i="16"/>
  <c r="S762" i="16"/>
  <c r="R762" i="16"/>
  <c r="Q762" i="16"/>
  <c r="Y761" i="16"/>
  <c r="X761" i="16"/>
  <c r="W761" i="16"/>
  <c r="V761" i="16"/>
  <c r="U761" i="16"/>
  <c r="T761" i="16"/>
  <c r="S761" i="16"/>
  <c r="R761" i="16"/>
  <c r="Q761" i="16"/>
  <c r="Y760" i="16"/>
  <c r="X760" i="16"/>
  <c r="W760" i="16"/>
  <c r="V760" i="16"/>
  <c r="U760" i="16"/>
  <c r="T760" i="16"/>
  <c r="S760" i="16"/>
  <c r="R760" i="16"/>
  <c r="Q760" i="16"/>
  <c r="Y759" i="16"/>
  <c r="X759" i="16"/>
  <c r="W759" i="16"/>
  <c r="V759" i="16"/>
  <c r="U759" i="16"/>
  <c r="T759" i="16"/>
  <c r="S759" i="16"/>
  <c r="R759" i="16"/>
  <c r="Q759" i="16"/>
  <c r="Y758" i="16"/>
  <c r="X758" i="16"/>
  <c r="W758" i="16"/>
  <c r="V758" i="16"/>
  <c r="U758" i="16"/>
  <c r="T758" i="16"/>
  <c r="S758" i="16"/>
  <c r="R758" i="16"/>
  <c r="Q758" i="16"/>
  <c r="Y757" i="16"/>
  <c r="X757" i="16"/>
  <c r="W757" i="16"/>
  <c r="V757" i="16"/>
  <c r="U757" i="16"/>
  <c r="T757" i="16"/>
  <c r="S757" i="16"/>
  <c r="R757" i="16"/>
  <c r="Q757" i="16"/>
  <c r="Y756" i="16"/>
  <c r="X756" i="16"/>
  <c r="W756" i="16"/>
  <c r="V756" i="16"/>
  <c r="U756" i="16"/>
  <c r="T756" i="16"/>
  <c r="S756" i="16"/>
  <c r="R756" i="16"/>
  <c r="Q756" i="16"/>
  <c r="Y755" i="16"/>
  <c r="X755" i="16"/>
  <c r="W755" i="16"/>
  <c r="V755" i="16"/>
  <c r="U755" i="16"/>
  <c r="T755" i="16"/>
  <c r="S755" i="16"/>
  <c r="R755" i="16"/>
  <c r="Q755" i="16"/>
  <c r="Y754" i="16"/>
  <c r="X754" i="16"/>
  <c r="W754" i="16"/>
  <c r="V754" i="16"/>
  <c r="U754" i="16"/>
  <c r="T754" i="16"/>
  <c r="S754" i="16"/>
  <c r="R754" i="16"/>
  <c r="Q754" i="16"/>
  <c r="Y753" i="16"/>
  <c r="X753" i="16"/>
  <c r="W753" i="16"/>
  <c r="V753" i="16"/>
  <c r="U753" i="16"/>
  <c r="T753" i="16"/>
  <c r="S753" i="16"/>
  <c r="R753" i="16"/>
  <c r="Q753" i="16"/>
  <c r="Y752" i="16"/>
  <c r="X752" i="16"/>
  <c r="W752" i="16"/>
  <c r="V752" i="16"/>
  <c r="U752" i="16"/>
  <c r="T752" i="16"/>
  <c r="S752" i="16"/>
  <c r="R752" i="16"/>
  <c r="Q752" i="16"/>
  <c r="Y751" i="16"/>
  <c r="X751" i="16"/>
  <c r="W751" i="16"/>
  <c r="V751" i="16"/>
  <c r="U751" i="16"/>
  <c r="T751" i="16"/>
  <c r="S751" i="16"/>
  <c r="R751" i="16"/>
  <c r="Q751" i="16"/>
  <c r="Y750" i="16"/>
  <c r="X750" i="16"/>
  <c r="W750" i="16"/>
  <c r="V750" i="16"/>
  <c r="U750" i="16"/>
  <c r="T750" i="16"/>
  <c r="S750" i="16"/>
  <c r="R750" i="16"/>
  <c r="Q750" i="16"/>
  <c r="Y749" i="16"/>
  <c r="X749" i="16"/>
  <c r="W749" i="16"/>
  <c r="V749" i="16"/>
  <c r="U749" i="16"/>
  <c r="T749" i="16"/>
  <c r="S749" i="16"/>
  <c r="R749" i="16"/>
  <c r="Q749" i="16"/>
  <c r="Y748" i="16"/>
  <c r="X748" i="16"/>
  <c r="W748" i="16"/>
  <c r="V748" i="16"/>
  <c r="U748" i="16"/>
  <c r="T748" i="16"/>
  <c r="S748" i="16"/>
  <c r="R748" i="16"/>
  <c r="Q748" i="16"/>
  <c r="Y747" i="16"/>
  <c r="X747" i="16"/>
  <c r="W747" i="16"/>
  <c r="V747" i="16"/>
  <c r="U747" i="16"/>
  <c r="T747" i="16"/>
  <c r="S747" i="16"/>
  <c r="R747" i="16"/>
  <c r="Q747" i="16"/>
  <c r="Y746" i="16"/>
  <c r="X746" i="16"/>
  <c r="W746" i="16"/>
  <c r="V746" i="16"/>
  <c r="U746" i="16"/>
  <c r="T746" i="16"/>
  <c r="S746" i="16"/>
  <c r="R746" i="16"/>
  <c r="Q746" i="16"/>
  <c r="Y745" i="16"/>
  <c r="X745" i="16"/>
  <c r="W745" i="16"/>
  <c r="V745" i="16"/>
  <c r="U745" i="16"/>
  <c r="T745" i="16"/>
  <c r="S745" i="16"/>
  <c r="R745" i="16"/>
  <c r="Q745" i="16"/>
  <c r="Y744" i="16"/>
  <c r="X744" i="16"/>
  <c r="W744" i="16"/>
  <c r="V744" i="16"/>
  <c r="U744" i="16"/>
  <c r="T744" i="16"/>
  <c r="S744" i="16"/>
  <c r="R744" i="16"/>
  <c r="Q744" i="16"/>
  <c r="Y743" i="16"/>
  <c r="X743" i="16"/>
  <c r="W743" i="16"/>
  <c r="V743" i="16"/>
  <c r="U743" i="16"/>
  <c r="T743" i="16"/>
  <c r="S743" i="16"/>
  <c r="R743" i="16"/>
  <c r="Q743" i="16"/>
  <c r="Y742" i="16"/>
  <c r="X742" i="16"/>
  <c r="W742" i="16"/>
  <c r="V742" i="16"/>
  <c r="U742" i="16"/>
  <c r="T742" i="16"/>
  <c r="S742" i="16"/>
  <c r="R742" i="16"/>
  <c r="Q742" i="16"/>
  <c r="Y741" i="16"/>
  <c r="X741" i="16"/>
  <c r="W741" i="16"/>
  <c r="V741" i="16"/>
  <c r="U741" i="16"/>
  <c r="T741" i="16"/>
  <c r="S741" i="16"/>
  <c r="R741" i="16"/>
  <c r="Q741" i="16"/>
  <c r="Y740" i="16"/>
  <c r="X740" i="16"/>
  <c r="W740" i="16"/>
  <c r="V740" i="16"/>
  <c r="U740" i="16"/>
  <c r="T740" i="16"/>
  <c r="S740" i="16"/>
  <c r="R740" i="16"/>
  <c r="Q740" i="16"/>
  <c r="Y739" i="16"/>
  <c r="X739" i="16"/>
  <c r="W739" i="16"/>
  <c r="V739" i="16"/>
  <c r="U739" i="16"/>
  <c r="T739" i="16"/>
  <c r="S739" i="16"/>
  <c r="R739" i="16"/>
  <c r="Q739" i="16"/>
  <c r="Y738" i="16"/>
  <c r="X738" i="16"/>
  <c r="W738" i="16"/>
  <c r="V738" i="16"/>
  <c r="U738" i="16"/>
  <c r="T738" i="16"/>
  <c r="S738" i="16"/>
  <c r="R738" i="16"/>
  <c r="Q738" i="16"/>
  <c r="Y737" i="16"/>
  <c r="X737" i="16"/>
  <c r="W737" i="16"/>
  <c r="V737" i="16"/>
  <c r="U737" i="16"/>
  <c r="T737" i="16"/>
  <c r="S737" i="16"/>
  <c r="R737" i="16"/>
  <c r="Q737" i="16"/>
  <c r="Y736" i="16"/>
  <c r="X736" i="16"/>
  <c r="W736" i="16"/>
  <c r="V736" i="16"/>
  <c r="U736" i="16"/>
  <c r="T736" i="16"/>
  <c r="S736" i="16"/>
  <c r="R736" i="16"/>
  <c r="Q736" i="16"/>
  <c r="Y735" i="16"/>
  <c r="X735" i="16"/>
  <c r="W735" i="16"/>
  <c r="V735" i="16"/>
  <c r="U735" i="16"/>
  <c r="T735" i="16"/>
  <c r="S735" i="16"/>
  <c r="R735" i="16"/>
  <c r="Q735" i="16"/>
  <c r="Y734" i="16"/>
  <c r="X734" i="16"/>
  <c r="W734" i="16"/>
  <c r="V734" i="16"/>
  <c r="U734" i="16"/>
  <c r="T734" i="16"/>
  <c r="S734" i="16"/>
  <c r="R734" i="16"/>
  <c r="Q734" i="16"/>
  <c r="Y733" i="16"/>
  <c r="X733" i="16"/>
  <c r="W733" i="16"/>
  <c r="V733" i="16"/>
  <c r="U733" i="16"/>
  <c r="T733" i="16"/>
  <c r="S733" i="16"/>
  <c r="R733" i="16"/>
  <c r="Q733" i="16"/>
  <c r="Y732" i="16"/>
  <c r="X732" i="16"/>
  <c r="W732" i="16"/>
  <c r="V732" i="16"/>
  <c r="U732" i="16"/>
  <c r="T732" i="16"/>
  <c r="S732" i="16"/>
  <c r="R732" i="16"/>
  <c r="Q732" i="16"/>
  <c r="Y731" i="16"/>
  <c r="X731" i="16"/>
  <c r="W731" i="16"/>
  <c r="V731" i="16"/>
  <c r="U731" i="16"/>
  <c r="T731" i="16"/>
  <c r="S731" i="16"/>
  <c r="R731" i="16"/>
  <c r="Q731" i="16"/>
  <c r="Y730" i="16"/>
  <c r="X730" i="16"/>
  <c r="W730" i="16"/>
  <c r="V730" i="16"/>
  <c r="U730" i="16"/>
  <c r="T730" i="16"/>
  <c r="S730" i="16"/>
  <c r="R730" i="16"/>
  <c r="Q730" i="16"/>
  <c r="Y729" i="16"/>
  <c r="X729" i="16"/>
  <c r="W729" i="16"/>
  <c r="V729" i="16"/>
  <c r="U729" i="16"/>
  <c r="T729" i="16"/>
  <c r="S729" i="16"/>
  <c r="R729" i="16"/>
  <c r="Q729" i="16"/>
  <c r="Y728" i="16"/>
  <c r="X728" i="16"/>
  <c r="W728" i="16"/>
  <c r="V728" i="16"/>
  <c r="U728" i="16"/>
  <c r="T728" i="16"/>
  <c r="S728" i="16"/>
  <c r="R728" i="16"/>
  <c r="Q728" i="16"/>
  <c r="Y727" i="16"/>
  <c r="X727" i="16"/>
  <c r="W727" i="16"/>
  <c r="V727" i="16"/>
  <c r="U727" i="16"/>
  <c r="T727" i="16"/>
  <c r="S727" i="16"/>
  <c r="R727" i="16"/>
  <c r="Q727" i="16"/>
  <c r="Y726" i="16"/>
  <c r="X726" i="16"/>
  <c r="W726" i="16"/>
  <c r="V726" i="16"/>
  <c r="U726" i="16"/>
  <c r="T726" i="16"/>
  <c r="S726" i="16"/>
  <c r="R726" i="16"/>
  <c r="Q726" i="16"/>
  <c r="Y725" i="16"/>
  <c r="X725" i="16"/>
  <c r="W725" i="16"/>
  <c r="V725" i="16"/>
  <c r="U725" i="16"/>
  <c r="T725" i="16"/>
  <c r="S725" i="16"/>
  <c r="R725" i="16"/>
  <c r="Q725" i="16"/>
  <c r="Y724" i="16"/>
  <c r="X724" i="16"/>
  <c r="W724" i="16"/>
  <c r="V724" i="16"/>
  <c r="U724" i="16"/>
  <c r="T724" i="16"/>
  <c r="S724" i="16"/>
  <c r="R724" i="16"/>
  <c r="Q724" i="16"/>
  <c r="Y723" i="16"/>
  <c r="X723" i="16"/>
  <c r="W723" i="16"/>
  <c r="V723" i="16"/>
  <c r="U723" i="16"/>
  <c r="T723" i="16"/>
  <c r="S723" i="16"/>
  <c r="R723" i="16"/>
  <c r="Q723" i="16"/>
  <c r="Y722" i="16"/>
  <c r="X722" i="16"/>
  <c r="W722" i="16"/>
  <c r="V722" i="16"/>
  <c r="U722" i="16"/>
  <c r="T722" i="16"/>
  <c r="S722" i="16"/>
  <c r="R722" i="16"/>
  <c r="Q722" i="16"/>
  <c r="Y721" i="16"/>
  <c r="X721" i="16"/>
  <c r="W721" i="16"/>
  <c r="V721" i="16"/>
  <c r="U721" i="16"/>
  <c r="T721" i="16"/>
  <c r="S721" i="16"/>
  <c r="R721" i="16"/>
  <c r="Q721" i="16"/>
  <c r="Y720" i="16"/>
  <c r="X720" i="16"/>
  <c r="W720" i="16"/>
  <c r="V720" i="16"/>
  <c r="U720" i="16"/>
  <c r="T720" i="16"/>
  <c r="S720" i="16"/>
  <c r="R720" i="16"/>
  <c r="Q720" i="16"/>
  <c r="Y719" i="16"/>
  <c r="X719" i="16"/>
  <c r="W719" i="16"/>
  <c r="V719" i="16"/>
  <c r="U719" i="16"/>
  <c r="T719" i="16"/>
  <c r="S719" i="16"/>
  <c r="R719" i="16"/>
  <c r="Q719" i="16"/>
  <c r="Y718" i="16"/>
  <c r="X718" i="16"/>
  <c r="W718" i="16"/>
  <c r="V718" i="16"/>
  <c r="U718" i="16"/>
  <c r="T718" i="16"/>
  <c r="S718" i="16"/>
  <c r="R718" i="16"/>
  <c r="Q718" i="16"/>
  <c r="Y717" i="16"/>
  <c r="X717" i="16"/>
  <c r="W717" i="16"/>
  <c r="V717" i="16"/>
  <c r="U717" i="16"/>
  <c r="T717" i="16"/>
  <c r="S717" i="16"/>
  <c r="R717" i="16"/>
  <c r="Q717" i="16"/>
  <c r="Y716" i="16"/>
  <c r="X716" i="16"/>
  <c r="W716" i="16"/>
  <c r="V716" i="16"/>
  <c r="U716" i="16"/>
  <c r="T716" i="16"/>
  <c r="S716" i="16"/>
  <c r="R716" i="16"/>
  <c r="Q716" i="16"/>
  <c r="Y715" i="16"/>
  <c r="X715" i="16"/>
  <c r="W715" i="16"/>
  <c r="V715" i="16"/>
  <c r="U715" i="16"/>
  <c r="T715" i="16"/>
  <c r="S715" i="16"/>
  <c r="R715" i="16"/>
  <c r="Q715" i="16"/>
  <c r="Y714" i="16"/>
  <c r="X714" i="16"/>
  <c r="W714" i="16"/>
  <c r="V714" i="16"/>
  <c r="U714" i="16"/>
  <c r="T714" i="16"/>
  <c r="S714" i="16"/>
  <c r="R714" i="16"/>
  <c r="Q714" i="16"/>
  <c r="Y713" i="16"/>
  <c r="X713" i="16"/>
  <c r="W713" i="16"/>
  <c r="V713" i="16"/>
  <c r="U713" i="16"/>
  <c r="T713" i="16"/>
  <c r="S713" i="16"/>
  <c r="R713" i="16"/>
  <c r="Q713" i="16"/>
  <c r="Y712" i="16"/>
  <c r="X712" i="16"/>
  <c r="W712" i="16"/>
  <c r="V712" i="16"/>
  <c r="U712" i="16"/>
  <c r="T712" i="16"/>
  <c r="S712" i="16"/>
  <c r="R712" i="16"/>
  <c r="Q712" i="16"/>
  <c r="Y711" i="16"/>
  <c r="X711" i="16"/>
  <c r="W711" i="16"/>
  <c r="V711" i="16"/>
  <c r="U711" i="16"/>
  <c r="T711" i="16"/>
  <c r="S711" i="16"/>
  <c r="R711" i="16"/>
  <c r="Q711" i="16"/>
  <c r="Y710" i="16"/>
  <c r="X710" i="16"/>
  <c r="W710" i="16"/>
  <c r="V710" i="16"/>
  <c r="U710" i="16"/>
  <c r="T710" i="16"/>
  <c r="S710" i="16"/>
  <c r="R710" i="16"/>
  <c r="Q710" i="16"/>
  <c r="Y709" i="16"/>
  <c r="X709" i="16"/>
  <c r="W709" i="16"/>
  <c r="V709" i="16"/>
  <c r="U709" i="16"/>
  <c r="T709" i="16"/>
  <c r="S709" i="16"/>
  <c r="R709" i="16"/>
  <c r="Q709" i="16"/>
  <c r="Y708" i="16"/>
  <c r="X708" i="16"/>
  <c r="W708" i="16"/>
  <c r="V708" i="16"/>
  <c r="U708" i="16"/>
  <c r="T708" i="16"/>
  <c r="S708" i="16"/>
  <c r="R708" i="16"/>
  <c r="Q708" i="16"/>
  <c r="Y707" i="16"/>
  <c r="X707" i="16"/>
  <c r="W707" i="16"/>
  <c r="V707" i="16"/>
  <c r="U707" i="16"/>
  <c r="T707" i="16"/>
  <c r="S707" i="16"/>
  <c r="R707" i="16"/>
  <c r="Q707" i="16"/>
  <c r="Y706" i="16"/>
  <c r="X706" i="16"/>
  <c r="W706" i="16"/>
  <c r="V706" i="16"/>
  <c r="U706" i="16"/>
  <c r="T706" i="16"/>
  <c r="S706" i="16"/>
  <c r="R706" i="16"/>
  <c r="Q706" i="16"/>
  <c r="Y705" i="16"/>
  <c r="X705" i="16"/>
  <c r="W705" i="16"/>
  <c r="V705" i="16"/>
  <c r="U705" i="16"/>
  <c r="T705" i="16"/>
  <c r="S705" i="16"/>
  <c r="R705" i="16"/>
  <c r="Q705" i="16"/>
  <c r="Y704" i="16"/>
  <c r="X704" i="16"/>
  <c r="W704" i="16"/>
  <c r="V704" i="16"/>
  <c r="U704" i="16"/>
  <c r="T704" i="16"/>
  <c r="S704" i="16"/>
  <c r="R704" i="16"/>
  <c r="Q704" i="16"/>
  <c r="Y703" i="16"/>
  <c r="X703" i="16"/>
  <c r="W703" i="16"/>
  <c r="V703" i="16"/>
  <c r="U703" i="16"/>
  <c r="T703" i="16"/>
  <c r="S703" i="16"/>
  <c r="R703" i="16"/>
  <c r="Q703" i="16"/>
  <c r="Y702" i="16"/>
  <c r="X702" i="16"/>
  <c r="W702" i="16"/>
  <c r="V702" i="16"/>
  <c r="U702" i="16"/>
  <c r="T702" i="16"/>
  <c r="S702" i="16"/>
  <c r="R702" i="16"/>
  <c r="Q702" i="16"/>
  <c r="Y701" i="16"/>
  <c r="X701" i="16"/>
  <c r="W701" i="16"/>
  <c r="V701" i="16"/>
  <c r="U701" i="16"/>
  <c r="T701" i="16"/>
  <c r="S701" i="16"/>
  <c r="R701" i="16"/>
  <c r="Q701" i="16"/>
  <c r="Y700" i="16"/>
  <c r="X700" i="16"/>
  <c r="W700" i="16"/>
  <c r="V700" i="16"/>
  <c r="U700" i="16"/>
  <c r="T700" i="16"/>
  <c r="S700" i="16"/>
  <c r="R700" i="16"/>
  <c r="Q700" i="16"/>
  <c r="Y699" i="16"/>
  <c r="X699" i="16"/>
  <c r="W699" i="16"/>
  <c r="V699" i="16"/>
  <c r="U699" i="16"/>
  <c r="T699" i="16"/>
  <c r="S699" i="16"/>
  <c r="R699" i="16"/>
  <c r="Q699" i="16"/>
  <c r="Y698" i="16"/>
  <c r="X698" i="16"/>
  <c r="W698" i="16"/>
  <c r="V698" i="16"/>
  <c r="U698" i="16"/>
  <c r="T698" i="16"/>
  <c r="S698" i="16"/>
  <c r="R698" i="16"/>
  <c r="Q698" i="16"/>
  <c r="Y697" i="16"/>
  <c r="X697" i="16"/>
  <c r="W697" i="16"/>
  <c r="V697" i="16"/>
  <c r="U697" i="16"/>
  <c r="T697" i="16"/>
  <c r="S697" i="16"/>
  <c r="R697" i="16"/>
  <c r="Q697" i="16"/>
  <c r="Y696" i="16"/>
  <c r="X696" i="16"/>
  <c r="W696" i="16"/>
  <c r="V696" i="16"/>
  <c r="U696" i="16"/>
  <c r="T696" i="16"/>
  <c r="S696" i="16"/>
  <c r="R696" i="16"/>
  <c r="Q696" i="16"/>
  <c r="Y695" i="16"/>
  <c r="X695" i="16"/>
  <c r="W695" i="16"/>
  <c r="V695" i="16"/>
  <c r="U695" i="16"/>
  <c r="T695" i="16"/>
  <c r="S695" i="16"/>
  <c r="R695" i="16"/>
  <c r="Q695" i="16"/>
  <c r="Y694" i="16"/>
  <c r="X694" i="16"/>
  <c r="W694" i="16"/>
  <c r="V694" i="16"/>
  <c r="U694" i="16"/>
  <c r="T694" i="16"/>
  <c r="S694" i="16"/>
  <c r="R694" i="16"/>
  <c r="Q694" i="16"/>
  <c r="Y693" i="16"/>
  <c r="X693" i="16"/>
  <c r="W693" i="16"/>
  <c r="V693" i="16"/>
  <c r="U693" i="16"/>
  <c r="T693" i="16"/>
  <c r="S693" i="16"/>
  <c r="R693" i="16"/>
  <c r="Q693" i="16"/>
  <c r="Y692" i="16"/>
  <c r="X692" i="16"/>
  <c r="W692" i="16"/>
  <c r="V692" i="16"/>
  <c r="U692" i="16"/>
  <c r="T692" i="16"/>
  <c r="S692" i="16"/>
  <c r="R692" i="16"/>
  <c r="Q692" i="16"/>
  <c r="Y691" i="16"/>
  <c r="X691" i="16"/>
  <c r="W691" i="16"/>
  <c r="V691" i="16"/>
  <c r="U691" i="16"/>
  <c r="T691" i="16"/>
  <c r="S691" i="16"/>
  <c r="R691" i="16"/>
  <c r="Q691" i="16"/>
  <c r="Y690" i="16"/>
  <c r="X690" i="16"/>
  <c r="W690" i="16"/>
  <c r="V690" i="16"/>
  <c r="U690" i="16"/>
  <c r="T690" i="16"/>
  <c r="S690" i="16"/>
  <c r="R690" i="16"/>
  <c r="Q690" i="16"/>
  <c r="Y689" i="16"/>
  <c r="X689" i="16"/>
  <c r="W689" i="16"/>
  <c r="V689" i="16"/>
  <c r="U689" i="16"/>
  <c r="T689" i="16"/>
  <c r="S689" i="16"/>
  <c r="R689" i="16"/>
  <c r="Q689" i="16"/>
  <c r="Y688" i="16"/>
  <c r="X688" i="16"/>
  <c r="W688" i="16"/>
  <c r="V688" i="16"/>
  <c r="U688" i="16"/>
  <c r="T688" i="16"/>
  <c r="S688" i="16"/>
  <c r="R688" i="16"/>
  <c r="Q688" i="16"/>
  <c r="Y687" i="16"/>
  <c r="X687" i="16"/>
  <c r="W687" i="16"/>
  <c r="V687" i="16"/>
  <c r="U687" i="16"/>
  <c r="T687" i="16"/>
  <c r="S687" i="16"/>
  <c r="R687" i="16"/>
  <c r="Q687" i="16"/>
  <c r="Y686" i="16"/>
  <c r="X686" i="16"/>
  <c r="W686" i="16"/>
  <c r="V686" i="16"/>
  <c r="U686" i="16"/>
  <c r="T686" i="16"/>
  <c r="S686" i="16"/>
  <c r="R686" i="16"/>
  <c r="Q686" i="16"/>
  <c r="Y685" i="16"/>
  <c r="X685" i="16"/>
  <c r="W685" i="16"/>
  <c r="V685" i="16"/>
  <c r="U685" i="16"/>
  <c r="T685" i="16"/>
  <c r="S685" i="16"/>
  <c r="R685" i="16"/>
  <c r="Q685" i="16"/>
  <c r="Y684" i="16"/>
  <c r="X684" i="16"/>
  <c r="W684" i="16"/>
  <c r="V684" i="16"/>
  <c r="U684" i="16"/>
  <c r="T684" i="16"/>
  <c r="S684" i="16"/>
  <c r="R684" i="16"/>
  <c r="Q684" i="16"/>
  <c r="Y683" i="16"/>
  <c r="X683" i="16"/>
  <c r="W683" i="16"/>
  <c r="V683" i="16"/>
  <c r="U683" i="16"/>
  <c r="T683" i="16"/>
  <c r="S683" i="16"/>
  <c r="R683" i="16"/>
  <c r="Q683" i="16"/>
  <c r="Y682" i="16"/>
  <c r="X682" i="16"/>
  <c r="W682" i="16"/>
  <c r="V682" i="16"/>
  <c r="U682" i="16"/>
  <c r="T682" i="16"/>
  <c r="S682" i="16"/>
  <c r="R682" i="16"/>
  <c r="Q682" i="16"/>
  <c r="Y681" i="16"/>
  <c r="X681" i="16"/>
  <c r="W681" i="16"/>
  <c r="V681" i="16"/>
  <c r="U681" i="16"/>
  <c r="T681" i="16"/>
  <c r="S681" i="16"/>
  <c r="R681" i="16"/>
  <c r="Q681" i="16"/>
  <c r="Y680" i="16"/>
  <c r="X680" i="16"/>
  <c r="W680" i="16"/>
  <c r="V680" i="16"/>
  <c r="U680" i="16"/>
  <c r="T680" i="16"/>
  <c r="S680" i="16"/>
  <c r="R680" i="16"/>
  <c r="Q680" i="16"/>
  <c r="Y679" i="16"/>
  <c r="X679" i="16"/>
  <c r="W679" i="16"/>
  <c r="V679" i="16"/>
  <c r="U679" i="16"/>
  <c r="T679" i="16"/>
  <c r="S679" i="16"/>
  <c r="R679" i="16"/>
  <c r="Q679" i="16"/>
  <c r="Y678" i="16"/>
  <c r="X678" i="16"/>
  <c r="W678" i="16"/>
  <c r="V678" i="16"/>
  <c r="U678" i="16"/>
  <c r="T678" i="16"/>
  <c r="S678" i="16"/>
  <c r="R678" i="16"/>
  <c r="Q678" i="16"/>
  <c r="Y677" i="16"/>
  <c r="X677" i="16"/>
  <c r="W677" i="16"/>
  <c r="V677" i="16"/>
  <c r="U677" i="16"/>
  <c r="T677" i="16"/>
  <c r="S677" i="16"/>
  <c r="R677" i="16"/>
  <c r="Q677" i="16"/>
  <c r="Y676" i="16"/>
  <c r="X676" i="16"/>
  <c r="W676" i="16"/>
  <c r="V676" i="16"/>
  <c r="U676" i="16"/>
  <c r="T676" i="16"/>
  <c r="S676" i="16"/>
  <c r="R676" i="16"/>
  <c r="Q676" i="16"/>
  <c r="Y675" i="16"/>
  <c r="X675" i="16"/>
  <c r="W675" i="16"/>
  <c r="V675" i="16"/>
  <c r="U675" i="16"/>
  <c r="T675" i="16"/>
  <c r="S675" i="16"/>
  <c r="R675" i="16"/>
  <c r="Q675" i="16"/>
  <c r="Y674" i="16"/>
  <c r="X674" i="16"/>
  <c r="W674" i="16"/>
  <c r="V674" i="16"/>
  <c r="U674" i="16"/>
  <c r="T674" i="16"/>
  <c r="S674" i="16"/>
  <c r="R674" i="16"/>
  <c r="Q674" i="16"/>
  <c r="Y673" i="16"/>
  <c r="X673" i="16"/>
  <c r="W673" i="16"/>
  <c r="V673" i="16"/>
  <c r="U673" i="16"/>
  <c r="T673" i="16"/>
  <c r="S673" i="16"/>
  <c r="R673" i="16"/>
  <c r="Q673" i="16"/>
  <c r="Y672" i="16"/>
  <c r="X672" i="16"/>
  <c r="W672" i="16"/>
  <c r="V672" i="16"/>
  <c r="U672" i="16"/>
  <c r="T672" i="16"/>
  <c r="S672" i="16"/>
  <c r="R672" i="16"/>
  <c r="Q672" i="16"/>
  <c r="Y671" i="16"/>
  <c r="X671" i="16"/>
  <c r="W671" i="16"/>
  <c r="V671" i="16"/>
  <c r="U671" i="16"/>
  <c r="T671" i="16"/>
  <c r="S671" i="16"/>
  <c r="R671" i="16"/>
  <c r="Q671" i="16"/>
  <c r="Y670" i="16"/>
  <c r="X670" i="16"/>
  <c r="W670" i="16"/>
  <c r="V670" i="16"/>
  <c r="U670" i="16"/>
  <c r="T670" i="16"/>
  <c r="S670" i="16"/>
  <c r="R670" i="16"/>
  <c r="Q670" i="16"/>
  <c r="Y669" i="16"/>
  <c r="X669" i="16"/>
  <c r="W669" i="16"/>
  <c r="V669" i="16"/>
  <c r="U669" i="16"/>
  <c r="T669" i="16"/>
  <c r="S669" i="16"/>
  <c r="R669" i="16"/>
  <c r="Q669" i="16"/>
  <c r="Y668" i="16"/>
  <c r="X668" i="16"/>
  <c r="W668" i="16"/>
  <c r="V668" i="16"/>
  <c r="U668" i="16"/>
  <c r="T668" i="16"/>
  <c r="S668" i="16"/>
  <c r="R668" i="16"/>
  <c r="Q668" i="16"/>
  <c r="Y667" i="16"/>
  <c r="X667" i="16"/>
  <c r="W667" i="16"/>
  <c r="V667" i="16"/>
  <c r="U667" i="16"/>
  <c r="T667" i="16"/>
  <c r="S667" i="16"/>
  <c r="R667" i="16"/>
  <c r="Q667" i="16"/>
  <c r="Y666" i="16"/>
  <c r="X666" i="16"/>
  <c r="W666" i="16"/>
  <c r="V666" i="16"/>
  <c r="U666" i="16"/>
  <c r="T666" i="16"/>
  <c r="S666" i="16"/>
  <c r="R666" i="16"/>
  <c r="Q666" i="16"/>
  <c r="Y665" i="16"/>
  <c r="X665" i="16"/>
  <c r="W665" i="16"/>
  <c r="V665" i="16"/>
  <c r="U665" i="16"/>
  <c r="T665" i="16"/>
  <c r="S665" i="16"/>
  <c r="R665" i="16"/>
  <c r="Q665" i="16"/>
  <c r="Y664" i="16"/>
  <c r="X664" i="16"/>
  <c r="W664" i="16"/>
  <c r="V664" i="16"/>
  <c r="U664" i="16"/>
  <c r="T664" i="16"/>
  <c r="S664" i="16"/>
  <c r="R664" i="16"/>
  <c r="Q664" i="16"/>
  <c r="Y663" i="16"/>
  <c r="X663" i="16"/>
  <c r="W663" i="16"/>
  <c r="V663" i="16"/>
  <c r="U663" i="16"/>
  <c r="T663" i="16"/>
  <c r="S663" i="16"/>
  <c r="R663" i="16"/>
  <c r="Q663" i="16"/>
  <c r="Y662" i="16"/>
  <c r="X662" i="16"/>
  <c r="W662" i="16"/>
  <c r="V662" i="16"/>
  <c r="U662" i="16"/>
  <c r="T662" i="16"/>
  <c r="S662" i="16"/>
  <c r="R662" i="16"/>
  <c r="Q662" i="16"/>
  <c r="Y661" i="16"/>
  <c r="X661" i="16"/>
  <c r="W661" i="16"/>
  <c r="V661" i="16"/>
  <c r="U661" i="16"/>
  <c r="T661" i="16"/>
  <c r="S661" i="16"/>
  <c r="R661" i="16"/>
  <c r="Q661" i="16"/>
  <c r="Y660" i="16"/>
  <c r="X660" i="16"/>
  <c r="W660" i="16"/>
  <c r="V660" i="16"/>
  <c r="U660" i="16"/>
  <c r="T660" i="16"/>
  <c r="S660" i="16"/>
  <c r="R660" i="16"/>
  <c r="Q660" i="16"/>
  <c r="Y659" i="16"/>
  <c r="X659" i="16"/>
  <c r="W659" i="16"/>
  <c r="V659" i="16"/>
  <c r="U659" i="16"/>
  <c r="T659" i="16"/>
  <c r="S659" i="16"/>
  <c r="R659" i="16"/>
  <c r="Q659" i="16"/>
  <c r="Y658" i="16"/>
  <c r="X658" i="16"/>
  <c r="W658" i="16"/>
  <c r="V658" i="16"/>
  <c r="U658" i="16"/>
  <c r="T658" i="16"/>
  <c r="S658" i="16"/>
  <c r="R658" i="16"/>
  <c r="Q658" i="16"/>
  <c r="Y657" i="16"/>
  <c r="X657" i="16"/>
  <c r="W657" i="16"/>
  <c r="V657" i="16"/>
  <c r="U657" i="16"/>
  <c r="T657" i="16"/>
  <c r="S657" i="16"/>
  <c r="R657" i="16"/>
  <c r="Q657" i="16"/>
  <c r="Y656" i="16"/>
  <c r="X656" i="16"/>
  <c r="W656" i="16"/>
  <c r="V656" i="16"/>
  <c r="U656" i="16"/>
  <c r="T656" i="16"/>
  <c r="S656" i="16"/>
  <c r="R656" i="16"/>
  <c r="Q656" i="16"/>
  <c r="Y655" i="16"/>
  <c r="X655" i="16"/>
  <c r="W655" i="16"/>
  <c r="V655" i="16"/>
  <c r="U655" i="16"/>
  <c r="T655" i="16"/>
  <c r="S655" i="16"/>
  <c r="R655" i="16"/>
  <c r="Q655" i="16"/>
  <c r="Y654" i="16"/>
  <c r="X654" i="16"/>
  <c r="W654" i="16"/>
  <c r="V654" i="16"/>
  <c r="U654" i="16"/>
  <c r="T654" i="16"/>
  <c r="S654" i="16"/>
  <c r="R654" i="16"/>
  <c r="Q654" i="16"/>
  <c r="Y653" i="16"/>
  <c r="X653" i="16"/>
  <c r="W653" i="16"/>
  <c r="V653" i="16"/>
  <c r="U653" i="16"/>
  <c r="T653" i="16"/>
  <c r="S653" i="16"/>
  <c r="R653" i="16"/>
  <c r="Q653" i="16"/>
  <c r="Y652" i="16"/>
  <c r="X652" i="16"/>
  <c r="W652" i="16"/>
  <c r="V652" i="16"/>
  <c r="U652" i="16"/>
  <c r="T652" i="16"/>
  <c r="S652" i="16"/>
  <c r="R652" i="16"/>
  <c r="Q652" i="16"/>
  <c r="Y651" i="16"/>
  <c r="X651" i="16"/>
  <c r="W651" i="16"/>
  <c r="V651" i="16"/>
  <c r="U651" i="16"/>
  <c r="T651" i="16"/>
  <c r="S651" i="16"/>
  <c r="R651" i="16"/>
  <c r="Q651" i="16"/>
  <c r="Y650" i="16"/>
  <c r="X650" i="16"/>
  <c r="W650" i="16"/>
  <c r="V650" i="16"/>
  <c r="U650" i="16"/>
  <c r="T650" i="16"/>
  <c r="S650" i="16"/>
  <c r="R650" i="16"/>
  <c r="Q650" i="16"/>
  <c r="Y649" i="16"/>
  <c r="X649" i="16"/>
  <c r="W649" i="16"/>
  <c r="V649" i="16"/>
  <c r="U649" i="16"/>
  <c r="T649" i="16"/>
  <c r="S649" i="16"/>
  <c r="R649" i="16"/>
  <c r="Q649" i="16"/>
  <c r="Y648" i="16"/>
  <c r="X648" i="16"/>
  <c r="W648" i="16"/>
  <c r="V648" i="16"/>
  <c r="U648" i="16"/>
  <c r="T648" i="16"/>
  <c r="S648" i="16"/>
  <c r="R648" i="16"/>
  <c r="Q648" i="16"/>
  <c r="Y647" i="16"/>
  <c r="X647" i="16"/>
  <c r="W647" i="16"/>
  <c r="V647" i="16"/>
  <c r="U647" i="16"/>
  <c r="T647" i="16"/>
  <c r="S647" i="16"/>
  <c r="R647" i="16"/>
  <c r="Q647" i="16"/>
  <c r="Y646" i="16"/>
  <c r="X646" i="16"/>
  <c r="W646" i="16"/>
  <c r="V646" i="16"/>
  <c r="U646" i="16"/>
  <c r="T646" i="16"/>
  <c r="S646" i="16"/>
  <c r="R646" i="16"/>
  <c r="Q646" i="16"/>
  <c r="Y645" i="16"/>
  <c r="X645" i="16"/>
  <c r="W645" i="16"/>
  <c r="V645" i="16"/>
  <c r="U645" i="16"/>
  <c r="T645" i="16"/>
  <c r="S645" i="16"/>
  <c r="R645" i="16"/>
  <c r="Q645" i="16"/>
  <c r="Y644" i="16"/>
  <c r="X644" i="16"/>
  <c r="W644" i="16"/>
  <c r="V644" i="16"/>
  <c r="U644" i="16"/>
  <c r="T644" i="16"/>
  <c r="S644" i="16"/>
  <c r="R644" i="16"/>
  <c r="Q644" i="16"/>
  <c r="Y643" i="16"/>
  <c r="X643" i="16"/>
  <c r="W643" i="16"/>
  <c r="V643" i="16"/>
  <c r="U643" i="16"/>
  <c r="T643" i="16"/>
  <c r="S643" i="16"/>
  <c r="R643" i="16"/>
  <c r="Q643" i="16"/>
  <c r="Y642" i="16"/>
  <c r="X642" i="16"/>
  <c r="W642" i="16"/>
  <c r="V642" i="16"/>
  <c r="U642" i="16"/>
  <c r="T642" i="16"/>
  <c r="S642" i="16"/>
  <c r="R642" i="16"/>
  <c r="Q642" i="16"/>
  <c r="Y641" i="16"/>
  <c r="X641" i="16"/>
  <c r="W641" i="16"/>
  <c r="V641" i="16"/>
  <c r="U641" i="16"/>
  <c r="T641" i="16"/>
  <c r="S641" i="16"/>
  <c r="R641" i="16"/>
  <c r="Q641" i="16"/>
  <c r="Y640" i="16"/>
  <c r="X640" i="16"/>
  <c r="W640" i="16"/>
  <c r="V640" i="16"/>
  <c r="U640" i="16"/>
  <c r="T640" i="16"/>
  <c r="S640" i="16"/>
  <c r="R640" i="16"/>
  <c r="Q640" i="16"/>
  <c r="Y639" i="16"/>
  <c r="X639" i="16"/>
  <c r="W639" i="16"/>
  <c r="V639" i="16"/>
  <c r="U639" i="16"/>
  <c r="T639" i="16"/>
  <c r="S639" i="16"/>
  <c r="R639" i="16"/>
  <c r="Q639" i="16"/>
  <c r="Y638" i="16"/>
  <c r="X638" i="16"/>
  <c r="W638" i="16"/>
  <c r="V638" i="16"/>
  <c r="U638" i="16"/>
  <c r="T638" i="16"/>
  <c r="S638" i="16"/>
  <c r="R638" i="16"/>
  <c r="Q638" i="16"/>
  <c r="Y637" i="16"/>
  <c r="X637" i="16"/>
  <c r="W637" i="16"/>
  <c r="V637" i="16"/>
  <c r="U637" i="16"/>
  <c r="T637" i="16"/>
  <c r="S637" i="16"/>
  <c r="R637" i="16"/>
  <c r="Q637" i="16"/>
  <c r="Y636" i="16"/>
  <c r="X636" i="16"/>
  <c r="W636" i="16"/>
  <c r="V636" i="16"/>
  <c r="U636" i="16"/>
  <c r="T636" i="16"/>
  <c r="S636" i="16"/>
  <c r="R636" i="16"/>
  <c r="Q636" i="16"/>
  <c r="Y635" i="16"/>
  <c r="X635" i="16"/>
  <c r="W635" i="16"/>
  <c r="V635" i="16"/>
  <c r="U635" i="16"/>
  <c r="T635" i="16"/>
  <c r="S635" i="16"/>
  <c r="R635" i="16"/>
  <c r="Q635" i="16"/>
  <c r="Y634" i="16"/>
  <c r="X634" i="16"/>
  <c r="W634" i="16"/>
  <c r="V634" i="16"/>
  <c r="U634" i="16"/>
  <c r="T634" i="16"/>
  <c r="S634" i="16"/>
  <c r="R634" i="16"/>
  <c r="Q634" i="16"/>
  <c r="Y633" i="16"/>
  <c r="X633" i="16"/>
  <c r="W633" i="16"/>
  <c r="V633" i="16"/>
  <c r="U633" i="16"/>
  <c r="T633" i="16"/>
  <c r="S633" i="16"/>
  <c r="R633" i="16"/>
  <c r="Q633" i="16"/>
  <c r="Y632" i="16"/>
  <c r="X632" i="16"/>
  <c r="W632" i="16"/>
  <c r="V632" i="16"/>
  <c r="U632" i="16"/>
  <c r="T632" i="16"/>
  <c r="S632" i="16"/>
  <c r="R632" i="16"/>
  <c r="Q632" i="16"/>
  <c r="Y631" i="16"/>
  <c r="X631" i="16"/>
  <c r="W631" i="16"/>
  <c r="V631" i="16"/>
  <c r="U631" i="16"/>
  <c r="T631" i="16"/>
  <c r="S631" i="16"/>
  <c r="R631" i="16"/>
  <c r="Q631" i="16"/>
  <c r="Y630" i="16"/>
  <c r="X630" i="16"/>
  <c r="W630" i="16"/>
  <c r="V630" i="16"/>
  <c r="U630" i="16"/>
  <c r="T630" i="16"/>
  <c r="S630" i="16"/>
  <c r="R630" i="16"/>
  <c r="Q630" i="16"/>
  <c r="Y629" i="16"/>
  <c r="X629" i="16"/>
  <c r="W629" i="16"/>
  <c r="V629" i="16"/>
  <c r="U629" i="16"/>
  <c r="T629" i="16"/>
  <c r="S629" i="16"/>
  <c r="R629" i="16"/>
  <c r="Q629" i="16"/>
  <c r="Y628" i="16"/>
  <c r="X628" i="16"/>
  <c r="W628" i="16"/>
  <c r="V628" i="16"/>
  <c r="U628" i="16"/>
  <c r="T628" i="16"/>
  <c r="S628" i="16"/>
  <c r="R628" i="16"/>
  <c r="Q628" i="16"/>
  <c r="Y627" i="16"/>
  <c r="X627" i="16"/>
  <c r="W627" i="16"/>
  <c r="V627" i="16"/>
  <c r="U627" i="16"/>
  <c r="T627" i="16"/>
  <c r="S627" i="16"/>
  <c r="R627" i="16"/>
  <c r="Q627" i="16"/>
  <c r="Y626" i="16"/>
  <c r="X626" i="16"/>
  <c r="W626" i="16"/>
  <c r="V626" i="16"/>
  <c r="U626" i="16"/>
  <c r="T626" i="16"/>
  <c r="S626" i="16"/>
  <c r="R626" i="16"/>
  <c r="Q626" i="16"/>
  <c r="Y625" i="16"/>
  <c r="X625" i="16"/>
  <c r="W625" i="16"/>
  <c r="V625" i="16"/>
  <c r="U625" i="16"/>
  <c r="T625" i="16"/>
  <c r="S625" i="16"/>
  <c r="R625" i="16"/>
  <c r="Q625" i="16"/>
  <c r="Y624" i="16"/>
  <c r="X624" i="16"/>
  <c r="W624" i="16"/>
  <c r="V624" i="16"/>
  <c r="U624" i="16"/>
  <c r="T624" i="16"/>
  <c r="S624" i="16"/>
  <c r="R624" i="16"/>
  <c r="Q624" i="16"/>
  <c r="Y623" i="16"/>
  <c r="X623" i="16"/>
  <c r="W623" i="16"/>
  <c r="V623" i="16"/>
  <c r="U623" i="16"/>
  <c r="T623" i="16"/>
  <c r="S623" i="16"/>
  <c r="R623" i="16"/>
  <c r="Q623" i="16"/>
  <c r="Y622" i="16"/>
  <c r="X622" i="16"/>
  <c r="W622" i="16"/>
  <c r="V622" i="16"/>
  <c r="U622" i="16"/>
  <c r="T622" i="16"/>
  <c r="S622" i="16"/>
  <c r="R622" i="16"/>
  <c r="Q622" i="16"/>
  <c r="Y621" i="16"/>
  <c r="X621" i="16"/>
  <c r="W621" i="16"/>
  <c r="V621" i="16"/>
  <c r="U621" i="16"/>
  <c r="T621" i="16"/>
  <c r="S621" i="16"/>
  <c r="R621" i="16"/>
  <c r="Q621" i="16"/>
  <c r="Y620" i="16"/>
  <c r="X620" i="16"/>
  <c r="W620" i="16"/>
  <c r="V620" i="16"/>
  <c r="U620" i="16"/>
  <c r="T620" i="16"/>
  <c r="S620" i="16"/>
  <c r="R620" i="16"/>
  <c r="Q620" i="16"/>
  <c r="Y619" i="16"/>
  <c r="X619" i="16"/>
  <c r="W619" i="16"/>
  <c r="V619" i="16"/>
  <c r="U619" i="16"/>
  <c r="T619" i="16"/>
  <c r="S619" i="16"/>
  <c r="R619" i="16"/>
  <c r="Q619" i="16"/>
  <c r="Y618" i="16"/>
  <c r="X618" i="16"/>
  <c r="W618" i="16"/>
  <c r="V618" i="16"/>
  <c r="U618" i="16"/>
  <c r="T618" i="16"/>
  <c r="S618" i="16"/>
  <c r="R618" i="16"/>
  <c r="Q618" i="16"/>
  <c r="Y617" i="16"/>
  <c r="X617" i="16"/>
  <c r="W617" i="16"/>
  <c r="V617" i="16"/>
  <c r="U617" i="16"/>
  <c r="T617" i="16"/>
  <c r="S617" i="16"/>
  <c r="R617" i="16"/>
  <c r="Q617" i="16"/>
  <c r="Y616" i="16"/>
  <c r="X616" i="16"/>
  <c r="W616" i="16"/>
  <c r="V616" i="16"/>
  <c r="U616" i="16"/>
  <c r="T616" i="16"/>
  <c r="S616" i="16"/>
  <c r="R616" i="16"/>
  <c r="Q616" i="16"/>
  <c r="Y615" i="16"/>
  <c r="X615" i="16"/>
  <c r="W615" i="16"/>
  <c r="V615" i="16"/>
  <c r="U615" i="16"/>
  <c r="T615" i="16"/>
  <c r="S615" i="16"/>
  <c r="R615" i="16"/>
  <c r="Q615" i="16"/>
  <c r="Y614" i="16"/>
  <c r="X614" i="16"/>
  <c r="W614" i="16"/>
  <c r="V614" i="16"/>
  <c r="U614" i="16"/>
  <c r="T614" i="16"/>
  <c r="S614" i="16"/>
  <c r="R614" i="16"/>
  <c r="Q614" i="16"/>
  <c r="Y613" i="16"/>
  <c r="X613" i="16"/>
  <c r="W613" i="16"/>
  <c r="V613" i="16"/>
  <c r="U613" i="16"/>
  <c r="T613" i="16"/>
  <c r="S613" i="16"/>
  <c r="R613" i="16"/>
  <c r="Q613" i="16"/>
  <c r="Y612" i="16"/>
  <c r="X612" i="16"/>
  <c r="W612" i="16"/>
  <c r="V612" i="16"/>
  <c r="U612" i="16"/>
  <c r="T612" i="16"/>
  <c r="S612" i="16"/>
  <c r="R612" i="16"/>
  <c r="Q612" i="16"/>
  <c r="Y611" i="16"/>
  <c r="X611" i="16"/>
  <c r="W611" i="16"/>
  <c r="V611" i="16"/>
  <c r="U611" i="16"/>
  <c r="T611" i="16"/>
  <c r="S611" i="16"/>
  <c r="R611" i="16"/>
  <c r="Q611" i="16"/>
  <c r="Y610" i="16"/>
  <c r="X610" i="16"/>
  <c r="W610" i="16"/>
  <c r="V610" i="16"/>
  <c r="U610" i="16"/>
  <c r="T610" i="16"/>
  <c r="S610" i="16"/>
  <c r="R610" i="16"/>
  <c r="Q610" i="16"/>
  <c r="Y609" i="16"/>
  <c r="X609" i="16"/>
  <c r="W609" i="16"/>
  <c r="V609" i="16"/>
  <c r="U609" i="16"/>
  <c r="T609" i="16"/>
  <c r="S609" i="16"/>
  <c r="R609" i="16"/>
  <c r="Q609" i="16"/>
  <c r="Y608" i="16"/>
  <c r="X608" i="16"/>
  <c r="W608" i="16"/>
  <c r="V608" i="16"/>
  <c r="U608" i="16"/>
  <c r="T608" i="16"/>
  <c r="S608" i="16"/>
  <c r="R608" i="16"/>
  <c r="Q608" i="16"/>
  <c r="Y607" i="16"/>
  <c r="X607" i="16"/>
  <c r="W607" i="16"/>
  <c r="V607" i="16"/>
  <c r="U607" i="16"/>
  <c r="T607" i="16"/>
  <c r="S607" i="16"/>
  <c r="R607" i="16"/>
  <c r="Q607" i="16"/>
  <c r="Y606" i="16"/>
  <c r="X606" i="16"/>
  <c r="W606" i="16"/>
  <c r="V606" i="16"/>
  <c r="U606" i="16"/>
  <c r="T606" i="16"/>
  <c r="S606" i="16"/>
  <c r="R606" i="16"/>
  <c r="Q606" i="16"/>
  <c r="Y605" i="16"/>
  <c r="X605" i="16"/>
  <c r="W605" i="16"/>
  <c r="V605" i="16"/>
  <c r="U605" i="16"/>
  <c r="T605" i="16"/>
  <c r="S605" i="16"/>
  <c r="R605" i="16"/>
  <c r="Q605" i="16"/>
  <c r="Y604" i="16"/>
  <c r="X604" i="16"/>
  <c r="W604" i="16"/>
  <c r="V604" i="16"/>
  <c r="U604" i="16"/>
  <c r="T604" i="16"/>
  <c r="S604" i="16"/>
  <c r="R604" i="16"/>
  <c r="Q604" i="16"/>
  <c r="Y603" i="16"/>
  <c r="X603" i="16"/>
  <c r="W603" i="16"/>
  <c r="V603" i="16"/>
  <c r="U603" i="16"/>
  <c r="T603" i="16"/>
  <c r="S603" i="16"/>
  <c r="R603" i="16"/>
  <c r="Q603" i="16"/>
  <c r="Y602" i="16"/>
  <c r="X602" i="16"/>
  <c r="W602" i="16"/>
  <c r="V602" i="16"/>
  <c r="U602" i="16"/>
  <c r="T602" i="16"/>
  <c r="S602" i="16"/>
  <c r="R602" i="16"/>
  <c r="Q602" i="16"/>
  <c r="Y601" i="16"/>
  <c r="X601" i="16"/>
  <c r="W601" i="16"/>
  <c r="V601" i="16"/>
  <c r="U601" i="16"/>
  <c r="T601" i="16"/>
  <c r="S601" i="16"/>
  <c r="R601" i="16"/>
  <c r="Q601" i="16"/>
  <c r="Y600" i="16"/>
  <c r="X600" i="16"/>
  <c r="W600" i="16"/>
  <c r="V600" i="16"/>
  <c r="U600" i="16"/>
  <c r="T600" i="16"/>
  <c r="S600" i="16"/>
  <c r="R600" i="16"/>
  <c r="Q600" i="16"/>
  <c r="Y599" i="16"/>
  <c r="X599" i="16"/>
  <c r="W599" i="16"/>
  <c r="V599" i="16"/>
  <c r="U599" i="16"/>
  <c r="T599" i="16"/>
  <c r="S599" i="16"/>
  <c r="R599" i="16"/>
  <c r="Q599" i="16"/>
  <c r="Y598" i="16"/>
  <c r="X598" i="16"/>
  <c r="W598" i="16"/>
  <c r="V598" i="16"/>
  <c r="U598" i="16"/>
  <c r="T598" i="16"/>
  <c r="S598" i="16"/>
  <c r="R598" i="16"/>
  <c r="Q598" i="16"/>
  <c r="Y597" i="16"/>
  <c r="X597" i="16"/>
  <c r="W597" i="16"/>
  <c r="V597" i="16"/>
  <c r="U597" i="16"/>
  <c r="T597" i="16"/>
  <c r="S597" i="16"/>
  <c r="R597" i="16"/>
  <c r="Q597" i="16"/>
  <c r="Y596" i="16"/>
  <c r="X596" i="16"/>
  <c r="W596" i="16"/>
  <c r="V596" i="16"/>
  <c r="U596" i="16"/>
  <c r="T596" i="16"/>
  <c r="S596" i="16"/>
  <c r="R596" i="16"/>
  <c r="Q596" i="16"/>
  <c r="Y595" i="16"/>
  <c r="X595" i="16"/>
  <c r="W595" i="16"/>
  <c r="V595" i="16"/>
  <c r="U595" i="16"/>
  <c r="T595" i="16"/>
  <c r="S595" i="16"/>
  <c r="R595" i="16"/>
  <c r="Q595" i="16"/>
  <c r="Y594" i="16"/>
  <c r="X594" i="16"/>
  <c r="W594" i="16"/>
  <c r="V594" i="16"/>
  <c r="U594" i="16"/>
  <c r="T594" i="16"/>
  <c r="S594" i="16"/>
  <c r="R594" i="16"/>
  <c r="Q594" i="16"/>
  <c r="Y593" i="16"/>
  <c r="X593" i="16"/>
  <c r="W593" i="16"/>
  <c r="V593" i="16"/>
  <c r="U593" i="16"/>
  <c r="T593" i="16"/>
  <c r="S593" i="16"/>
  <c r="R593" i="16"/>
  <c r="Q593" i="16"/>
  <c r="Y592" i="16"/>
  <c r="X592" i="16"/>
  <c r="W592" i="16"/>
  <c r="V592" i="16"/>
  <c r="U592" i="16"/>
  <c r="T592" i="16"/>
  <c r="S592" i="16"/>
  <c r="R592" i="16"/>
  <c r="Q592" i="16"/>
  <c r="Y591" i="16"/>
  <c r="X591" i="16"/>
  <c r="W591" i="16"/>
  <c r="V591" i="16"/>
  <c r="U591" i="16"/>
  <c r="T591" i="16"/>
  <c r="S591" i="16"/>
  <c r="R591" i="16"/>
  <c r="Q591" i="16"/>
  <c r="Y590" i="16"/>
  <c r="X590" i="16"/>
  <c r="W590" i="16"/>
  <c r="V590" i="16"/>
  <c r="U590" i="16"/>
  <c r="T590" i="16"/>
  <c r="S590" i="16"/>
  <c r="R590" i="16"/>
  <c r="Q590" i="16"/>
  <c r="Y589" i="16"/>
  <c r="X589" i="16"/>
  <c r="W589" i="16"/>
  <c r="V589" i="16"/>
  <c r="U589" i="16"/>
  <c r="T589" i="16"/>
  <c r="S589" i="16"/>
  <c r="R589" i="16"/>
  <c r="Q589" i="16"/>
  <c r="Y588" i="16"/>
  <c r="X588" i="16"/>
  <c r="W588" i="16"/>
  <c r="V588" i="16"/>
  <c r="U588" i="16"/>
  <c r="T588" i="16"/>
  <c r="S588" i="16"/>
  <c r="R588" i="16"/>
  <c r="Q588" i="16"/>
  <c r="Y587" i="16"/>
  <c r="X587" i="16"/>
  <c r="W587" i="16"/>
  <c r="V587" i="16"/>
  <c r="U587" i="16"/>
  <c r="T587" i="16"/>
  <c r="S587" i="16"/>
  <c r="R587" i="16"/>
  <c r="Q587" i="16"/>
  <c r="Y586" i="16"/>
  <c r="X586" i="16"/>
  <c r="W586" i="16"/>
  <c r="V586" i="16"/>
  <c r="U586" i="16"/>
  <c r="T586" i="16"/>
  <c r="S586" i="16"/>
  <c r="R586" i="16"/>
  <c r="Q586" i="16"/>
  <c r="Y585" i="16"/>
  <c r="X585" i="16"/>
  <c r="W585" i="16"/>
  <c r="V585" i="16"/>
  <c r="U585" i="16"/>
  <c r="T585" i="16"/>
  <c r="S585" i="16"/>
  <c r="R585" i="16"/>
  <c r="Q585" i="16"/>
  <c r="Y584" i="16"/>
  <c r="X584" i="16"/>
  <c r="W584" i="16"/>
  <c r="V584" i="16"/>
  <c r="U584" i="16"/>
  <c r="T584" i="16"/>
  <c r="S584" i="16"/>
  <c r="R584" i="16"/>
  <c r="Q584" i="16"/>
  <c r="Y583" i="16"/>
  <c r="X583" i="16"/>
  <c r="W583" i="16"/>
  <c r="V583" i="16"/>
  <c r="U583" i="16"/>
  <c r="T583" i="16"/>
  <c r="S583" i="16"/>
  <c r="R583" i="16"/>
  <c r="Q583" i="16"/>
  <c r="Y582" i="16"/>
  <c r="X582" i="16"/>
  <c r="W582" i="16"/>
  <c r="V582" i="16"/>
  <c r="U582" i="16"/>
  <c r="T582" i="16"/>
  <c r="S582" i="16"/>
  <c r="R582" i="16"/>
  <c r="Q582" i="16"/>
  <c r="Y581" i="16"/>
  <c r="X581" i="16"/>
  <c r="W581" i="16"/>
  <c r="V581" i="16"/>
  <c r="U581" i="16"/>
  <c r="T581" i="16"/>
  <c r="S581" i="16"/>
  <c r="R581" i="16"/>
  <c r="Q581" i="16"/>
  <c r="Y580" i="16"/>
  <c r="X580" i="16"/>
  <c r="W580" i="16"/>
  <c r="V580" i="16"/>
  <c r="U580" i="16"/>
  <c r="T580" i="16"/>
  <c r="S580" i="16"/>
  <c r="R580" i="16"/>
  <c r="Q580" i="16"/>
  <c r="Y579" i="16"/>
  <c r="X579" i="16"/>
  <c r="W579" i="16"/>
  <c r="V579" i="16"/>
  <c r="U579" i="16"/>
  <c r="T579" i="16"/>
  <c r="S579" i="16"/>
  <c r="R579" i="16"/>
  <c r="Q579" i="16"/>
  <c r="Y578" i="16"/>
  <c r="X578" i="16"/>
  <c r="W578" i="16"/>
  <c r="V578" i="16"/>
  <c r="U578" i="16"/>
  <c r="T578" i="16"/>
  <c r="S578" i="16"/>
  <c r="R578" i="16"/>
  <c r="Q578" i="16"/>
  <c r="Y577" i="16"/>
  <c r="X577" i="16"/>
  <c r="W577" i="16"/>
  <c r="V577" i="16"/>
  <c r="U577" i="16"/>
  <c r="T577" i="16"/>
  <c r="S577" i="16"/>
  <c r="R577" i="16"/>
  <c r="Q577" i="16"/>
  <c r="Y576" i="16"/>
  <c r="X576" i="16"/>
  <c r="W576" i="16"/>
  <c r="V576" i="16"/>
  <c r="U576" i="16"/>
  <c r="T576" i="16"/>
  <c r="S576" i="16"/>
  <c r="R576" i="16"/>
  <c r="Q576" i="16"/>
  <c r="Y575" i="16"/>
  <c r="X575" i="16"/>
  <c r="W575" i="16"/>
  <c r="V575" i="16"/>
  <c r="U575" i="16"/>
  <c r="T575" i="16"/>
  <c r="S575" i="16"/>
  <c r="R575" i="16"/>
  <c r="Q575" i="16"/>
  <c r="Y574" i="16"/>
  <c r="X574" i="16"/>
  <c r="W574" i="16"/>
  <c r="V574" i="16"/>
  <c r="U574" i="16"/>
  <c r="T574" i="16"/>
  <c r="S574" i="16"/>
  <c r="R574" i="16"/>
  <c r="Q574" i="16"/>
  <c r="Y573" i="16"/>
  <c r="X573" i="16"/>
  <c r="W573" i="16"/>
  <c r="V573" i="16"/>
  <c r="U573" i="16"/>
  <c r="T573" i="16"/>
  <c r="S573" i="16"/>
  <c r="R573" i="16"/>
  <c r="Q573" i="16"/>
  <c r="Y572" i="16"/>
  <c r="X572" i="16"/>
  <c r="W572" i="16"/>
  <c r="V572" i="16"/>
  <c r="U572" i="16"/>
  <c r="T572" i="16"/>
  <c r="S572" i="16"/>
  <c r="R572" i="16"/>
  <c r="Q572" i="16"/>
  <c r="Y571" i="16"/>
  <c r="X571" i="16"/>
  <c r="W571" i="16"/>
  <c r="V571" i="16"/>
  <c r="U571" i="16"/>
  <c r="T571" i="16"/>
  <c r="S571" i="16"/>
  <c r="R571" i="16"/>
  <c r="Q571" i="16"/>
  <c r="Y570" i="16"/>
  <c r="X570" i="16"/>
  <c r="W570" i="16"/>
  <c r="V570" i="16"/>
  <c r="U570" i="16"/>
  <c r="T570" i="16"/>
  <c r="S570" i="16"/>
  <c r="R570" i="16"/>
  <c r="Q570" i="16"/>
  <c r="Y569" i="16"/>
  <c r="X569" i="16"/>
  <c r="W569" i="16"/>
  <c r="V569" i="16"/>
  <c r="U569" i="16"/>
  <c r="T569" i="16"/>
  <c r="S569" i="16"/>
  <c r="R569" i="16"/>
  <c r="Q569" i="16"/>
  <c r="Y568" i="16"/>
  <c r="X568" i="16"/>
  <c r="W568" i="16"/>
  <c r="V568" i="16"/>
  <c r="U568" i="16"/>
  <c r="T568" i="16"/>
  <c r="S568" i="16"/>
  <c r="R568" i="16"/>
  <c r="Q568" i="16"/>
  <c r="Y567" i="16"/>
  <c r="X567" i="16"/>
  <c r="W567" i="16"/>
  <c r="V567" i="16"/>
  <c r="U567" i="16"/>
  <c r="T567" i="16"/>
  <c r="S567" i="16"/>
  <c r="R567" i="16"/>
  <c r="Q567" i="16"/>
  <c r="Y566" i="16"/>
  <c r="X566" i="16"/>
  <c r="W566" i="16"/>
  <c r="V566" i="16"/>
  <c r="U566" i="16"/>
  <c r="T566" i="16"/>
  <c r="S566" i="16"/>
  <c r="R566" i="16"/>
  <c r="Q566" i="16"/>
  <c r="Y565" i="16"/>
  <c r="X565" i="16"/>
  <c r="W565" i="16"/>
  <c r="V565" i="16"/>
  <c r="U565" i="16"/>
  <c r="T565" i="16"/>
  <c r="S565" i="16"/>
  <c r="R565" i="16"/>
  <c r="Q565" i="16"/>
  <c r="Y564" i="16"/>
  <c r="X564" i="16"/>
  <c r="W564" i="16"/>
  <c r="V564" i="16"/>
  <c r="U564" i="16"/>
  <c r="T564" i="16"/>
  <c r="S564" i="16"/>
  <c r="R564" i="16"/>
  <c r="Q564" i="16"/>
  <c r="Y563" i="16"/>
  <c r="X563" i="16"/>
  <c r="W563" i="16"/>
  <c r="V563" i="16"/>
  <c r="U563" i="16"/>
  <c r="T563" i="16"/>
  <c r="S563" i="16"/>
  <c r="R563" i="16"/>
  <c r="Q563" i="16"/>
  <c r="Y562" i="16"/>
  <c r="X562" i="16"/>
  <c r="W562" i="16"/>
  <c r="V562" i="16"/>
  <c r="U562" i="16"/>
  <c r="T562" i="16"/>
  <c r="S562" i="16"/>
  <c r="R562" i="16"/>
  <c r="Q562" i="16"/>
  <c r="Y561" i="16"/>
  <c r="X561" i="16"/>
  <c r="W561" i="16"/>
  <c r="V561" i="16"/>
  <c r="U561" i="16"/>
  <c r="T561" i="16"/>
  <c r="S561" i="16"/>
  <c r="R561" i="16"/>
  <c r="Q561" i="16"/>
  <c r="Y560" i="16"/>
  <c r="X560" i="16"/>
  <c r="W560" i="16"/>
  <c r="V560" i="16"/>
  <c r="U560" i="16"/>
  <c r="T560" i="16"/>
  <c r="S560" i="16"/>
  <c r="R560" i="16"/>
  <c r="Q560" i="16"/>
  <c r="Y559" i="16"/>
  <c r="X559" i="16"/>
  <c r="W559" i="16"/>
  <c r="V559" i="16"/>
  <c r="U559" i="16"/>
  <c r="T559" i="16"/>
  <c r="S559" i="16"/>
  <c r="R559" i="16"/>
  <c r="Q559" i="16"/>
  <c r="Y558" i="16"/>
  <c r="X558" i="16"/>
  <c r="W558" i="16"/>
  <c r="V558" i="16"/>
  <c r="U558" i="16"/>
  <c r="T558" i="16"/>
  <c r="S558" i="16"/>
  <c r="R558" i="16"/>
  <c r="Q558" i="16"/>
  <c r="Y557" i="16"/>
  <c r="X557" i="16"/>
  <c r="W557" i="16"/>
  <c r="V557" i="16"/>
  <c r="U557" i="16"/>
  <c r="T557" i="16"/>
  <c r="S557" i="16"/>
  <c r="R557" i="16"/>
  <c r="Q557" i="16"/>
  <c r="Y556" i="16"/>
  <c r="X556" i="16"/>
  <c r="W556" i="16"/>
  <c r="V556" i="16"/>
  <c r="U556" i="16"/>
  <c r="T556" i="16"/>
  <c r="S556" i="16"/>
  <c r="R556" i="16"/>
  <c r="Q556" i="16"/>
  <c r="Y555" i="16"/>
  <c r="X555" i="16"/>
  <c r="W555" i="16"/>
  <c r="V555" i="16"/>
  <c r="U555" i="16"/>
  <c r="T555" i="16"/>
  <c r="S555" i="16"/>
  <c r="R555" i="16"/>
  <c r="Q555" i="16"/>
  <c r="Y554" i="16"/>
  <c r="X554" i="16"/>
  <c r="W554" i="16"/>
  <c r="V554" i="16"/>
  <c r="U554" i="16"/>
  <c r="T554" i="16"/>
  <c r="S554" i="16"/>
  <c r="R554" i="16"/>
  <c r="Q554" i="16"/>
  <c r="Y553" i="16"/>
  <c r="X553" i="16"/>
  <c r="W553" i="16"/>
  <c r="V553" i="16"/>
  <c r="U553" i="16"/>
  <c r="T553" i="16"/>
  <c r="S553" i="16"/>
  <c r="R553" i="16"/>
  <c r="Q553" i="16"/>
  <c r="Y552" i="16"/>
  <c r="X552" i="16"/>
  <c r="W552" i="16"/>
  <c r="V552" i="16"/>
  <c r="U552" i="16"/>
  <c r="T552" i="16"/>
  <c r="S552" i="16"/>
  <c r="R552" i="16"/>
  <c r="Q552" i="16"/>
  <c r="Y551" i="16"/>
  <c r="X551" i="16"/>
  <c r="W551" i="16"/>
  <c r="V551" i="16"/>
  <c r="U551" i="16"/>
  <c r="T551" i="16"/>
  <c r="S551" i="16"/>
  <c r="R551" i="16"/>
  <c r="Q551" i="16"/>
  <c r="Y550" i="16"/>
  <c r="X550" i="16"/>
  <c r="W550" i="16"/>
  <c r="V550" i="16"/>
  <c r="U550" i="16"/>
  <c r="T550" i="16"/>
  <c r="S550" i="16"/>
  <c r="R550" i="16"/>
  <c r="Q550" i="16"/>
  <c r="Y549" i="16"/>
  <c r="X549" i="16"/>
  <c r="W549" i="16"/>
  <c r="V549" i="16"/>
  <c r="U549" i="16"/>
  <c r="T549" i="16"/>
  <c r="S549" i="16"/>
  <c r="R549" i="16"/>
  <c r="Q549" i="16"/>
  <c r="Y548" i="16"/>
  <c r="X548" i="16"/>
  <c r="W548" i="16"/>
  <c r="V548" i="16"/>
  <c r="U548" i="16"/>
  <c r="T548" i="16"/>
  <c r="S548" i="16"/>
  <c r="R548" i="16"/>
  <c r="Q548" i="16"/>
  <c r="Y547" i="16"/>
  <c r="X547" i="16"/>
  <c r="W547" i="16"/>
  <c r="V547" i="16"/>
  <c r="U547" i="16"/>
  <c r="T547" i="16"/>
  <c r="S547" i="16"/>
  <c r="R547" i="16"/>
  <c r="Q547" i="16"/>
  <c r="Y546" i="16"/>
  <c r="X546" i="16"/>
  <c r="W546" i="16"/>
  <c r="V546" i="16"/>
  <c r="U546" i="16"/>
  <c r="T546" i="16"/>
  <c r="S546" i="16"/>
  <c r="R546" i="16"/>
  <c r="Q546" i="16"/>
  <c r="Y545" i="16"/>
  <c r="X545" i="16"/>
  <c r="W545" i="16"/>
  <c r="V545" i="16"/>
  <c r="U545" i="16"/>
  <c r="T545" i="16"/>
  <c r="S545" i="16"/>
  <c r="R545" i="16"/>
  <c r="Q545" i="16"/>
  <c r="Y544" i="16"/>
  <c r="X544" i="16"/>
  <c r="W544" i="16"/>
  <c r="V544" i="16"/>
  <c r="U544" i="16"/>
  <c r="T544" i="16"/>
  <c r="S544" i="16"/>
  <c r="R544" i="16"/>
  <c r="Q544" i="16"/>
  <c r="Y543" i="16"/>
  <c r="X543" i="16"/>
  <c r="W543" i="16"/>
  <c r="V543" i="16"/>
  <c r="U543" i="16"/>
  <c r="T543" i="16"/>
  <c r="S543" i="16"/>
  <c r="R543" i="16"/>
  <c r="Q543" i="16"/>
  <c r="Y542" i="16"/>
  <c r="X542" i="16"/>
  <c r="W542" i="16"/>
  <c r="V542" i="16"/>
  <c r="U542" i="16"/>
  <c r="T542" i="16"/>
  <c r="S542" i="16"/>
  <c r="R542" i="16"/>
  <c r="Q542" i="16"/>
  <c r="Y541" i="16"/>
  <c r="X541" i="16"/>
  <c r="W541" i="16"/>
  <c r="V541" i="16"/>
  <c r="U541" i="16"/>
  <c r="T541" i="16"/>
  <c r="S541" i="16"/>
  <c r="R541" i="16"/>
  <c r="Q541" i="16"/>
  <c r="Y540" i="16"/>
  <c r="X540" i="16"/>
  <c r="W540" i="16"/>
  <c r="V540" i="16"/>
  <c r="U540" i="16"/>
  <c r="T540" i="16"/>
  <c r="S540" i="16"/>
  <c r="R540" i="16"/>
  <c r="Q540" i="16"/>
  <c r="Y539" i="16"/>
  <c r="X539" i="16"/>
  <c r="W539" i="16"/>
  <c r="V539" i="16"/>
  <c r="U539" i="16"/>
  <c r="T539" i="16"/>
  <c r="S539" i="16"/>
  <c r="R539" i="16"/>
  <c r="Q539" i="16"/>
  <c r="Y538" i="16"/>
  <c r="X538" i="16"/>
  <c r="W538" i="16"/>
  <c r="V538" i="16"/>
  <c r="U538" i="16"/>
  <c r="T538" i="16"/>
  <c r="S538" i="16"/>
  <c r="R538" i="16"/>
  <c r="Q538" i="16"/>
  <c r="Y537" i="16"/>
  <c r="X537" i="16"/>
  <c r="W537" i="16"/>
  <c r="V537" i="16"/>
  <c r="U537" i="16"/>
  <c r="T537" i="16"/>
  <c r="S537" i="16"/>
  <c r="R537" i="16"/>
  <c r="Q537" i="16"/>
  <c r="Y536" i="16"/>
  <c r="X536" i="16"/>
  <c r="W536" i="16"/>
  <c r="V536" i="16"/>
  <c r="U536" i="16"/>
  <c r="T536" i="16"/>
  <c r="S536" i="16"/>
  <c r="R536" i="16"/>
  <c r="Q536" i="16"/>
  <c r="Y535" i="16"/>
  <c r="X535" i="16"/>
  <c r="W535" i="16"/>
  <c r="V535" i="16"/>
  <c r="U535" i="16"/>
  <c r="T535" i="16"/>
  <c r="S535" i="16"/>
  <c r="R535" i="16"/>
  <c r="Q535" i="16"/>
  <c r="Y534" i="16"/>
  <c r="X534" i="16"/>
  <c r="W534" i="16"/>
  <c r="V534" i="16"/>
  <c r="U534" i="16"/>
  <c r="T534" i="16"/>
  <c r="S534" i="16"/>
  <c r="R534" i="16"/>
  <c r="Q534" i="16"/>
  <c r="Y533" i="16"/>
  <c r="X533" i="16"/>
  <c r="W533" i="16"/>
  <c r="V533" i="16"/>
  <c r="U533" i="16"/>
  <c r="T533" i="16"/>
  <c r="S533" i="16"/>
  <c r="R533" i="16"/>
  <c r="Q533" i="16"/>
  <c r="Y532" i="16"/>
  <c r="X532" i="16"/>
  <c r="W532" i="16"/>
  <c r="V532" i="16"/>
  <c r="U532" i="16"/>
  <c r="T532" i="16"/>
  <c r="S532" i="16"/>
  <c r="R532" i="16"/>
  <c r="Q532" i="16"/>
  <c r="Y531" i="16"/>
  <c r="X531" i="16"/>
  <c r="W531" i="16"/>
  <c r="V531" i="16"/>
  <c r="U531" i="16"/>
  <c r="T531" i="16"/>
  <c r="S531" i="16"/>
  <c r="R531" i="16"/>
  <c r="Q531" i="16"/>
  <c r="Y530" i="16"/>
  <c r="X530" i="16"/>
  <c r="W530" i="16"/>
  <c r="V530" i="16"/>
  <c r="U530" i="16"/>
  <c r="T530" i="16"/>
  <c r="S530" i="16"/>
  <c r="R530" i="16"/>
  <c r="Q530" i="16"/>
  <c r="Y529" i="16"/>
  <c r="X529" i="16"/>
  <c r="W529" i="16"/>
  <c r="V529" i="16"/>
  <c r="U529" i="16"/>
  <c r="T529" i="16"/>
  <c r="S529" i="16"/>
  <c r="R529" i="16"/>
  <c r="Q529" i="16"/>
  <c r="Y528" i="16"/>
  <c r="X528" i="16"/>
  <c r="W528" i="16"/>
  <c r="V528" i="16"/>
  <c r="U528" i="16"/>
  <c r="T528" i="16"/>
  <c r="S528" i="16"/>
  <c r="R528" i="16"/>
  <c r="Q528" i="16"/>
  <c r="Y527" i="16"/>
  <c r="X527" i="16"/>
  <c r="W527" i="16"/>
  <c r="V527" i="16"/>
  <c r="U527" i="16"/>
  <c r="T527" i="16"/>
  <c r="S527" i="16"/>
  <c r="R527" i="16"/>
  <c r="Q527" i="16"/>
  <c r="Y526" i="16"/>
  <c r="X526" i="16"/>
  <c r="W526" i="16"/>
  <c r="V526" i="16"/>
  <c r="U526" i="16"/>
  <c r="T526" i="16"/>
  <c r="S526" i="16"/>
  <c r="R526" i="16"/>
  <c r="Q526" i="16"/>
  <c r="Y525" i="16"/>
  <c r="X525" i="16"/>
  <c r="W525" i="16"/>
  <c r="V525" i="16"/>
  <c r="U525" i="16"/>
  <c r="T525" i="16"/>
  <c r="S525" i="16"/>
  <c r="R525" i="16"/>
  <c r="Q525" i="16"/>
  <c r="Y524" i="16"/>
  <c r="X524" i="16"/>
  <c r="W524" i="16"/>
  <c r="V524" i="16"/>
  <c r="U524" i="16"/>
  <c r="T524" i="16"/>
  <c r="S524" i="16"/>
  <c r="R524" i="16"/>
  <c r="Q524" i="16"/>
  <c r="Y523" i="16"/>
  <c r="X523" i="16"/>
  <c r="W523" i="16"/>
  <c r="V523" i="16"/>
  <c r="U523" i="16"/>
  <c r="T523" i="16"/>
  <c r="S523" i="16"/>
  <c r="R523" i="16"/>
  <c r="Q523" i="16"/>
  <c r="Y522" i="16"/>
  <c r="X522" i="16"/>
  <c r="W522" i="16"/>
  <c r="V522" i="16"/>
  <c r="U522" i="16"/>
  <c r="T522" i="16"/>
  <c r="S522" i="16"/>
  <c r="R522" i="16"/>
  <c r="Q522" i="16"/>
  <c r="Y521" i="16"/>
  <c r="X521" i="16"/>
  <c r="W521" i="16"/>
  <c r="V521" i="16"/>
  <c r="U521" i="16"/>
  <c r="T521" i="16"/>
  <c r="S521" i="16"/>
  <c r="R521" i="16"/>
  <c r="Q521" i="16"/>
  <c r="Y520" i="16"/>
  <c r="X520" i="16"/>
  <c r="W520" i="16"/>
  <c r="V520" i="16"/>
  <c r="U520" i="16"/>
  <c r="T520" i="16"/>
  <c r="S520" i="16"/>
  <c r="R520" i="16"/>
  <c r="Q520" i="16"/>
  <c r="Y519" i="16"/>
  <c r="X519" i="16"/>
  <c r="W519" i="16"/>
  <c r="V519" i="16"/>
  <c r="U519" i="16"/>
  <c r="T519" i="16"/>
  <c r="S519" i="16"/>
  <c r="R519" i="16"/>
  <c r="Q519" i="16"/>
  <c r="Y518" i="16"/>
  <c r="X518" i="16"/>
  <c r="W518" i="16"/>
  <c r="V518" i="16"/>
  <c r="U518" i="16"/>
  <c r="T518" i="16"/>
  <c r="S518" i="16"/>
  <c r="R518" i="16"/>
  <c r="Q518" i="16"/>
  <c r="Y517" i="16"/>
  <c r="X517" i="16"/>
  <c r="W517" i="16"/>
  <c r="V517" i="16"/>
  <c r="U517" i="16"/>
  <c r="T517" i="16"/>
  <c r="S517" i="16"/>
  <c r="R517" i="16"/>
  <c r="Q517" i="16"/>
  <c r="Y516" i="16"/>
  <c r="X516" i="16"/>
  <c r="W516" i="16"/>
  <c r="V516" i="16"/>
  <c r="U516" i="16"/>
  <c r="T516" i="16"/>
  <c r="S516" i="16"/>
  <c r="R516" i="16"/>
  <c r="Q516" i="16"/>
  <c r="Y515" i="16"/>
  <c r="X515" i="16"/>
  <c r="W515" i="16"/>
  <c r="V515" i="16"/>
  <c r="U515" i="16"/>
  <c r="T515" i="16"/>
  <c r="S515" i="16"/>
  <c r="R515" i="16"/>
  <c r="Q515" i="16"/>
  <c r="Y514" i="16"/>
  <c r="X514" i="16"/>
  <c r="W514" i="16"/>
  <c r="V514" i="16"/>
  <c r="U514" i="16"/>
  <c r="T514" i="16"/>
  <c r="S514" i="16"/>
  <c r="R514" i="16"/>
  <c r="Q514" i="16"/>
  <c r="Y513" i="16"/>
  <c r="X513" i="16"/>
  <c r="W513" i="16"/>
  <c r="V513" i="16"/>
  <c r="U513" i="16"/>
  <c r="T513" i="16"/>
  <c r="S513" i="16"/>
  <c r="R513" i="16"/>
  <c r="Q513" i="16"/>
  <c r="Y512" i="16"/>
  <c r="X512" i="16"/>
  <c r="W512" i="16"/>
  <c r="V512" i="16"/>
  <c r="U512" i="16"/>
  <c r="T512" i="16"/>
  <c r="S512" i="16"/>
  <c r="R512" i="16"/>
  <c r="Q512" i="16"/>
  <c r="Y511" i="16"/>
  <c r="X511" i="16"/>
  <c r="W511" i="16"/>
  <c r="V511" i="16"/>
  <c r="U511" i="16"/>
  <c r="T511" i="16"/>
  <c r="S511" i="16"/>
  <c r="R511" i="16"/>
  <c r="Q511" i="16"/>
  <c r="Y510" i="16"/>
  <c r="X510" i="16"/>
  <c r="W510" i="16"/>
  <c r="V510" i="16"/>
  <c r="U510" i="16"/>
  <c r="T510" i="16"/>
  <c r="S510" i="16"/>
  <c r="R510" i="16"/>
  <c r="Q510" i="16"/>
  <c r="Y509" i="16"/>
  <c r="X509" i="16"/>
  <c r="W509" i="16"/>
  <c r="V509" i="16"/>
  <c r="U509" i="16"/>
  <c r="T509" i="16"/>
  <c r="S509" i="16"/>
  <c r="R509" i="16"/>
  <c r="Q509" i="16"/>
  <c r="Y508" i="16"/>
  <c r="X508" i="16"/>
  <c r="W508" i="16"/>
  <c r="V508" i="16"/>
  <c r="U508" i="16"/>
  <c r="T508" i="16"/>
  <c r="S508" i="16"/>
  <c r="R508" i="16"/>
  <c r="Q508" i="16"/>
  <c r="Y507" i="16"/>
  <c r="X507" i="16"/>
  <c r="W507" i="16"/>
  <c r="V507" i="16"/>
  <c r="U507" i="16"/>
  <c r="T507" i="16"/>
  <c r="S507" i="16"/>
  <c r="R507" i="16"/>
  <c r="Q507" i="16"/>
  <c r="Y506" i="16"/>
  <c r="X506" i="16"/>
  <c r="W506" i="16"/>
  <c r="V506" i="16"/>
  <c r="U506" i="16"/>
  <c r="T506" i="16"/>
  <c r="S506" i="16"/>
  <c r="R506" i="16"/>
  <c r="Q506" i="16"/>
  <c r="Y505" i="16"/>
  <c r="X505" i="16"/>
  <c r="W505" i="16"/>
  <c r="V505" i="16"/>
  <c r="U505" i="16"/>
  <c r="T505" i="16"/>
  <c r="S505" i="16"/>
  <c r="R505" i="16"/>
  <c r="Q505" i="16"/>
  <c r="Y504" i="16"/>
  <c r="X504" i="16"/>
  <c r="W504" i="16"/>
  <c r="V504" i="16"/>
  <c r="U504" i="16"/>
  <c r="T504" i="16"/>
  <c r="S504" i="16"/>
  <c r="R504" i="16"/>
  <c r="Q504" i="16"/>
  <c r="Y503" i="16"/>
  <c r="X503" i="16"/>
  <c r="W503" i="16"/>
  <c r="V503" i="16"/>
  <c r="U503" i="16"/>
  <c r="T503" i="16"/>
  <c r="S503" i="16"/>
  <c r="R503" i="16"/>
  <c r="Q503" i="16"/>
  <c r="Y502" i="16"/>
  <c r="X502" i="16"/>
  <c r="W502" i="16"/>
  <c r="V502" i="16"/>
  <c r="U502" i="16"/>
  <c r="T502" i="16"/>
  <c r="S502" i="16"/>
  <c r="R502" i="16"/>
  <c r="Q502" i="16"/>
  <c r="Y501" i="16"/>
  <c r="X501" i="16"/>
  <c r="W501" i="16"/>
  <c r="V501" i="16"/>
  <c r="U501" i="16"/>
  <c r="T501" i="16"/>
  <c r="S501" i="16"/>
  <c r="R501" i="16"/>
  <c r="Q501" i="16"/>
  <c r="Y500" i="16"/>
  <c r="X500" i="16"/>
  <c r="W500" i="16"/>
  <c r="V500" i="16"/>
  <c r="U500" i="16"/>
  <c r="T500" i="16"/>
  <c r="S500" i="16"/>
  <c r="R500" i="16"/>
  <c r="Q500" i="16"/>
  <c r="Y499" i="16"/>
  <c r="X499" i="16"/>
  <c r="W499" i="16"/>
  <c r="V499" i="16"/>
  <c r="U499" i="16"/>
  <c r="T499" i="16"/>
  <c r="S499" i="16"/>
  <c r="R499" i="16"/>
  <c r="Q499" i="16"/>
  <c r="Y498" i="16"/>
  <c r="X498" i="16"/>
  <c r="W498" i="16"/>
  <c r="V498" i="16"/>
  <c r="U498" i="16"/>
  <c r="T498" i="16"/>
  <c r="S498" i="16"/>
  <c r="R498" i="16"/>
  <c r="Q498" i="16"/>
  <c r="Y497" i="16"/>
  <c r="X497" i="16"/>
  <c r="W497" i="16"/>
  <c r="V497" i="16"/>
  <c r="U497" i="16"/>
  <c r="T497" i="16"/>
  <c r="S497" i="16"/>
  <c r="R497" i="16"/>
  <c r="Q497" i="16"/>
  <c r="Y496" i="16"/>
  <c r="X496" i="16"/>
  <c r="W496" i="16"/>
  <c r="V496" i="16"/>
  <c r="U496" i="16"/>
  <c r="T496" i="16"/>
  <c r="S496" i="16"/>
  <c r="R496" i="16"/>
  <c r="Q496" i="16"/>
  <c r="Y495" i="16"/>
  <c r="X495" i="16"/>
  <c r="W495" i="16"/>
  <c r="V495" i="16"/>
  <c r="U495" i="16"/>
  <c r="T495" i="16"/>
  <c r="S495" i="16"/>
  <c r="R495" i="16"/>
  <c r="Q495" i="16"/>
  <c r="Y494" i="16"/>
  <c r="X494" i="16"/>
  <c r="W494" i="16"/>
  <c r="V494" i="16"/>
  <c r="U494" i="16"/>
  <c r="T494" i="16"/>
  <c r="S494" i="16"/>
  <c r="R494" i="16"/>
  <c r="Q494" i="16"/>
  <c r="Y493" i="16"/>
  <c r="X493" i="16"/>
  <c r="W493" i="16"/>
  <c r="V493" i="16"/>
  <c r="U493" i="16"/>
  <c r="T493" i="16"/>
  <c r="S493" i="16"/>
  <c r="R493" i="16"/>
  <c r="Q493" i="16"/>
  <c r="Y492" i="16"/>
  <c r="X492" i="16"/>
  <c r="W492" i="16"/>
  <c r="V492" i="16"/>
  <c r="U492" i="16"/>
  <c r="T492" i="16"/>
  <c r="S492" i="16"/>
  <c r="R492" i="16"/>
  <c r="Q492" i="16"/>
  <c r="Y491" i="16"/>
  <c r="X491" i="16"/>
  <c r="W491" i="16"/>
  <c r="V491" i="16"/>
  <c r="U491" i="16"/>
  <c r="T491" i="16"/>
  <c r="S491" i="16"/>
  <c r="R491" i="16"/>
  <c r="Q491" i="16"/>
  <c r="Y490" i="16"/>
  <c r="X490" i="16"/>
  <c r="W490" i="16"/>
  <c r="V490" i="16"/>
  <c r="U490" i="16"/>
  <c r="T490" i="16"/>
  <c r="S490" i="16"/>
  <c r="R490" i="16"/>
  <c r="Q490" i="16"/>
  <c r="Y489" i="16"/>
  <c r="X489" i="16"/>
  <c r="W489" i="16"/>
  <c r="V489" i="16"/>
  <c r="U489" i="16"/>
  <c r="T489" i="16"/>
  <c r="S489" i="16"/>
  <c r="R489" i="16"/>
  <c r="Q489" i="16"/>
  <c r="Y488" i="16"/>
  <c r="X488" i="16"/>
  <c r="W488" i="16"/>
  <c r="V488" i="16"/>
  <c r="U488" i="16"/>
  <c r="T488" i="16"/>
  <c r="S488" i="16"/>
  <c r="R488" i="16"/>
  <c r="Q488" i="16"/>
  <c r="Y487" i="16"/>
  <c r="X487" i="16"/>
  <c r="W487" i="16"/>
  <c r="V487" i="16"/>
  <c r="U487" i="16"/>
  <c r="T487" i="16"/>
  <c r="S487" i="16"/>
  <c r="R487" i="16"/>
  <c r="Q487" i="16"/>
  <c r="Y486" i="16"/>
  <c r="X486" i="16"/>
  <c r="W486" i="16"/>
  <c r="V486" i="16"/>
  <c r="U486" i="16"/>
  <c r="T486" i="16"/>
  <c r="S486" i="16"/>
  <c r="R486" i="16"/>
  <c r="Q486" i="16"/>
  <c r="Y485" i="16"/>
  <c r="X485" i="16"/>
  <c r="W485" i="16"/>
  <c r="V485" i="16"/>
  <c r="U485" i="16"/>
  <c r="T485" i="16"/>
  <c r="S485" i="16"/>
  <c r="R485" i="16"/>
  <c r="Q485" i="16"/>
  <c r="Y484" i="16"/>
  <c r="X484" i="16"/>
  <c r="W484" i="16"/>
  <c r="V484" i="16"/>
  <c r="U484" i="16"/>
  <c r="T484" i="16"/>
  <c r="S484" i="16"/>
  <c r="R484" i="16"/>
  <c r="Q484" i="16"/>
  <c r="Y483" i="16"/>
  <c r="X483" i="16"/>
  <c r="W483" i="16"/>
  <c r="V483" i="16"/>
  <c r="U483" i="16"/>
  <c r="T483" i="16"/>
  <c r="S483" i="16"/>
  <c r="R483" i="16"/>
  <c r="Q483" i="16"/>
  <c r="Y482" i="16"/>
  <c r="X482" i="16"/>
  <c r="W482" i="16"/>
  <c r="V482" i="16"/>
  <c r="U482" i="16"/>
  <c r="T482" i="16"/>
  <c r="S482" i="16"/>
  <c r="R482" i="16"/>
  <c r="Q482" i="16"/>
  <c r="Y481" i="16"/>
  <c r="X481" i="16"/>
  <c r="W481" i="16"/>
  <c r="V481" i="16"/>
  <c r="U481" i="16"/>
  <c r="T481" i="16"/>
  <c r="S481" i="16"/>
  <c r="R481" i="16"/>
  <c r="Q481" i="16"/>
  <c r="Y480" i="16"/>
  <c r="X480" i="16"/>
  <c r="W480" i="16"/>
  <c r="V480" i="16"/>
  <c r="U480" i="16"/>
  <c r="T480" i="16"/>
  <c r="S480" i="16"/>
  <c r="R480" i="16"/>
  <c r="Q480" i="16"/>
  <c r="Y479" i="16"/>
  <c r="X479" i="16"/>
  <c r="W479" i="16"/>
  <c r="V479" i="16"/>
  <c r="U479" i="16"/>
  <c r="T479" i="16"/>
  <c r="S479" i="16"/>
  <c r="R479" i="16"/>
  <c r="Q479" i="16"/>
  <c r="Y478" i="16"/>
  <c r="X478" i="16"/>
  <c r="W478" i="16"/>
  <c r="V478" i="16"/>
  <c r="U478" i="16"/>
  <c r="T478" i="16"/>
  <c r="S478" i="16"/>
  <c r="R478" i="16"/>
  <c r="Q478" i="16"/>
  <c r="Y477" i="16"/>
  <c r="X477" i="16"/>
  <c r="W477" i="16"/>
  <c r="V477" i="16"/>
  <c r="U477" i="16"/>
  <c r="T477" i="16"/>
  <c r="S477" i="16"/>
  <c r="R477" i="16"/>
  <c r="Q477" i="16"/>
  <c r="Y476" i="16"/>
  <c r="X476" i="16"/>
  <c r="W476" i="16"/>
  <c r="V476" i="16"/>
  <c r="U476" i="16"/>
  <c r="T476" i="16"/>
  <c r="S476" i="16"/>
  <c r="R476" i="16"/>
  <c r="Q476" i="16"/>
  <c r="Y475" i="16"/>
  <c r="X475" i="16"/>
  <c r="W475" i="16"/>
  <c r="V475" i="16"/>
  <c r="U475" i="16"/>
  <c r="T475" i="16"/>
  <c r="S475" i="16"/>
  <c r="R475" i="16"/>
  <c r="Q475" i="16"/>
  <c r="Y474" i="16"/>
  <c r="X474" i="16"/>
  <c r="W474" i="16"/>
  <c r="V474" i="16"/>
  <c r="U474" i="16"/>
  <c r="T474" i="16"/>
  <c r="S474" i="16"/>
  <c r="R474" i="16"/>
  <c r="Q474" i="16"/>
  <c r="Y473" i="16"/>
  <c r="X473" i="16"/>
  <c r="W473" i="16"/>
  <c r="V473" i="16"/>
  <c r="U473" i="16"/>
  <c r="T473" i="16"/>
  <c r="S473" i="16"/>
  <c r="R473" i="16"/>
  <c r="Q473" i="16"/>
  <c r="Y472" i="16"/>
  <c r="X472" i="16"/>
  <c r="W472" i="16"/>
  <c r="V472" i="16"/>
  <c r="U472" i="16"/>
  <c r="T472" i="16"/>
  <c r="S472" i="16"/>
  <c r="R472" i="16"/>
  <c r="Q472" i="16"/>
  <c r="Y471" i="16"/>
  <c r="X471" i="16"/>
  <c r="W471" i="16"/>
  <c r="V471" i="16"/>
  <c r="U471" i="16"/>
  <c r="T471" i="16"/>
  <c r="S471" i="16"/>
  <c r="R471" i="16"/>
  <c r="Q471" i="16"/>
  <c r="Y470" i="16"/>
  <c r="X470" i="16"/>
  <c r="W470" i="16"/>
  <c r="V470" i="16"/>
  <c r="U470" i="16"/>
  <c r="T470" i="16"/>
  <c r="S470" i="16"/>
  <c r="R470" i="16"/>
  <c r="Q470" i="16"/>
  <c r="Y469" i="16"/>
  <c r="X469" i="16"/>
  <c r="W469" i="16"/>
  <c r="V469" i="16"/>
  <c r="U469" i="16"/>
  <c r="T469" i="16"/>
  <c r="S469" i="16"/>
  <c r="R469" i="16"/>
  <c r="Q469" i="16"/>
  <c r="Y468" i="16"/>
  <c r="X468" i="16"/>
  <c r="W468" i="16"/>
  <c r="V468" i="16"/>
  <c r="U468" i="16"/>
  <c r="T468" i="16"/>
  <c r="S468" i="16"/>
  <c r="R468" i="16"/>
  <c r="Q468" i="16"/>
  <c r="Y467" i="16"/>
  <c r="X467" i="16"/>
  <c r="W467" i="16"/>
  <c r="V467" i="16"/>
  <c r="U467" i="16"/>
  <c r="T467" i="16"/>
  <c r="S467" i="16"/>
  <c r="R467" i="16"/>
  <c r="Q467" i="16"/>
  <c r="Y466" i="16"/>
  <c r="X466" i="16"/>
  <c r="W466" i="16"/>
  <c r="V466" i="16"/>
  <c r="U466" i="16"/>
  <c r="T466" i="16"/>
  <c r="S466" i="16"/>
  <c r="R466" i="16"/>
  <c r="Q466" i="16"/>
  <c r="Y465" i="16"/>
  <c r="X465" i="16"/>
  <c r="W465" i="16"/>
  <c r="V465" i="16"/>
  <c r="U465" i="16"/>
  <c r="T465" i="16"/>
  <c r="S465" i="16"/>
  <c r="R465" i="16"/>
  <c r="Q465" i="16"/>
  <c r="Y464" i="16"/>
  <c r="X464" i="16"/>
  <c r="W464" i="16"/>
  <c r="V464" i="16"/>
  <c r="U464" i="16"/>
  <c r="T464" i="16"/>
  <c r="S464" i="16"/>
  <c r="R464" i="16"/>
  <c r="Q464" i="16"/>
  <c r="Y463" i="16"/>
  <c r="X463" i="16"/>
  <c r="W463" i="16"/>
  <c r="V463" i="16"/>
  <c r="U463" i="16"/>
  <c r="T463" i="16"/>
  <c r="S463" i="16"/>
  <c r="R463" i="16"/>
  <c r="Q463" i="16"/>
  <c r="Y462" i="16"/>
  <c r="X462" i="16"/>
  <c r="W462" i="16"/>
  <c r="V462" i="16"/>
  <c r="U462" i="16"/>
  <c r="T462" i="16"/>
  <c r="S462" i="16"/>
  <c r="R462" i="16"/>
  <c r="Q462" i="16"/>
  <c r="Y461" i="16"/>
  <c r="X461" i="16"/>
  <c r="W461" i="16"/>
  <c r="V461" i="16"/>
  <c r="U461" i="16"/>
  <c r="T461" i="16"/>
  <c r="S461" i="16"/>
  <c r="R461" i="16"/>
  <c r="Q461" i="16"/>
  <c r="Y460" i="16"/>
  <c r="X460" i="16"/>
  <c r="W460" i="16"/>
  <c r="V460" i="16"/>
  <c r="U460" i="16"/>
  <c r="T460" i="16"/>
  <c r="S460" i="16"/>
  <c r="R460" i="16"/>
  <c r="Q460" i="16"/>
  <c r="Y459" i="16"/>
  <c r="X459" i="16"/>
  <c r="W459" i="16"/>
  <c r="V459" i="16"/>
  <c r="U459" i="16"/>
  <c r="T459" i="16"/>
  <c r="S459" i="16"/>
  <c r="R459" i="16"/>
  <c r="Q459" i="16"/>
  <c r="Y458" i="16"/>
  <c r="X458" i="16"/>
  <c r="W458" i="16"/>
  <c r="V458" i="16"/>
  <c r="U458" i="16"/>
  <c r="T458" i="16"/>
  <c r="S458" i="16"/>
  <c r="R458" i="16"/>
  <c r="Q458" i="16"/>
  <c r="Y457" i="16"/>
  <c r="X457" i="16"/>
  <c r="W457" i="16"/>
  <c r="V457" i="16"/>
  <c r="U457" i="16"/>
  <c r="T457" i="16"/>
  <c r="S457" i="16"/>
  <c r="R457" i="16"/>
  <c r="Q457" i="16"/>
  <c r="Y456" i="16"/>
  <c r="X456" i="16"/>
  <c r="W456" i="16"/>
  <c r="V456" i="16"/>
  <c r="U456" i="16"/>
  <c r="T456" i="16"/>
  <c r="S456" i="16"/>
  <c r="R456" i="16"/>
  <c r="Q456" i="16"/>
  <c r="Y455" i="16"/>
  <c r="X455" i="16"/>
  <c r="W455" i="16"/>
  <c r="V455" i="16"/>
  <c r="U455" i="16"/>
  <c r="T455" i="16"/>
  <c r="S455" i="16"/>
  <c r="R455" i="16"/>
  <c r="Q455" i="16"/>
  <c r="Y454" i="16"/>
  <c r="X454" i="16"/>
  <c r="W454" i="16"/>
  <c r="V454" i="16"/>
  <c r="U454" i="16"/>
  <c r="T454" i="16"/>
  <c r="S454" i="16"/>
  <c r="R454" i="16"/>
  <c r="Q454" i="16"/>
  <c r="Y453" i="16"/>
  <c r="X453" i="16"/>
  <c r="W453" i="16"/>
  <c r="V453" i="16"/>
  <c r="U453" i="16"/>
  <c r="T453" i="16"/>
  <c r="S453" i="16"/>
  <c r="R453" i="16"/>
  <c r="Q453" i="16"/>
  <c r="Y452" i="16"/>
  <c r="X452" i="16"/>
  <c r="W452" i="16"/>
  <c r="V452" i="16"/>
  <c r="U452" i="16"/>
  <c r="T452" i="16"/>
  <c r="S452" i="16"/>
  <c r="R452" i="16"/>
  <c r="Q452" i="16"/>
  <c r="Y451" i="16"/>
  <c r="X451" i="16"/>
  <c r="W451" i="16"/>
  <c r="V451" i="16"/>
  <c r="U451" i="16"/>
  <c r="T451" i="16"/>
  <c r="S451" i="16"/>
  <c r="R451" i="16"/>
  <c r="Q451" i="16"/>
  <c r="Y450" i="16"/>
  <c r="X450" i="16"/>
  <c r="W450" i="16"/>
  <c r="V450" i="16"/>
  <c r="U450" i="16"/>
  <c r="T450" i="16"/>
  <c r="S450" i="16"/>
  <c r="R450" i="16"/>
  <c r="Q450" i="16"/>
  <c r="Y449" i="16"/>
  <c r="X449" i="16"/>
  <c r="W449" i="16"/>
  <c r="V449" i="16"/>
  <c r="U449" i="16"/>
  <c r="T449" i="16"/>
  <c r="S449" i="16"/>
  <c r="R449" i="16"/>
  <c r="Q449" i="16"/>
  <c r="Y448" i="16"/>
  <c r="X448" i="16"/>
  <c r="W448" i="16"/>
  <c r="V448" i="16"/>
  <c r="U448" i="16"/>
  <c r="T448" i="16"/>
  <c r="S448" i="16"/>
  <c r="R448" i="16"/>
  <c r="Q448" i="16"/>
  <c r="Y447" i="16"/>
  <c r="X447" i="16"/>
  <c r="W447" i="16"/>
  <c r="V447" i="16"/>
  <c r="U447" i="16"/>
  <c r="T447" i="16"/>
  <c r="S447" i="16"/>
  <c r="R447" i="16"/>
  <c r="Q447" i="16"/>
  <c r="Y446" i="16"/>
  <c r="X446" i="16"/>
  <c r="W446" i="16"/>
  <c r="V446" i="16"/>
  <c r="U446" i="16"/>
  <c r="T446" i="16"/>
  <c r="S446" i="16"/>
  <c r="R446" i="16"/>
  <c r="Q446" i="16"/>
  <c r="Y445" i="16"/>
  <c r="X445" i="16"/>
  <c r="W445" i="16"/>
  <c r="V445" i="16"/>
  <c r="U445" i="16"/>
  <c r="T445" i="16"/>
  <c r="S445" i="16"/>
  <c r="R445" i="16"/>
  <c r="Q445" i="16"/>
  <c r="Y444" i="16"/>
  <c r="X444" i="16"/>
  <c r="W444" i="16"/>
  <c r="V444" i="16"/>
  <c r="U444" i="16"/>
  <c r="T444" i="16"/>
  <c r="S444" i="16"/>
  <c r="R444" i="16"/>
  <c r="Q444" i="16"/>
  <c r="Y443" i="16"/>
  <c r="X443" i="16"/>
  <c r="W443" i="16"/>
  <c r="V443" i="16"/>
  <c r="U443" i="16"/>
  <c r="T443" i="16"/>
  <c r="S443" i="16"/>
  <c r="R443" i="16"/>
  <c r="Q443" i="16"/>
  <c r="Y442" i="16"/>
  <c r="X442" i="16"/>
  <c r="W442" i="16"/>
  <c r="V442" i="16"/>
  <c r="U442" i="16"/>
  <c r="T442" i="16"/>
  <c r="S442" i="16"/>
  <c r="R442" i="16"/>
  <c r="Q442" i="16"/>
  <c r="Y441" i="16"/>
  <c r="X441" i="16"/>
  <c r="W441" i="16"/>
  <c r="V441" i="16"/>
  <c r="U441" i="16"/>
  <c r="T441" i="16"/>
  <c r="S441" i="16"/>
  <c r="R441" i="16"/>
  <c r="Q441" i="16"/>
  <c r="Y440" i="16"/>
  <c r="X440" i="16"/>
  <c r="W440" i="16"/>
  <c r="V440" i="16"/>
  <c r="U440" i="16"/>
  <c r="T440" i="16"/>
  <c r="S440" i="16"/>
  <c r="R440" i="16"/>
  <c r="Q440" i="16"/>
  <c r="Y439" i="16"/>
  <c r="X439" i="16"/>
  <c r="W439" i="16"/>
  <c r="V439" i="16"/>
  <c r="U439" i="16"/>
  <c r="T439" i="16"/>
  <c r="S439" i="16"/>
  <c r="R439" i="16"/>
  <c r="Q439" i="16"/>
  <c r="Y438" i="16"/>
  <c r="X438" i="16"/>
  <c r="W438" i="16"/>
  <c r="V438" i="16"/>
  <c r="U438" i="16"/>
  <c r="T438" i="16"/>
  <c r="S438" i="16"/>
  <c r="R438" i="16"/>
  <c r="Q438" i="16"/>
  <c r="Y437" i="16"/>
  <c r="X437" i="16"/>
  <c r="W437" i="16"/>
  <c r="V437" i="16"/>
  <c r="U437" i="16"/>
  <c r="T437" i="16"/>
  <c r="S437" i="16"/>
  <c r="R437" i="16"/>
  <c r="Q437" i="16"/>
  <c r="Y436" i="16"/>
  <c r="X436" i="16"/>
  <c r="W436" i="16"/>
  <c r="V436" i="16"/>
  <c r="U436" i="16"/>
  <c r="T436" i="16"/>
  <c r="S436" i="16"/>
  <c r="R436" i="16"/>
  <c r="Q436" i="16"/>
  <c r="Y435" i="16"/>
  <c r="X435" i="16"/>
  <c r="W435" i="16"/>
  <c r="V435" i="16"/>
  <c r="U435" i="16"/>
  <c r="T435" i="16"/>
  <c r="S435" i="16"/>
  <c r="R435" i="16"/>
  <c r="Q435" i="16"/>
  <c r="Y434" i="16"/>
  <c r="X434" i="16"/>
  <c r="W434" i="16"/>
  <c r="V434" i="16"/>
  <c r="U434" i="16"/>
  <c r="T434" i="16"/>
  <c r="S434" i="16"/>
  <c r="R434" i="16"/>
  <c r="Q434" i="16"/>
  <c r="Y433" i="16"/>
  <c r="X433" i="16"/>
  <c r="W433" i="16"/>
  <c r="V433" i="16"/>
  <c r="U433" i="16"/>
  <c r="T433" i="16"/>
  <c r="S433" i="16"/>
  <c r="R433" i="16"/>
  <c r="Q433" i="16"/>
  <c r="Y432" i="16"/>
  <c r="X432" i="16"/>
  <c r="W432" i="16"/>
  <c r="V432" i="16"/>
  <c r="U432" i="16"/>
  <c r="T432" i="16"/>
  <c r="S432" i="16"/>
  <c r="R432" i="16"/>
  <c r="Q432" i="16"/>
  <c r="Y431" i="16"/>
  <c r="X431" i="16"/>
  <c r="W431" i="16"/>
  <c r="V431" i="16"/>
  <c r="U431" i="16"/>
  <c r="T431" i="16"/>
  <c r="S431" i="16"/>
  <c r="R431" i="16"/>
  <c r="Q431" i="16"/>
  <c r="Y430" i="16"/>
  <c r="X430" i="16"/>
  <c r="W430" i="16"/>
  <c r="V430" i="16"/>
  <c r="U430" i="16"/>
  <c r="T430" i="16"/>
  <c r="S430" i="16"/>
  <c r="R430" i="16"/>
  <c r="Q430" i="16"/>
  <c r="Y429" i="16"/>
  <c r="X429" i="16"/>
  <c r="W429" i="16"/>
  <c r="V429" i="16"/>
  <c r="U429" i="16"/>
  <c r="T429" i="16"/>
  <c r="S429" i="16"/>
  <c r="R429" i="16"/>
  <c r="Q429" i="16"/>
  <c r="Y428" i="16"/>
  <c r="X428" i="16"/>
  <c r="W428" i="16"/>
  <c r="V428" i="16"/>
  <c r="U428" i="16"/>
  <c r="T428" i="16"/>
  <c r="S428" i="16"/>
  <c r="R428" i="16"/>
  <c r="Q428" i="16"/>
  <c r="Y427" i="16"/>
  <c r="X427" i="16"/>
  <c r="W427" i="16"/>
  <c r="V427" i="16"/>
  <c r="U427" i="16"/>
  <c r="T427" i="16"/>
  <c r="S427" i="16"/>
  <c r="R427" i="16"/>
  <c r="Q427" i="16"/>
  <c r="Y426" i="16"/>
  <c r="X426" i="16"/>
  <c r="W426" i="16"/>
  <c r="V426" i="16"/>
  <c r="U426" i="16"/>
  <c r="T426" i="16"/>
  <c r="S426" i="16"/>
  <c r="R426" i="16"/>
  <c r="Q426" i="16"/>
  <c r="Y425" i="16"/>
  <c r="X425" i="16"/>
  <c r="W425" i="16"/>
  <c r="V425" i="16"/>
  <c r="U425" i="16"/>
  <c r="T425" i="16"/>
  <c r="S425" i="16"/>
  <c r="R425" i="16"/>
  <c r="Q425" i="16"/>
  <c r="Y424" i="16"/>
  <c r="X424" i="16"/>
  <c r="W424" i="16"/>
  <c r="V424" i="16"/>
  <c r="U424" i="16"/>
  <c r="T424" i="16"/>
  <c r="S424" i="16"/>
  <c r="R424" i="16"/>
  <c r="Q424" i="16"/>
  <c r="Y423" i="16"/>
  <c r="X423" i="16"/>
  <c r="W423" i="16"/>
  <c r="V423" i="16"/>
  <c r="U423" i="16"/>
  <c r="T423" i="16"/>
  <c r="S423" i="16"/>
  <c r="R423" i="16"/>
  <c r="Q423" i="16"/>
  <c r="Y422" i="16"/>
  <c r="X422" i="16"/>
  <c r="W422" i="16"/>
  <c r="V422" i="16"/>
  <c r="U422" i="16"/>
  <c r="T422" i="16"/>
  <c r="S422" i="16"/>
  <c r="R422" i="16"/>
  <c r="Q422" i="16"/>
  <c r="Y421" i="16"/>
  <c r="X421" i="16"/>
  <c r="W421" i="16"/>
  <c r="V421" i="16"/>
  <c r="U421" i="16"/>
  <c r="T421" i="16"/>
  <c r="S421" i="16"/>
  <c r="R421" i="16"/>
  <c r="Q421" i="16"/>
  <c r="Y420" i="16"/>
  <c r="X420" i="16"/>
  <c r="W420" i="16"/>
  <c r="V420" i="16"/>
  <c r="U420" i="16"/>
  <c r="T420" i="16"/>
  <c r="S420" i="16"/>
  <c r="R420" i="16"/>
  <c r="Q420" i="16"/>
  <c r="Y419" i="16"/>
  <c r="X419" i="16"/>
  <c r="W419" i="16"/>
  <c r="V419" i="16"/>
  <c r="U419" i="16"/>
  <c r="T419" i="16"/>
  <c r="S419" i="16"/>
  <c r="R419" i="16"/>
  <c r="Q419" i="16"/>
  <c r="Y418" i="16"/>
  <c r="X418" i="16"/>
  <c r="W418" i="16"/>
  <c r="V418" i="16"/>
  <c r="U418" i="16"/>
  <c r="T418" i="16"/>
  <c r="S418" i="16"/>
  <c r="R418" i="16"/>
  <c r="Q418" i="16"/>
  <c r="Y417" i="16"/>
  <c r="X417" i="16"/>
  <c r="W417" i="16"/>
  <c r="V417" i="16"/>
  <c r="U417" i="16"/>
  <c r="T417" i="16"/>
  <c r="S417" i="16"/>
  <c r="R417" i="16"/>
  <c r="Q417" i="16"/>
  <c r="Y416" i="16"/>
  <c r="X416" i="16"/>
  <c r="W416" i="16"/>
  <c r="V416" i="16"/>
  <c r="U416" i="16"/>
  <c r="T416" i="16"/>
  <c r="S416" i="16"/>
  <c r="R416" i="16"/>
  <c r="Q416" i="16"/>
  <c r="Y415" i="16"/>
  <c r="X415" i="16"/>
  <c r="W415" i="16"/>
  <c r="V415" i="16"/>
  <c r="U415" i="16"/>
  <c r="T415" i="16"/>
  <c r="S415" i="16"/>
  <c r="R415" i="16"/>
  <c r="Q415" i="16"/>
  <c r="Y414" i="16"/>
  <c r="X414" i="16"/>
  <c r="W414" i="16"/>
  <c r="V414" i="16"/>
  <c r="U414" i="16"/>
  <c r="T414" i="16"/>
  <c r="S414" i="16"/>
  <c r="R414" i="16"/>
  <c r="Q414" i="16"/>
  <c r="Y413" i="16"/>
  <c r="X413" i="16"/>
  <c r="W413" i="16"/>
  <c r="V413" i="16"/>
  <c r="U413" i="16"/>
  <c r="T413" i="16"/>
  <c r="S413" i="16"/>
  <c r="R413" i="16"/>
  <c r="Q413" i="16"/>
  <c r="Y412" i="16"/>
  <c r="X412" i="16"/>
  <c r="W412" i="16"/>
  <c r="V412" i="16"/>
  <c r="U412" i="16"/>
  <c r="T412" i="16"/>
  <c r="S412" i="16"/>
  <c r="R412" i="16"/>
  <c r="Q412" i="16"/>
  <c r="Y411" i="16"/>
  <c r="X411" i="16"/>
  <c r="W411" i="16"/>
  <c r="V411" i="16"/>
  <c r="U411" i="16"/>
  <c r="T411" i="16"/>
  <c r="S411" i="16"/>
  <c r="R411" i="16"/>
  <c r="Q411" i="16"/>
  <c r="Y410" i="16"/>
  <c r="X410" i="16"/>
  <c r="W410" i="16"/>
  <c r="V410" i="16"/>
  <c r="U410" i="16"/>
  <c r="T410" i="16"/>
  <c r="S410" i="16"/>
  <c r="R410" i="16"/>
  <c r="Q410" i="16"/>
  <c r="Y409" i="16"/>
  <c r="X409" i="16"/>
  <c r="W409" i="16"/>
  <c r="V409" i="16"/>
  <c r="U409" i="16"/>
  <c r="T409" i="16"/>
  <c r="S409" i="16"/>
  <c r="R409" i="16"/>
  <c r="Q409" i="16"/>
  <c r="Y408" i="16"/>
  <c r="X408" i="16"/>
  <c r="W408" i="16"/>
  <c r="V408" i="16"/>
  <c r="U408" i="16"/>
  <c r="T408" i="16"/>
  <c r="S408" i="16"/>
  <c r="R408" i="16"/>
  <c r="Q408" i="16"/>
  <c r="Y407" i="16"/>
  <c r="X407" i="16"/>
  <c r="W407" i="16"/>
  <c r="V407" i="16"/>
  <c r="U407" i="16"/>
  <c r="T407" i="16"/>
  <c r="S407" i="16"/>
  <c r="R407" i="16"/>
  <c r="Q407" i="16"/>
  <c r="Y406" i="16"/>
  <c r="X406" i="16"/>
  <c r="W406" i="16"/>
  <c r="V406" i="16"/>
  <c r="U406" i="16"/>
  <c r="T406" i="16"/>
  <c r="S406" i="16"/>
  <c r="R406" i="16"/>
  <c r="Q406" i="16"/>
  <c r="Y405" i="16"/>
  <c r="X405" i="16"/>
  <c r="W405" i="16"/>
  <c r="V405" i="16"/>
  <c r="U405" i="16"/>
  <c r="T405" i="16"/>
  <c r="S405" i="16"/>
  <c r="R405" i="16"/>
  <c r="Q405" i="16"/>
  <c r="Y404" i="16"/>
  <c r="X404" i="16"/>
  <c r="W404" i="16"/>
  <c r="V404" i="16"/>
  <c r="U404" i="16"/>
  <c r="T404" i="16"/>
  <c r="S404" i="16"/>
  <c r="R404" i="16"/>
  <c r="Q404" i="16"/>
  <c r="Y403" i="16"/>
  <c r="X403" i="16"/>
  <c r="W403" i="16"/>
  <c r="V403" i="16"/>
  <c r="U403" i="16"/>
  <c r="T403" i="16"/>
  <c r="S403" i="16"/>
  <c r="R403" i="16"/>
  <c r="Q403" i="16"/>
  <c r="Y402" i="16"/>
  <c r="X402" i="16"/>
  <c r="W402" i="16"/>
  <c r="V402" i="16"/>
  <c r="U402" i="16"/>
  <c r="T402" i="16"/>
  <c r="S402" i="16"/>
  <c r="R402" i="16"/>
  <c r="Q402" i="16"/>
  <c r="Y401" i="16"/>
  <c r="X401" i="16"/>
  <c r="W401" i="16"/>
  <c r="V401" i="16"/>
  <c r="U401" i="16"/>
  <c r="T401" i="16"/>
  <c r="S401" i="16"/>
  <c r="R401" i="16"/>
  <c r="Q401" i="16"/>
  <c r="Y400" i="16"/>
  <c r="X400" i="16"/>
  <c r="W400" i="16"/>
  <c r="V400" i="16"/>
  <c r="U400" i="16"/>
  <c r="T400" i="16"/>
  <c r="S400" i="16"/>
  <c r="R400" i="16"/>
  <c r="Q400" i="16"/>
  <c r="Y399" i="16"/>
  <c r="X399" i="16"/>
  <c r="W399" i="16"/>
  <c r="V399" i="16"/>
  <c r="U399" i="16"/>
  <c r="T399" i="16"/>
  <c r="S399" i="16"/>
  <c r="R399" i="16"/>
  <c r="Q399" i="16"/>
  <c r="Y398" i="16"/>
  <c r="X398" i="16"/>
  <c r="W398" i="16"/>
  <c r="V398" i="16"/>
  <c r="U398" i="16"/>
  <c r="T398" i="16"/>
  <c r="S398" i="16"/>
  <c r="R398" i="16"/>
  <c r="Q398" i="16"/>
  <c r="Y397" i="16"/>
  <c r="X397" i="16"/>
  <c r="W397" i="16"/>
  <c r="V397" i="16"/>
  <c r="U397" i="16"/>
  <c r="T397" i="16"/>
  <c r="S397" i="16"/>
  <c r="R397" i="16"/>
  <c r="Q397" i="16"/>
  <c r="Y396" i="16"/>
  <c r="X396" i="16"/>
  <c r="W396" i="16"/>
  <c r="V396" i="16"/>
  <c r="U396" i="16"/>
  <c r="T396" i="16"/>
  <c r="S396" i="16"/>
  <c r="R396" i="16"/>
  <c r="Q396" i="16"/>
  <c r="Y395" i="16"/>
  <c r="X395" i="16"/>
  <c r="W395" i="16"/>
  <c r="V395" i="16"/>
  <c r="U395" i="16"/>
  <c r="T395" i="16"/>
  <c r="S395" i="16"/>
  <c r="R395" i="16"/>
  <c r="Q395" i="16"/>
  <c r="Y394" i="16"/>
  <c r="X394" i="16"/>
  <c r="W394" i="16"/>
  <c r="V394" i="16"/>
  <c r="U394" i="16"/>
  <c r="T394" i="16"/>
  <c r="S394" i="16"/>
  <c r="R394" i="16"/>
  <c r="Q394" i="16"/>
  <c r="Y393" i="16"/>
  <c r="X393" i="16"/>
  <c r="W393" i="16"/>
  <c r="V393" i="16"/>
  <c r="U393" i="16"/>
  <c r="T393" i="16"/>
  <c r="S393" i="16"/>
  <c r="R393" i="16"/>
  <c r="Q393" i="16"/>
  <c r="Y392" i="16"/>
  <c r="X392" i="16"/>
  <c r="W392" i="16"/>
  <c r="V392" i="16"/>
  <c r="U392" i="16"/>
  <c r="T392" i="16"/>
  <c r="S392" i="16"/>
  <c r="R392" i="16"/>
  <c r="Q392" i="16"/>
  <c r="Y391" i="16"/>
  <c r="X391" i="16"/>
  <c r="W391" i="16"/>
  <c r="V391" i="16"/>
  <c r="U391" i="16"/>
  <c r="T391" i="16"/>
  <c r="S391" i="16"/>
  <c r="R391" i="16"/>
  <c r="Q391" i="16"/>
  <c r="Y390" i="16"/>
  <c r="X390" i="16"/>
  <c r="W390" i="16"/>
  <c r="V390" i="16"/>
  <c r="U390" i="16"/>
  <c r="T390" i="16"/>
  <c r="S390" i="16"/>
  <c r="R390" i="16"/>
  <c r="Q390" i="16"/>
  <c r="Y389" i="16"/>
  <c r="X389" i="16"/>
  <c r="W389" i="16"/>
  <c r="V389" i="16"/>
  <c r="U389" i="16"/>
  <c r="T389" i="16"/>
  <c r="S389" i="16"/>
  <c r="R389" i="16"/>
  <c r="Q389" i="16"/>
  <c r="Y388" i="16"/>
  <c r="X388" i="16"/>
  <c r="W388" i="16"/>
  <c r="V388" i="16"/>
  <c r="U388" i="16"/>
  <c r="T388" i="16"/>
  <c r="S388" i="16"/>
  <c r="R388" i="16"/>
  <c r="Q388" i="16"/>
  <c r="Y387" i="16"/>
  <c r="X387" i="16"/>
  <c r="W387" i="16"/>
  <c r="V387" i="16"/>
  <c r="U387" i="16"/>
  <c r="T387" i="16"/>
  <c r="S387" i="16"/>
  <c r="R387" i="16"/>
  <c r="Q387" i="16"/>
  <c r="Y386" i="16"/>
  <c r="X386" i="16"/>
  <c r="W386" i="16"/>
  <c r="V386" i="16"/>
  <c r="U386" i="16"/>
  <c r="T386" i="16"/>
  <c r="S386" i="16"/>
  <c r="R386" i="16"/>
  <c r="Q386" i="16"/>
  <c r="Y385" i="16"/>
  <c r="X385" i="16"/>
  <c r="W385" i="16"/>
  <c r="V385" i="16"/>
  <c r="U385" i="16"/>
  <c r="T385" i="16"/>
  <c r="S385" i="16"/>
  <c r="R385" i="16"/>
  <c r="Q385" i="16"/>
  <c r="Y384" i="16"/>
  <c r="X384" i="16"/>
  <c r="W384" i="16"/>
  <c r="V384" i="16"/>
  <c r="U384" i="16"/>
  <c r="T384" i="16"/>
  <c r="S384" i="16"/>
  <c r="R384" i="16"/>
  <c r="Q384" i="16"/>
  <c r="Y383" i="16"/>
  <c r="X383" i="16"/>
  <c r="W383" i="16"/>
  <c r="V383" i="16"/>
  <c r="U383" i="16"/>
  <c r="T383" i="16"/>
  <c r="S383" i="16"/>
  <c r="R383" i="16"/>
  <c r="Q383" i="16"/>
  <c r="Y382" i="16"/>
  <c r="X382" i="16"/>
  <c r="W382" i="16"/>
  <c r="V382" i="16"/>
  <c r="U382" i="16"/>
  <c r="T382" i="16"/>
  <c r="S382" i="16"/>
  <c r="R382" i="16"/>
  <c r="Q382" i="16"/>
  <c r="Y381" i="16"/>
  <c r="X381" i="16"/>
  <c r="W381" i="16"/>
  <c r="V381" i="16"/>
  <c r="U381" i="16"/>
  <c r="T381" i="16"/>
  <c r="S381" i="16"/>
  <c r="R381" i="16"/>
  <c r="Q381" i="16"/>
  <c r="Y380" i="16"/>
  <c r="X380" i="16"/>
  <c r="W380" i="16"/>
  <c r="V380" i="16"/>
  <c r="U380" i="16"/>
  <c r="T380" i="16"/>
  <c r="S380" i="16"/>
  <c r="R380" i="16"/>
  <c r="Q380" i="16"/>
  <c r="Y379" i="16"/>
  <c r="X379" i="16"/>
  <c r="W379" i="16"/>
  <c r="V379" i="16"/>
  <c r="U379" i="16"/>
  <c r="T379" i="16"/>
  <c r="S379" i="16"/>
  <c r="R379" i="16"/>
  <c r="Q379" i="16"/>
  <c r="Y378" i="16"/>
  <c r="X378" i="16"/>
  <c r="W378" i="16"/>
  <c r="V378" i="16"/>
  <c r="U378" i="16"/>
  <c r="T378" i="16"/>
  <c r="S378" i="16"/>
  <c r="R378" i="16"/>
  <c r="Q378" i="16"/>
  <c r="Y377" i="16"/>
  <c r="X377" i="16"/>
  <c r="W377" i="16"/>
  <c r="V377" i="16"/>
  <c r="U377" i="16"/>
  <c r="T377" i="16"/>
  <c r="S377" i="16"/>
  <c r="R377" i="16"/>
  <c r="Q377" i="16"/>
  <c r="Y376" i="16"/>
  <c r="X376" i="16"/>
  <c r="W376" i="16"/>
  <c r="V376" i="16"/>
  <c r="U376" i="16"/>
  <c r="T376" i="16"/>
  <c r="S376" i="16"/>
  <c r="R376" i="16"/>
  <c r="Q376" i="16"/>
  <c r="Y375" i="16"/>
  <c r="X375" i="16"/>
  <c r="W375" i="16"/>
  <c r="V375" i="16"/>
  <c r="U375" i="16"/>
  <c r="T375" i="16"/>
  <c r="S375" i="16"/>
  <c r="R375" i="16"/>
  <c r="Q375" i="16"/>
  <c r="Y374" i="16"/>
  <c r="X374" i="16"/>
  <c r="W374" i="16"/>
  <c r="V374" i="16"/>
  <c r="U374" i="16"/>
  <c r="T374" i="16"/>
  <c r="S374" i="16"/>
  <c r="R374" i="16"/>
  <c r="Q374" i="16"/>
  <c r="Y373" i="16"/>
  <c r="X373" i="16"/>
  <c r="W373" i="16"/>
  <c r="V373" i="16"/>
  <c r="U373" i="16"/>
  <c r="T373" i="16"/>
  <c r="S373" i="16"/>
  <c r="R373" i="16"/>
  <c r="Q373" i="16"/>
  <c r="Y372" i="16"/>
  <c r="X372" i="16"/>
  <c r="W372" i="16"/>
  <c r="V372" i="16"/>
  <c r="U372" i="16"/>
  <c r="T372" i="16"/>
  <c r="S372" i="16"/>
  <c r="R372" i="16"/>
  <c r="Q372" i="16"/>
  <c r="Y371" i="16"/>
  <c r="X371" i="16"/>
  <c r="W371" i="16"/>
  <c r="V371" i="16"/>
  <c r="U371" i="16"/>
  <c r="T371" i="16"/>
  <c r="S371" i="16"/>
  <c r="R371" i="16"/>
  <c r="Q371" i="16"/>
  <c r="Y370" i="16"/>
  <c r="X370" i="16"/>
  <c r="W370" i="16"/>
  <c r="V370" i="16"/>
  <c r="U370" i="16"/>
  <c r="T370" i="16"/>
  <c r="S370" i="16"/>
  <c r="R370" i="16"/>
  <c r="Q370" i="16"/>
  <c r="Y369" i="16"/>
  <c r="X369" i="16"/>
  <c r="W369" i="16"/>
  <c r="V369" i="16"/>
  <c r="U369" i="16"/>
  <c r="T369" i="16"/>
  <c r="S369" i="16"/>
  <c r="R369" i="16"/>
  <c r="Q369" i="16"/>
  <c r="Y368" i="16"/>
  <c r="X368" i="16"/>
  <c r="W368" i="16"/>
  <c r="V368" i="16"/>
  <c r="U368" i="16"/>
  <c r="T368" i="16"/>
  <c r="S368" i="16"/>
  <c r="R368" i="16"/>
  <c r="Q368" i="16"/>
  <c r="Y367" i="16"/>
  <c r="X367" i="16"/>
  <c r="W367" i="16"/>
  <c r="V367" i="16"/>
  <c r="U367" i="16"/>
  <c r="T367" i="16"/>
  <c r="S367" i="16"/>
  <c r="R367" i="16"/>
  <c r="Q367" i="16"/>
  <c r="Y366" i="16"/>
  <c r="X366" i="16"/>
  <c r="W366" i="16"/>
  <c r="V366" i="16"/>
  <c r="U366" i="16"/>
  <c r="T366" i="16"/>
  <c r="S366" i="16"/>
  <c r="R366" i="16"/>
  <c r="Q366" i="16"/>
  <c r="Y365" i="16"/>
  <c r="X365" i="16"/>
  <c r="W365" i="16"/>
  <c r="V365" i="16"/>
  <c r="U365" i="16"/>
  <c r="T365" i="16"/>
  <c r="S365" i="16"/>
  <c r="R365" i="16"/>
  <c r="Q365" i="16"/>
  <c r="Y364" i="16"/>
  <c r="X364" i="16"/>
  <c r="W364" i="16"/>
  <c r="V364" i="16"/>
  <c r="U364" i="16"/>
  <c r="T364" i="16"/>
  <c r="S364" i="16"/>
  <c r="R364" i="16"/>
  <c r="Q364" i="16"/>
  <c r="Y363" i="16"/>
  <c r="X363" i="16"/>
  <c r="W363" i="16"/>
  <c r="V363" i="16"/>
  <c r="U363" i="16"/>
  <c r="T363" i="16"/>
  <c r="S363" i="16"/>
  <c r="R363" i="16"/>
  <c r="Q363" i="16"/>
  <c r="Y362" i="16"/>
  <c r="X362" i="16"/>
  <c r="W362" i="16"/>
  <c r="V362" i="16"/>
  <c r="U362" i="16"/>
  <c r="T362" i="16"/>
  <c r="S362" i="16"/>
  <c r="R362" i="16"/>
  <c r="Q362" i="16"/>
  <c r="Y361" i="16"/>
  <c r="X361" i="16"/>
  <c r="W361" i="16"/>
  <c r="V361" i="16"/>
  <c r="U361" i="16"/>
  <c r="T361" i="16"/>
  <c r="S361" i="16"/>
  <c r="R361" i="16"/>
  <c r="Q361" i="16"/>
  <c r="Y360" i="16"/>
  <c r="X360" i="16"/>
  <c r="W360" i="16"/>
  <c r="V360" i="16"/>
  <c r="U360" i="16"/>
  <c r="T360" i="16"/>
  <c r="S360" i="16"/>
  <c r="R360" i="16"/>
  <c r="Q360" i="16"/>
  <c r="Y359" i="16"/>
  <c r="X359" i="16"/>
  <c r="W359" i="16"/>
  <c r="V359" i="16"/>
  <c r="U359" i="16"/>
  <c r="T359" i="16"/>
  <c r="S359" i="16"/>
  <c r="R359" i="16"/>
  <c r="Q359" i="16"/>
  <c r="Y358" i="16"/>
  <c r="X358" i="16"/>
  <c r="W358" i="16"/>
  <c r="V358" i="16"/>
  <c r="U358" i="16"/>
  <c r="T358" i="16"/>
  <c r="S358" i="16"/>
  <c r="R358" i="16"/>
  <c r="Q358" i="16"/>
  <c r="Y357" i="16"/>
  <c r="X357" i="16"/>
  <c r="W357" i="16"/>
  <c r="V357" i="16"/>
  <c r="U357" i="16"/>
  <c r="T357" i="16"/>
  <c r="S357" i="16"/>
  <c r="R357" i="16"/>
  <c r="Q357" i="16"/>
  <c r="Y356" i="16"/>
  <c r="X356" i="16"/>
  <c r="W356" i="16"/>
  <c r="V356" i="16"/>
  <c r="U356" i="16"/>
  <c r="T356" i="16"/>
  <c r="S356" i="16"/>
  <c r="R356" i="16"/>
  <c r="Q356" i="16"/>
  <c r="Y355" i="16"/>
  <c r="X355" i="16"/>
  <c r="W355" i="16"/>
  <c r="V355" i="16"/>
  <c r="U355" i="16"/>
  <c r="T355" i="16"/>
  <c r="S355" i="16"/>
  <c r="R355" i="16"/>
  <c r="Q355" i="16"/>
  <c r="Y354" i="16"/>
  <c r="X354" i="16"/>
  <c r="W354" i="16"/>
  <c r="V354" i="16"/>
  <c r="U354" i="16"/>
  <c r="T354" i="16"/>
  <c r="S354" i="16"/>
  <c r="R354" i="16"/>
  <c r="Q354" i="16"/>
  <c r="Y353" i="16"/>
  <c r="X353" i="16"/>
  <c r="W353" i="16"/>
  <c r="V353" i="16"/>
  <c r="U353" i="16"/>
  <c r="T353" i="16"/>
  <c r="S353" i="16"/>
  <c r="R353" i="16"/>
  <c r="Q353" i="16"/>
  <c r="Y352" i="16"/>
  <c r="X352" i="16"/>
  <c r="W352" i="16"/>
  <c r="V352" i="16"/>
  <c r="U352" i="16"/>
  <c r="T352" i="16"/>
  <c r="S352" i="16"/>
  <c r="R352" i="16"/>
  <c r="Q352" i="16"/>
  <c r="Y351" i="16"/>
  <c r="X351" i="16"/>
  <c r="W351" i="16"/>
  <c r="V351" i="16"/>
  <c r="U351" i="16"/>
  <c r="T351" i="16"/>
  <c r="S351" i="16"/>
  <c r="R351" i="16"/>
  <c r="Q351" i="16"/>
  <c r="Y350" i="16"/>
  <c r="X350" i="16"/>
  <c r="W350" i="16"/>
  <c r="V350" i="16"/>
  <c r="U350" i="16"/>
  <c r="T350" i="16"/>
  <c r="S350" i="16"/>
  <c r="R350" i="16"/>
  <c r="Q350" i="16"/>
  <c r="Y349" i="16"/>
  <c r="X349" i="16"/>
  <c r="W349" i="16"/>
  <c r="V349" i="16"/>
  <c r="U349" i="16"/>
  <c r="T349" i="16"/>
  <c r="S349" i="16"/>
  <c r="R349" i="16"/>
  <c r="Q349" i="16"/>
  <c r="Y348" i="16"/>
  <c r="X348" i="16"/>
  <c r="W348" i="16"/>
  <c r="V348" i="16"/>
  <c r="U348" i="16"/>
  <c r="T348" i="16"/>
  <c r="S348" i="16"/>
  <c r="R348" i="16"/>
  <c r="Q348" i="16"/>
  <c r="Y347" i="16"/>
  <c r="X347" i="16"/>
  <c r="W347" i="16"/>
  <c r="V347" i="16"/>
  <c r="U347" i="16"/>
  <c r="T347" i="16"/>
  <c r="S347" i="16"/>
  <c r="R347" i="16"/>
  <c r="Q347" i="16"/>
  <c r="Y346" i="16"/>
  <c r="X346" i="16"/>
  <c r="W346" i="16"/>
  <c r="V346" i="16"/>
  <c r="U346" i="16"/>
  <c r="T346" i="16"/>
  <c r="S346" i="16"/>
  <c r="R346" i="16"/>
  <c r="Q346" i="16"/>
  <c r="Y345" i="16"/>
  <c r="X345" i="16"/>
  <c r="W345" i="16"/>
  <c r="V345" i="16"/>
  <c r="U345" i="16"/>
  <c r="T345" i="16"/>
  <c r="S345" i="16"/>
  <c r="R345" i="16"/>
  <c r="Q345" i="16"/>
  <c r="Y344" i="16"/>
  <c r="X344" i="16"/>
  <c r="W344" i="16"/>
  <c r="V344" i="16"/>
  <c r="U344" i="16"/>
  <c r="T344" i="16"/>
  <c r="S344" i="16"/>
  <c r="R344" i="16"/>
  <c r="Q344" i="16"/>
  <c r="Y343" i="16"/>
  <c r="X343" i="16"/>
  <c r="W343" i="16"/>
  <c r="V343" i="16"/>
  <c r="U343" i="16"/>
  <c r="T343" i="16"/>
  <c r="S343" i="16"/>
  <c r="R343" i="16"/>
  <c r="Q343" i="16"/>
  <c r="Y342" i="16"/>
  <c r="X342" i="16"/>
  <c r="W342" i="16"/>
  <c r="V342" i="16"/>
  <c r="U342" i="16"/>
  <c r="T342" i="16"/>
  <c r="S342" i="16"/>
  <c r="R342" i="16"/>
  <c r="Q342" i="16"/>
  <c r="Y341" i="16"/>
  <c r="X341" i="16"/>
  <c r="W341" i="16"/>
  <c r="V341" i="16"/>
  <c r="U341" i="16"/>
  <c r="T341" i="16"/>
  <c r="S341" i="16"/>
  <c r="R341" i="16"/>
  <c r="Q341" i="16"/>
  <c r="Y340" i="16"/>
  <c r="X340" i="16"/>
  <c r="W340" i="16"/>
  <c r="V340" i="16"/>
  <c r="U340" i="16"/>
  <c r="T340" i="16"/>
  <c r="S340" i="16"/>
  <c r="R340" i="16"/>
  <c r="Q340" i="16"/>
  <c r="Y339" i="16"/>
  <c r="X339" i="16"/>
  <c r="W339" i="16"/>
  <c r="V339" i="16"/>
  <c r="U339" i="16"/>
  <c r="T339" i="16"/>
  <c r="S339" i="16"/>
  <c r="R339" i="16"/>
  <c r="Q339" i="16"/>
  <c r="Y338" i="16"/>
  <c r="X338" i="16"/>
  <c r="W338" i="16"/>
  <c r="V338" i="16"/>
  <c r="U338" i="16"/>
  <c r="T338" i="16"/>
  <c r="S338" i="16"/>
  <c r="R338" i="16"/>
  <c r="Q338" i="16"/>
  <c r="Y337" i="16"/>
  <c r="X337" i="16"/>
  <c r="W337" i="16"/>
  <c r="V337" i="16"/>
  <c r="U337" i="16"/>
  <c r="T337" i="16"/>
  <c r="S337" i="16"/>
  <c r="R337" i="16"/>
  <c r="Q337" i="16"/>
  <c r="Y336" i="16"/>
  <c r="X336" i="16"/>
  <c r="W336" i="16"/>
  <c r="V336" i="16"/>
  <c r="U336" i="16"/>
  <c r="T336" i="16"/>
  <c r="S336" i="16"/>
  <c r="R336" i="16"/>
  <c r="Q336" i="16"/>
  <c r="Y335" i="16"/>
  <c r="X335" i="16"/>
  <c r="W335" i="16"/>
  <c r="V335" i="16"/>
  <c r="U335" i="16"/>
  <c r="T335" i="16"/>
  <c r="S335" i="16"/>
  <c r="R335" i="16"/>
  <c r="Q335" i="16"/>
  <c r="Y334" i="16"/>
  <c r="X334" i="16"/>
  <c r="W334" i="16"/>
  <c r="V334" i="16"/>
  <c r="U334" i="16"/>
  <c r="T334" i="16"/>
  <c r="S334" i="16"/>
  <c r="R334" i="16"/>
  <c r="Q334" i="16"/>
  <c r="Y333" i="16"/>
  <c r="X333" i="16"/>
  <c r="W333" i="16"/>
  <c r="V333" i="16"/>
  <c r="U333" i="16"/>
  <c r="T333" i="16"/>
  <c r="S333" i="16"/>
  <c r="R333" i="16"/>
  <c r="Q333" i="16"/>
  <c r="Y332" i="16"/>
  <c r="X332" i="16"/>
  <c r="W332" i="16"/>
  <c r="V332" i="16"/>
  <c r="U332" i="16"/>
  <c r="T332" i="16"/>
  <c r="S332" i="16"/>
  <c r="R332" i="16"/>
  <c r="Q332" i="16"/>
  <c r="Y331" i="16"/>
  <c r="X331" i="16"/>
  <c r="W331" i="16"/>
  <c r="V331" i="16"/>
  <c r="U331" i="16"/>
  <c r="T331" i="16"/>
  <c r="S331" i="16"/>
  <c r="R331" i="16"/>
  <c r="Q331" i="16"/>
  <c r="Y330" i="16"/>
  <c r="X330" i="16"/>
  <c r="W330" i="16"/>
  <c r="V330" i="16"/>
  <c r="U330" i="16"/>
  <c r="T330" i="16"/>
  <c r="S330" i="16"/>
  <c r="R330" i="16"/>
  <c r="Q330" i="16"/>
  <c r="Y329" i="16"/>
  <c r="X329" i="16"/>
  <c r="W329" i="16"/>
  <c r="V329" i="16"/>
  <c r="U329" i="16"/>
  <c r="T329" i="16"/>
  <c r="S329" i="16"/>
  <c r="R329" i="16"/>
  <c r="Q329" i="16"/>
  <c r="Y328" i="16"/>
  <c r="X328" i="16"/>
  <c r="W328" i="16"/>
  <c r="V328" i="16"/>
  <c r="U328" i="16"/>
  <c r="T328" i="16"/>
  <c r="S328" i="16"/>
  <c r="R328" i="16"/>
  <c r="Q328" i="16"/>
  <c r="Y327" i="16"/>
  <c r="X327" i="16"/>
  <c r="W327" i="16"/>
  <c r="V327" i="16"/>
  <c r="U327" i="16"/>
  <c r="T327" i="16"/>
  <c r="S327" i="16"/>
  <c r="R327" i="16"/>
  <c r="Q327" i="16"/>
  <c r="Y326" i="16"/>
  <c r="X326" i="16"/>
  <c r="W326" i="16"/>
  <c r="V326" i="16"/>
  <c r="U326" i="16"/>
  <c r="T326" i="16"/>
  <c r="S326" i="16"/>
  <c r="R326" i="16"/>
  <c r="Q326" i="16"/>
  <c r="Y325" i="16"/>
  <c r="X325" i="16"/>
  <c r="W325" i="16"/>
  <c r="V325" i="16"/>
  <c r="U325" i="16"/>
  <c r="T325" i="16"/>
  <c r="S325" i="16"/>
  <c r="R325" i="16"/>
  <c r="Q325" i="16"/>
  <c r="Y324" i="16"/>
  <c r="X324" i="16"/>
  <c r="W324" i="16"/>
  <c r="V324" i="16"/>
  <c r="U324" i="16"/>
  <c r="T324" i="16"/>
  <c r="S324" i="16"/>
  <c r="R324" i="16"/>
  <c r="Q324" i="16"/>
  <c r="Y323" i="16"/>
  <c r="X323" i="16"/>
  <c r="W323" i="16"/>
  <c r="V323" i="16"/>
  <c r="U323" i="16"/>
  <c r="T323" i="16"/>
  <c r="S323" i="16"/>
  <c r="R323" i="16"/>
  <c r="Q323" i="16"/>
  <c r="Y322" i="16"/>
  <c r="X322" i="16"/>
  <c r="W322" i="16"/>
  <c r="V322" i="16"/>
  <c r="U322" i="16"/>
  <c r="T322" i="16"/>
  <c r="S322" i="16"/>
  <c r="R322" i="16"/>
  <c r="Q322" i="16"/>
  <c r="Y321" i="16"/>
  <c r="X321" i="16"/>
  <c r="W321" i="16"/>
  <c r="V321" i="16"/>
  <c r="U321" i="16"/>
  <c r="T321" i="16"/>
  <c r="S321" i="16"/>
  <c r="R321" i="16"/>
  <c r="Q321" i="16"/>
  <c r="Y320" i="16"/>
  <c r="X320" i="16"/>
  <c r="W320" i="16"/>
  <c r="V320" i="16"/>
  <c r="U320" i="16"/>
  <c r="T320" i="16"/>
  <c r="S320" i="16"/>
  <c r="R320" i="16"/>
  <c r="Q320" i="16"/>
  <c r="Y319" i="16"/>
  <c r="X319" i="16"/>
  <c r="W319" i="16"/>
  <c r="V319" i="16"/>
  <c r="U319" i="16"/>
  <c r="T319" i="16"/>
  <c r="S319" i="16"/>
  <c r="R319" i="16"/>
  <c r="Q319" i="16"/>
  <c r="Y318" i="16"/>
  <c r="X318" i="16"/>
  <c r="W318" i="16"/>
  <c r="V318" i="16"/>
  <c r="U318" i="16"/>
  <c r="T318" i="16"/>
  <c r="S318" i="16"/>
  <c r="R318" i="16"/>
  <c r="Q318" i="16"/>
  <c r="Y317" i="16"/>
  <c r="X317" i="16"/>
  <c r="W317" i="16"/>
  <c r="V317" i="16"/>
  <c r="U317" i="16"/>
  <c r="T317" i="16"/>
  <c r="S317" i="16"/>
  <c r="R317" i="16"/>
  <c r="Q317" i="16"/>
  <c r="Y316" i="16"/>
  <c r="X316" i="16"/>
  <c r="W316" i="16"/>
  <c r="V316" i="16"/>
  <c r="U316" i="16"/>
  <c r="T316" i="16"/>
  <c r="S316" i="16"/>
  <c r="R316" i="16"/>
  <c r="Q316" i="16"/>
  <c r="Y315" i="16"/>
  <c r="X315" i="16"/>
  <c r="W315" i="16"/>
  <c r="V315" i="16"/>
  <c r="U315" i="16"/>
  <c r="T315" i="16"/>
  <c r="S315" i="16"/>
  <c r="R315" i="16"/>
  <c r="Q315" i="16"/>
  <c r="Y314" i="16"/>
  <c r="X314" i="16"/>
  <c r="W314" i="16"/>
  <c r="V314" i="16"/>
  <c r="U314" i="16"/>
  <c r="T314" i="16"/>
  <c r="S314" i="16"/>
  <c r="R314" i="16"/>
  <c r="Q314" i="16"/>
  <c r="Y313" i="16"/>
  <c r="X313" i="16"/>
  <c r="W313" i="16"/>
  <c r="V313" i="16"/>
  <c r="U313" i="16"/>
  <c r="T313" i="16"/>
  <c r="S313" i="16"/>
  <c r="R313" i="16"/>
  <c r="Q313" i="16"/>
  <c r="Y312" i="16"/>
  <c r="X312" i="16"/>
  <c r="W312" i="16"/>
  <c r="V312" i="16"/>
  <c r="U312" i="16"/>
  <c r="T312" i="16"/>
  <c r="S312" i="16"/>
  <c r="R312" i="16"/>
  <c r="Q312" i="16"/>
  <c r="Y311" i="16"/>
  <c r="X311" i="16"/>
  <c r="W311" i="16"/>
  <c r="V311" i="16"/>
  <c r="U311" i="16"/>
  <c r="T311" i="16"/>
  <c r="S311" i="16"/>
  <c r="R311" i="16"/>
  <c r="Q311" i="16"/>
  <c r="Y310" i="16"/>
  <c r="X310" i="16"/>
  <c r="W310" i="16"/>
  <c r="V310" i="16"/>
  <c r="U310" i="16"/>
  <c r="T310" i="16"/>
  <c r="S310" i="16"/>
  <c r="R310" i="16"/>
  <c r="Q310" i="16"/>
  <c r="Y309" i="16"/>
  <c r="X309" i="16"/>
  <c r="W309" i="16"/>
  <c r="V309" i="16"/>
  <c r="U309" i="16"/>
  <c r="T309" i="16"/>
  <c r="S309" i="16"/>
  <c r="R309" i="16"/>
  <c r="Q309" i="16"/>
  <c r="Y308" i="16"/>
  <c r="X308" i="16"/>
  <c r="W308" i="16"/>
  <c r="V308" i="16"/>
  <c r="U308" i="16"/>
  <c r="T308" i="16"/>
  <c r="S308" i="16"/>
  <c r="R308" i="16"/>
  <c r="Q308" i="16"/>
  <c r="Y307" i="16"/>
  <c r="X307" i="16"/>
  <c r="W307" i="16"/>
  <c r="V307" i="16"/>
  <c r="U307" i="16"/>
  <c r="T307" i="16"/>
  <c r="S307" i="16"/>
  <c r="R307" i="16"/>
  <c r="Q307" i="16"/>
  <c r="Y306" i="16"/>
  <c r="X306" i="16"/>
  <c r="W306" i="16"/>
  <c r="V306" i="16"/>
  <c r="U306" i="16"/>
  <c r="T306" i="16"/>
  <c r="S306" i="16"/>
  <c r="R306" i="16"/>
  <c r="Q306" i="16"/>
  <c r="Y305" i="16"/>
  <c r="X305" i="16"/>
  <c r="W305" i="16"/>
  <c r="V305" i="16"/>
  <c r="U305" i="16"/>
  <c r="T305" i="16"/>
  <c r="S305" i="16"/>
  <c r="R305" i="16"/>
  <c r="Q305" i="16"/>
  <c r="Y304" i="16"/>
  <c r="X304" i="16"/>
  <c r="W304" i="16"/>
  <c r="V304" i="16"/>
  <c r="U304" i="16"/>
  <c r="T304" i="16"/>
  <c r="S304" i="16"/>
  <c r="R304" i="16"/>
  <c r="Q304" i="16"/>
  <c r="Y303" i="16"/>
  <c r="X303" i="16"/>
  <c r="W303" i="16"/>
  <c r="V303" i="16"/>
  <c r="U303" i="16"/>
  <c r="T303" i="16"/>
  <c r="S303" i="16"/>
  <c r="R303" i="16"/>
  <c r="Q303" i="16"/>
  <c r="Y302" i="16"/>
  <c r="X302" i="16"/>
  <c r="W302" i="16"/>
  <c r="V302" i="16"/>
  <c r="U302" i="16"/>
  <c r="T302" i="16"/>
  <c r="S302" i="16"/>
  <c r="R302" i="16"/>
  <c r="Q302" i="16"/>
  <c r="Y301" i="16"/>
  <c r="X301" i="16"/>
  <c r="W301" i="16"/>
  <c r="V301" i="16"/>
  <c r="U301" i="16"/>
  <c r="T301" i="16"/>
  <c r="S301" i="16"/>
  <c r="R301" i="16"/>
  <c r="Q301" i="16"/>
  <c r="Y300" i="16"/>
  <c r="X300" i="16"/>
  <c r="W300" i="16"/>
  <c r="V300" i="16"/>
  <c r="U300" i="16"/>
  <c r="T300" i="16"/>
  <c r="S300" i="16"/>
  <c r="R300" i="16"/>
  <c r="Q300" i="16"/>
  <c r="Y299" i="16"/>
  <c r="X299" i="16"/>
  <c r="W299" i="16"/>
  <c r="V299" i="16"/>
  <c r="U299" i="16"/>
  <c r="T299" i="16"/>
  <c r="S299" i="16"/>
  <c r="R299" i="16"/>
  <c r="Q299" i="16"/>
  <c r="Y298" i="16"/>
  <c r="X298" i="16"/>
  <c r="W298" i="16"/>
  <c r="V298" i="16"/>
  <c r="U298" i="16"/>
  <c r="T298" i="16"/>
  <c r="S298" i="16"/>
  <c r="R298" i="16"/>
  <c r="Q298" i="16"/>
  <c r="Y297" i="16"/>
  <c r="X297" i="16"/>
  <c r="W297" i="16"/>
  <c r="V297" i="16"/>
  <c r="U297" i="16"/>
  <c r="T297" i="16"/>
  <c r="S297" i="16"/>
  <c r="R297" i="16"/>
  <c r="Q297" i="16"/>
  <c r="Y296" i="16"/>
  <c r="X296" i="16"/>
  <c r="W296" i="16"/>
  <c r="V296" i="16"/>
  <c r="U296" i="16"/>
  <c r="T296" i="16"/>
  <c r="S296" i="16"/>
  <c r="R296" i="16"/>
  <c r="Q296" i="16"/>
  <c r="Y295" i="16"/>
  <c r="X295" i="16"/>
  <c r="W295" i="16"/>
  <c r="V295" i="16"/>
  <c r="U295" i="16"/>
  <c r="T295" i="16"/>
  <c r="S295" i="16"/>
  <c r="R295" i="16"/>
  <c r="Q295" i="16"/>
  <c r="Y294" i="16"/>
  <c r="X294" i="16"/>
  <c r="W294" i="16"/>
  <c r="V294" i="16"/>
  <c r="U294" i="16"/>
  <c r="T294" i="16"/>
  <c r="S294" i="16"/>
  <c r="R294" i="16"/>
  <c r="Q294" i="16"/>
  <c r="Y293" i="16"/>
  <c r="X293" i="16"/>
  <c r="W293" i="16"/>
  <c r="V293" i="16"/>
  <c r="U293" i="16"/>
  <c r="T293" i="16"/>
  <c r="S293" i="16"/>
  <c r="R293" i="16"/>
  <c r="Q293" i="16"/>
  <c r="Y292" i="16"/>
  <c r="X292" i="16"/>
  <c r="W292" i="16"/>
  <c r="V292" i="16"/>
  <c r="U292" i="16"/>
  <c r="T292" i="16"/>
  <c r="S292" i="16"/>
  <c r="R292" i="16"/>
  <c r="Q292" i="16"/>
  <c r="Y291" i="16"/>
  <c r="X291" i="16"/>
  <c r="W291" i="16"/>
  <c r="V291" i="16"/>
  <c r="U291" i="16"/>
  <c r="T291" i="16"/>
  <c r="S291" i="16"/>
  <c r="R291" i="16"/>
  <c r="Q291" i="16"/>
  <c r="Y290" i="16"/>
  <c r="X290" i="16"/>
  <c r="W290" i="16"/>
  <c r="V290" i="16"/>
  <c r="U290" i="16"/>
  <c r="T290" i="16"/>
  <c r="S290" i="16"/>
  <c r="R290" i="16"/>
  <c r="Q290" i="16"/>
  <c r="Y289" i="16"/>
  <c r="X289" i="16"/>
  <c r="W289" i="16"/>
  <c r="V289" i="16"/>
  <c r="U289" i="16"/>
  <c r="T289" i="16"/>
  <c r="S289" i="16"/>
  <c r="R289" i="16"/>
  <c r="Q289" i="16"/>
  <c r="Y288" i="16"/>
  <c r="X288" i="16"/>
  <c r="W288" i="16"/>
  <c r="V288" i="16"/>
  <c r="U288" i="16"/>
  <c r="T288" i="16"/>
  <c r="S288" i="16"/>
  <c r="R288" i="16"/>
  <c r="Q288" i="16"/>
  <c r="Y287" i="16"/>
  <c r="X287" i="16"/>
  <c r="W287" i="16"/>
  <c r="V287" i="16"/>
  <c r="U287" i="16"/>
  <c r="T287" i="16"/>
  <c r="S287" i="16"/>
  <c r="R287" i="16"/>
  <c r="Q287" i="16"/>
  <c r="Y286" i="16"/>
  <c r="X286" i="16"/>
  <c r="W286" i="16"/>
  <c r="V286" i="16"/>
  <c r="U286" i="16"/>
  <c r="T286" i="16"/>
  <c r="S286" i="16"/>
  <c r="R286" i="16"/>
  <c r="Q286" i="16"/>
  <c r="Y285" i="16"/>
  <c r="X285" i="16"/>
  <c r="W285" i="16"/>
  <c r="V285" i="16"/>
  <c r="U285" i="16"/>
  <c r="T285" i="16"/>
  <c r="S285" i="16"/>
  <c r="R285" i="16"/>
  <c r="Q285" i="16"/>
  <c r="Y284" i="16"/>
  <c r="X284" i="16"/>
  <c r="W284" i="16"/>
  <c r="V284" i="16"/>
  <c r="U284" i="16"/>
  <c r="T284" i="16"/>
  <c r="S284" i="16"/>
  <c r="R284" i="16"/>
  <c r="Q284" i="16"/>
  <c r="Y283" i="16"/>
  <c r="X283" i="16"/>
  <c r="W283" i="16"/>
  <c r="V283" i="16"/>
  <c r="U283" i="16"/>
  <c r="T283" i="16"/>
  <c r="S283" i="16"/>
  <c r="R283" i="16"/>
  <c r="Q283" i="16"/>
  <c r="Y282" i="16"/>
  <c r="X282" i="16"/>
  <c r="W282" i="16"/>
  <c r="V282" i="16"/>
  <c r="U282" i="16"/>
  <c r="T282" i="16"/>
  <c r="S282" i="16"/>
  <c r="R282" i="16"/>
  <c r="Q282" i="16"/>
  <c r="Y281" i="16"/>
  <c r="X281" i="16"/>
  <c r="W281" i="16"/>
  <c r="V281" i="16"/>
  <c r="U281" i="16"/>
  <c r="T281" i="16"/>
  <c r="S281" i="16"/>
  <c r="R281" i="16"/>
  <c r="Q281" i="16"/>
  <c r="Y280" i="16"/>
  <c r="X280" i="16"/>
  <c r="W280" i="16"/>
  <c r="V280" i="16"/>
  <c r="U280" i="16"/>
  <c r="T280" i="16"/>
  <c r="S280" i="16"/>
  <c r="R280" i="16"/>
  <c r="Q280" i="16"/>
  <c r="Y279" i="16"/>
  <c r="X279" i="16"/>
  <c r="W279" i="16"/>
  <c r="V279" i="16"/>
  <c r="U279" i="16"/>
  <c r="T279" i="16"/>
  <c r="S279" i="16"/>
  <c r="R279" i="16"/>
  <c r="Q279" i="16"/>
  <c r="Y278" i="16"/>
  <c r="X278" i="16"/>
  <c r="W278" i="16"/>
  <c r="V278" i="16"/>
  <c r="U278" i="16"/>
  <c r="T278" i="16"/>
  <c r="S278" i="16"/>
  <c r="R278" i="16"/>
  <c r="Q278" i="16"/>
  <c r="Y277" i="16"/>
  <c r="X277" i="16"/>
  <c r="W277" i="16"/>
  <c r="V277" i="16"/>
  <c r="U277" i="16"/>
  <c r="T277" i="16"/>
  <c r="S277" i="16"/>
  <c r="R277" i="16"/>
  <c r="Q277" i="16"/>
  <c r="Y276" i="16"/>
  <c r="X276" i="16"/>
  <c r="W276" i="16"/>
  <c r="V276" i="16"/>
  <c r="U276" i="16"/>
  <c r="T276" i="16"/>
  <c r="S276" i="16"/>
  <c r="R276" i="16"/>
  <c r="Q276" i="16"/>
  <c r="Y275" i="16"/>
  <c r="X275" i="16"/>
  <c r="W275" i="16"/>
  <c r="V275" i="16"/>
  <c r="U275" i="16"/>
  <c r="T275" i="16"/>
  <c r="S275" i="16"/>
  <c r="R275" i="16"/>
  <c r="Q275" i="16"/>
  <c r="Y274" i="16"/>
  <c r="X274" i="16"/>
  <c r="W274" i="16"/>
  <c r="V274" i="16"/>
  <c r="U274" i="16"/>
  <c r="T274" i="16"/>
  <c r="S274" i="16"/>
  <c r="R274" i="16"/>
  <c r="Q274" i="16"/>
  <c r="Y273" i="16"/>
  <c r="X273" i="16"/>
  <c r="W273" i="16"/>
  <c r="V273" i="16"/>
  <c r="U273" i="16"/>
  <c r="T273" i="16"/>
  <c r="S273" i="16"/>
  <c r="R273" i="16"/>
  <c r="Q273" i="16"/>
  <c r="Y272" i="16"/>
  <c r="X272" i="16"/>
  <c r="W272" i="16"/>
  <c r="V272" i="16"/>
  <c r="U272" i="16"/>
  <c r="T272" i="16"/>
  <c r="S272" i="16"/>
  <c r="R272" i="16"/>
  <c r="Q272" i="16"/>
  <c r="Y271" i="16"/>
  <c r="X271" i="16"/>
  <c r="W271" i="16"/>
  <c r="V271" i="16"/>
  <c r="U271" i="16"/>
  <c r="T271" i="16"/>
  <c r="S271" i="16"/>
  <c r="R271" i="16"/>
  <c r="Q271" i="16"/>
  <c r="Y270" i="16"/>
  <c r="X270" i="16"/>
  <c r="W270" i="16"/>
  <c r="V270" i="16"/>
  <c r="U270" i="16"/>
  <c r="T270" i="16"/>
  <c r="S270" i="16"/>
  <c r="R270" i="16"/>
  <c r="Q270" i="16"/>
  <c r="Y269" i="16"/>
  <c r="X269" i="16"/>
  <c r="W269" i="16"/>
  <c r="V269" i="16"/>
  <c r="U269" i="16"/>
  <c r="T269" i="16"/>
  <c r="S269" i="16"/>
  <c r="R269" i="16"/>
  <c r="Q269" i="16"/>
  <c r="Y268" i="16"/>
  <c r="X268" i="16"/>
  <c r="W268" i="16"/>
  <c r="V268" i="16"/>
  <c r="U268" i="16"/>
  <c r="T268" i="16"/>
  <c r="S268" i="16"/>
  <c r="R268" i="16"/>
  <c r="Q268" i="16"/>
  <c r="Y267" i="16"/>
  <c r="X267" i="16"/>
  <c r="W267" i="16"/>
  <c r="V267" i="16"/>
  <c r="U267" i="16"/>
  <c r="T267" i="16"/>
  <c r="S267" i="16"/>
  <c r="R267" i="16"/>
  <c r="Q267" i="16"/>
  <c r="Y266" i="16"/>
  <c r="X266" i="16"/>
  <c r="W266" i="16"/>
  <c r="V266" i="16"/>
  <c r="U266" i="16"/>
  <c r="T266" i="16"/>
  <c r="S266" i="16"/>
  <c r="R266" i="16"/>
  <c r="Q266" i="16"/>
  <c r="Y265" i="16"/>
  <c r="X265" i="16"/>
  <c r="W265" i="16"/>
  <c r="V265" i="16"/>
  <c r="U265" i="16"/>
  <c r="T265" i="16"/>
  <c r="S265" i="16"/>
  <c r="R265" i="16"/>
  <c r="Q265" i="16"/>
  <c r="Y264" i="16"/>
  <c r="X264" i="16"/>
  <c r="W264" i="16"/>
  <c r="V264" i="16"/>
  <c r="U264" i="16"/>
  <c r="T264" i="16"/>
  <c r="S264" i="16"/>
  <c r="R264" i="16"/>
  <c r="Q264" i="16"/>
  <c r="Y263" i="16"/>
  <c r="X263" i="16"/>
  <c r="W263" i="16"/>
  <c r="V263" i="16"/>
  <c r="U263" i="16"/>
  <c r="T263" i="16"/>
  <c r="S263" i="16"/>
  <c r="R263" i="16"/>
  <c r="Q263" i="16"/>
  <c r="Y262" i="16"/>
  <c r="X262" i="16"/>
  <c r="W262" i="16"/>
  <c r="V262" i="16"/>
  <c r="U262" i="16"/>
  <c r="T262" i="16"/>
  <c r="S262" i="16"/>
  <c r="R262" i="16"/>
  <c r="Q262" i="16"/>
  <c r="Y261" i="16"/>
  <c r="X261" i="16"/>
  <c r="W261" i="16"/>
  <c r="V261" i="16"/>
  <c r="U261" i="16"/>
  <c r="T261" i="16"/>
  <c r="S261" i="16"/>
  <c r="R261" i="16"/>
  <c r="Q261" i="16"/>
  <c r="Y260" i="16"/>
  <c r="X260" i="16"/>
  <c r="W260" i="16"/>
  <c r="V260" i="16"/>
  <c r="U260" i="16"/>
  <c r="T260" i="16"/>
  <c r="S260" i="16"/>
  <c r="R260" i="16"/>
  <c r="Q260" i="16"/>
  <c r="Y259" i="16"/>
  <c r="X259" i="16"/>
  <c r="W259" i="16"/>
  <c r="V259" i="16"/>
  <c r="U259" i="16"/>
  <c r="T259" i="16"/>
  <c r="S259" i="16"/>
  <c r="R259" i="16"/>
  <c r="Q259" i="16"/>
  <c r="Y258" i="16"/>
  <c r="X258" i="16"/>
  <c r="W258" i="16"/>
  <c r="V258" i="16"/>
  <c r="U258" i="16"/>
  <c r="T258" i="16"/>
  <c r="S258" i="16"/>
  <c r="R258" i="16"/>
  <c r="Q258" i="16"/>
  <c r="Y257" i="16"/>
  <c r="X257" i="16"/>
  <c r="W257" i="16"/>
  <c r="V257" i="16"/>
  <c r="U257" i="16"/>
  <c r="T257" i="16"/>
  <c r="S257" i="16"/>
  <c r="R257" i="16"/>
  <c r="Q257" i="16"/>
  <c r="Y256" i="16"/>
  <c r="X256" i="16"/>
  <c r="W256" i="16"/>
  <c r="V256" i="16"/>
  <c r="U256" i="16"/>
  <c r="T256" i="16"/>
  <c r="S256" i="16"/>
  <c r="R256" i="16"/>
  <c r="Q256" i="16"/>
  <c r="Y255" i="16"/>
  <c r="X255" i="16"/>
  <c r="W255" i="16"/>
  <c r="V255" i="16"/>
  <c r="U255" i="16"/>
  <c r="T255" i="16"/>
  <c r="S255" i="16"/>
  <c r="R255" i="16"/>
  <c r="Q255" i="16"/>
  <c r="Y254" i="16"/>
  <c r="X254" i="16"/>
  <c r="W254" i="16"/>
  <c r="V254" i="16"/>
  <c r="U254" i="16"/>
  <c r="T254" i="16"/>
  <c r="S254" i="16"/>
  <c r="R254" i="16"/>
  <c r="Q254" i="16"/>
  <c r="Y253" i="16"/>
  <c r="X253" i="16"/>
  <c r="W253" i="16"/>
  <c r="V253" i="16"/>
  <c r="U253" i="16"/>
  <c r="T253" i="16"/>
  <c r="S253" i="16"/>
  <c r="R253" i="16"/>
  <c r="Q253" i="16"/>
  <c r="Y252" i="16"/>
  <c r="X252" i="16"/>
  <c r="W252" i="16"/>
  <c r="V252" i="16"/>
  <c r="U252" i="16"/>
  <c r="T252" i="16"/>
  <c r="S252" i="16"/>
  <c r="R252" i="16"/>
  <c r="Q252" i="16"/>
  <c r="Y251" i="16"/>
  <c r="X251" i="16"/>
  <c r="W251" i="16"/>
  <c r="V251" i="16"/>
  <c r="U251" i="16"/>
  <c r="T251" i="16"/>
  <c r="S251" i="16"/>
  <c r="R251" i="16"/>
  <c r="Q251" i="16"/>
  <c r="Y250" i="16"/>
  <c r="X250" i="16"/>
  <c r="W250" i="16"/>
  <c r="V250" i="16"/>
  <c r="U250" i="16"/>
  <c r="T250" i="16"/>
  <c r="S250" i="16"/>
  <c r="R250" i="16"/>
  <c r="Q250" i="16"/>
  <c r="Y249" i="16"/>
  <c r="X249" i="16"/>
  <c r="W249" i="16"/>
  <c r="V249" i="16"/>
  <c r="U249" i="16"/>
  <c r="T249" i="16"/>
  <c r="S249" i="16"/>
  <c r="R249" i="16"/>
  <c r="Q249" i="16"/>
  <c r="Y248" i="16"/>
  <c r="X248" i="16"/>
  <c r="W248" i="16"/>
  <c r="V248" i="16"/>
  <c r="U248" i="16"/>
  <c r="T248" i="16"/>
  <c r="S248" i="16"/>
  <c r="R248" i="16"/>
  <c r="Q248" i="16"/>
  <c r="Y247" i="16"/>
  <c r="X247" i="16"/>
  <c r="W247" i="16"/>
  <c r="V247" i="16"/>
  <c r="U247" i="16"/>
  <c r="T247" i="16"/>
  <c r="S247" i="16"/>
  <c r="R247" i="16"/>
  <c r="Q247" i="16"/>
  <c r="Y246" i="16"/>
  <c r="X246" i="16"/>
  <c r="W246" i="16"/>
  <c r="V246" i="16"/>
  <c r="U246" i="16"/>
  <c r="T246" i="16"/>
  <c r="S246" i="16"/>
  <c r="R246" i="16"/>
  <c r="Q246" i="16"/>
  <c r="Y245" i="16"/>
  <c r="X245" i="16"/>
  <c r="W245" i="16"/>
  <c r="V245" i="16"/>
  <c r="U245" i="16"/>
  <c r="T245" i="16"/>
  <c r="S245" i="16"/>
  <c r="R245" i="16"/>
  <c r="Q245" i="16"/>
  <c r="Y244" i="16"/>
  <c r="X244" i="16"/>
  <c r="W244" i="16"/>
  <c r="V244" i="16"/>
  <c r="U244" i="16"/>
  <c r="T244" i="16"/>
  <c r="S244" i="16"/>
  <c r="R244" i="16"/>
  <c r="Q244" i="16"/>
  <c r="Y243" i="16"/>
  <c r="X243" i="16"/>
  <c r="W243" i="16"/>
  <c r="V243" i="16"/>
  <c r="U243" i="16"/>
  <c r="T243" i="16"/>
  <c r="S243" i="16"/>
  <c r="R243" i="16"/>
  <c r="Q243" i="16"/>
  <c r="Y242" i="16"/>
  <c r="X242" i="16"/>
  <c r="W242" i="16"/>
  <c r="V242" i="16"/>
  <c r="U242" i="16"/>
  <c r="T242" i="16"/>
  <c r="S242" i="16"/>
  <c r="R242" i="16"/>
  <c r="Q242" i="16"/>
  <c r="Y241" i="16"/>
  <c r="X241" i="16"/>
  <c r="W241" i="16"/>
  <c r="V241" i="16"/>
  <c r="U241" i="16"/>
  <c r="T241" i="16"/>
  <c r="S241" i="16"/>
  <c r="R241" i="16"/>
  <c r="Q241" i="16"/>
  <c r="Y240" i="16"/>
  <c r="X240" i="16"/>
  <c r="W240" i="16"/>
  <c r="V240" i="16"/>
  <c r="U240" i="16"/>
  <c r="T240" i="16"/>
  <c r="S240" i="16"/>
  <c r="R240" i="16"/>
  <c r="Q240" i="16"/>
  <c r="Y239" i="16"/>
  <c r="X239" i="16"/>
  <c r="W239" i="16"/>
  <c r="V239" i="16"/>
  <c r="U239" i="16"/>
  <c r="T239" i="16"/>
  <c r="S239" i="16"/>
  <c r="R239" i="16"/>
  <c r="Q239" i="16"/>
  <c r="Y238" i="16"/>
  <c r="X238" i="16"/>
  <c r="W238" i="16"/>
  <c r="V238" i="16"/>
  <c r="U238" i="16"/>
  <c r="T238" i="16"/>
  <c r="S238" i="16"/>
  <c r="R238" i="16"/>
  <c r="Q238" i="16"/>
  <c r="Y237" i="16"/>
  <c r="X237" i="16"/>
  <c r="W237" i="16"/>
  <c r="V237" i="16"/>
  <c r="U237" i="16"/>
  <c r="T237" i="16"/>
  <c r="S237" i="16"/>
  <c r="R237" i="16"/>
  <c r="Q237" i="16"/>
  <c r="Y236" i="16"/>
  <c r="X236" i="16"/>
  <c r="W236" i="16"/>
  <c r="V236" i="16"/>
  <c r="U236" i="16"/>
  <c r="T236" i="16"/>
  <c r="S236" i="16"/>
  <c r="R236" i="16"/>
  <c r="Q236" i="16"/>
  <c r="Y235" i="16"/>
  <c r="X235" i="16"/>
  <c r="W235" i="16"/>
  <c r="V235" i="16"/>
  <c r="U235" i="16"/>
  <c r="T235" i="16"/>
  <c r="S235" i="16"/>
  <c r="R235" i="16"/>
  <c r="Q235" i="16"/>
  <c r="Y234" i="16"/>
  <c r="X234" i="16"/>
  <c r="W234" i="16"/>
  <c r="V234" i="16"/>
  <c r="U234" i="16"/>
  <c r="T234" i="16"/>
  <c r="S234" i="16"/>
  <c r="R234" i="16"/>
  <c r="Q234" i="16"/>
  <c r="Y233" i="16"/>
  <c r="X233" i="16"/>
  <c r="W233" i="16"/>
  <c r="V233" i="16"/>
  <c r="U233" i="16"/>
  <c r="T233" i="16"/>
  <c r="S233" i="16"/>
  <c r="R233" i="16"/>
  <c r="Q233" i="16"/>
  <c r="Y232" i="16"/>
  <c r="X232" i="16"/>
  <c r="W232" i="16"/>
  <c r="V232" i="16"/>
  <c r="U232" i="16"/>
  <c r="T232" i="16"/>
  <c r="S232" i="16"/>
  <c r="R232" i="16"/>
  <c r="Q232" i="16"/>
  <c r="Y231" i="16"/>
  <c r="X231" i="16"/>
  <c r="W231" i="16"/>
  <c r="V231" i="16"/>
  <c r="U231" i="16"/>
  <c r="T231" i="16"/>
  <c r="S231" i="16"/>
  <c r="R231" i="16"/>
  <c r="Q231" i="16"/>
  <c r="Y230" i="16"/>
  <c r="X230" i="16"/>
  <c r="W230" i="16"/>
  <c r="V230" i="16"/>
  <c r="U230" i="16"/>
  <c r="T230" i="16"/>
  <c r="S230" i="16"/>
  <c r="R230" i="16"/>
  <c r="Q230" i="16"/>
  <c r="Y229" i="16"/>
  <c r="X229" i="16"/>
  <c r="W229" i="16"/>
  <c r="V229" i="16"/>
  <c r="U229" i="16"/>
  <c r="T229" i="16"/>
  <c r="S229" i="16"/>
  <c r="R229" i="16"/>
  <c r="Q229" i="16"/>
  <c r="Y228" i="16"/>
  <c r="X228" i="16"/>
  <c r="W228" i="16"/>
  <c r="V228" i="16"/>
  <c r="U228" i="16"/>
  <c r="T228" i="16"/>
  <c r="S228" i="16"/>
  <c r="R228" i="16"/>
  <c r="Q228" i="16"/>
  <c r="Y227" i="16"/>
  <c r="X227" i="16"/>
  <c r="W227" i="16"/>
  <c r="V227" i="16"/>
  <c r="U227" i="16"/>
  <c r="T227" i="16"/>
  <c r="S227" i="16"/>
  <c r="R227" i="16"/>
  <c r="Q227" i="16"/>
  <c r="Y226" i="16"/>
  <c r="X226" i="16"/>
  <c r="W226" i="16"/>
  <c r="V226" i="16"/>
  <c r="U226" i="16"/>
  <c r="T226" i="16"/>
  <c r="S226" i="16"/>
  <c r="R226" i="16"/>
  <c r="Q226" i="16"/>
  <c r="Y225" i="16"/>
  <c r="X225" i="16"/>
  <c r="W225" i="16"/>
  <c r="V225" i="16"/>
  <c r="U225" i="16"/>
  <c r="T225" i="16"/>
  <c r="S225" i="16"/>
  <c r="R225" i="16"/>
  <c r="Q225" i="16"/>
  <c r="Y224" i="16"/>
  <c r="X224" i="16"/>
  <c r="W224" i="16"/>
  <c r="V224" i="16"/>
  <c r="U224" i="16"/>
  <c r="T224" i="16"/>
  <c r="S224" i="16"/>
  <c r="R224" i="16"/>
  <c r="Q224" i="16"/>
  <c r="Y223" i="16"/>
  <c r="X223" i="16"/>
  <c r="W223" i="16"/>
  <c r="V223" i="16"/>
  <c r="U223" i="16"/>
  <c r="T223" i="16"/>
  <c r="S223" i="16"/>
  <c r="R223" i="16"/>
  <c r="Q223" i="16"/>
  <c r="Y222" i="16"/>
  <c r="X222" i="16"/>
  <c r="W222" i="16"/>
  <c r="V222" i="16"/>
  <c r="U222" i="16"/>
  <c r="T222" i="16"/>
  <c r="S222" i="16"/>
  <c r="R222" i="16"/>
  <c r="Q222" i="16"/>
  <c r="Y221" i="16"/>
  <c r="X221" i="16"/>
  <c r="W221" i="16"/>
  <c r="V221" i="16"/>
  <c r="U221" i="16"/>
  <c r="T221" i="16"/>
  <c r="S221" i="16"/>
  <c r="R221" i="16"/>
  <c r="Q221" i="16"/>
  <c r="Y220" i="16"/>
  <c r="X220" i="16"/>
  <c r="W220" i="16"/>
  <c r="V220" i="16"/>
  <c r="U220" i="16"/>
  <c r="T220" i="16"/>
  <c r="S220" i="16"/>
  <c r="R220" i="16"/>
  <c r="Q220" i="16"/>
  <c r="Y219" i="16"/>
  <c r="X219" i="16"/>
  <c r="W219" i="16"/>
  <c r="V219" i="16"/>
  <c r="U219" i="16"/>
  <c r="T219" i="16"/>
  <c r="S219" i="16"/>
  <c r="R219" i="16"/>
  <c r="Q219" i="16"/>
  <c r="Y218" i="16"/>
  <c r="X218" i="16"/>
  <c r="W218" i="16"/>
  <c r="V218" i="16"/>
  <c r="U218" i="16"/>
  <c r="T218" i="16"/>
  <c r="S218" i="16"/>
  <c r="R218" i="16"/>
  <c r="Q218" i="16"/>
  <c r="Y217" i="16"/>
  <c r="X217" i="16"/>
  <c r="W217" i="16"/>
  <c r="V217" i="16"/>
  <c r="U217" i="16"/>
  <c r="T217" i="16"/>
  <c r="S217" i="16"/>
  <c r="R217" i="16"/>
  <c r="Q217" i="16"/>
  <c r="Y216" i="16"/>
  <c r="X216" i="16"/>
  <c r="W216" i="16"/>
  <c r="V216" i="16"/>
  <c r="U216" i="16"/>
  <c r="T216" i="16"/>
  <c r="S216" i="16"/>
  <c r="R216" i="16"/>
  <c r="Q216" i="16"/>
  <c r="Y215" i="16"/>
  <c r="X215" i="16"/>
  <c r="W215" i="16"/>
  <c r="V215" i="16"/>
  <c r="U215" i="16"/>
  <c r="T215" i="16"/>
  <c r="S215" i="16"/>
  <c r="R215" i="16"/>
  <c r="Q215" i="16"/>
  <c r="Y214" i="16"/>
  <c r="X214" i="16"/>
  <c r="W214" i="16"/>
  <c r="V214" i="16"/>
  <c r="U214" i="16"/>
  <c r="T214" i="16"/>
  <c r="S214" i="16"/>
  <c r="R214" i="16"/>
  <c r="Q214" i="16"/>
  <c r="Y213" i="16"/>
  <c r="X213" i="16"/>
  <c r="W213" i="16"/>
  <c r="V213" i="16"/>
  <c r="U213" i="16"/>
  <c r="T213" i="16"/>
  <c r="S213" i="16"/>
  <c r="R213" i="16"/>
  <c r="Q213" i="16"/>
  <c r="Y212" i="16"/>
  <c r="X212" i="16"/>
  <c r="W212" i="16"/>
  <c r="V212" i="16"/>
  <c r="U212" i="16"/>
  <c r="T212" i="16"/>
  <c r="S212" i="16"/>
  <c r="R212" i="16"/>
  <c r="Q212" i="16"/>
  <c r="Y211" i="16"/>
  <c r="X211" i="16"/>
  <c r="W211" i="16"/>
  <c r="V211" i="16"/>
  <c r="U211" i="16"/>
  <c r="T211" i="16"/>
  <c r="S211" i="16"/>
  <c r="R211" i="16"/>
  <c r="Q211" i="16"/>
  <c r="Y210" i="16"/>
  <c r="X210" i="16"/>
  <c r="W210" i="16"/>
  <c r="V210" i="16"/>
  <c r="U210" i="16"/>
  <c r="T210" i="16"/>
  <c r="S210" i="16"/>
  <c r="R210" i="16"/>
  <c r="Q210" i="16"/>
  <c r="Y209" i="16"/>
  <c r="X209" i="16"/>
  <c r="W209" i="16"/>
  <c r="V209" i="16"/>
  <c r="U209" i="16"/>
  <c r="T209" i="16"/>
  <c r="S209" i="16"/>
  <c r="R209" i="16"/>
  <c r="Q209" i="16"/>
  <c r="Y208" i="16"/>
  <c r="X208" i="16"/>
  <c r="W208" i="16"/>
  <c r="V208" i="16"/>
  <c r="U208" i="16"/>
  <c r="T208" i="16"/>
  <c r="S208" i="16"/>
  <c r="R208" i="16"/>
  <c r="Q208" i="16"/>
  <c r="Y207" i="16"/>
  <c r="X207" i="16"/>
  <c r="W207" i="16"/>
  <c r="V207" i="16"/>
  <c r="U207" i="16"/>
  <c r="T207" i="16"/>
  <c r="S207" i="16"/>
  <c r="R207" i="16"/>
  <c r="Q207" i="16"/>
  <c r="Y206" i="16"/>
  <c r="X206" i="16"/>
  <c r="W206" i="16"/>
  <c r="V206" i="16"/>
  <c r="U206" i="16"/>
  <c r="T206" i="16"/>
  <c r="S206" i="16"/>
  <c r="R206" i="16"/>
  <c r="Q206" i="16"/>
  <c r="Y205" i="16"/>
  <c r="X205" i="16"/>
  <c r="W205" i="16"/>
  <c r="V205" i="16"/>
  <c r="U205" i="16"/>
  <c r="T205" i="16"/>
  <c r="S205" i="16"/>
  <c r="R205" i="16"/>
  <c r="Q205" i="16"/>
  <c r="Y204" i="16"/>
  <c r="X204" i="16"/>
  <c r="W204" i="16"/>
  <c r="V204" i="16"/>
  <c r="U204" i="16"/>
  <c r="T204" i="16"/>
  <c r="S204" i="16"/>
  <c r="R204" i="16"/>
  <c r="Q204" i="16"/>
  <c r="Y203" i="16"/>
  <c r="X203" i="16"/>
  <c r="W203" i="16"/>
  <c r="V203" i="16"/>
  <c r="U203" i="16"/>
  <c r="T203" i="16"/>
  <c r="S203" i="16"/>
  <c r="R203" i="16"/>
  <c r="Q203" i="16"/>
  <c r="Y202" i="16"/>
  <c r="X202" i="16"/>
  <c r="W202" i="16"/>
  <c r="V202" i="16"/>
  <c r="U202" i="16"/>
  <c r="T202" i="16"/>
  <c r="S202" i="16"/>
  <c r="R202" i="16"/>
  <c r="Q202" i="16"/>
  <c r="Y201" i="16"/>
  <c r="X201" i="16"/>
  <c r="W201" i="16"/>
  <c r="V201" i="16"/>
  <c r="U201" i="16"/>
  <c r="T201" i="16"/>
  <c r="S201" i="16"/>
  <c r="R201" i="16"/>
  <c r="Q201" i="16"/>
  <c r="Y200" i="16"/>
  <c r="X200" i="16"/>
  <c r="W200" i="16"/>
  <c r="V200" i="16"/>
  <c r="U200" i="16"/>
  <c r="T200" i="16"/>
  <c r="S200" i="16"/>
  <c r="R200" i="16"/>
  <c r="Q200" i="16"/>
  <c r="Y199" i="16"/>
  <c r="X199" i="16"/>
  <c r="W199" i="16"/>
  <c r="V199" i="16"/>
  <c r="U199" i="16"/>
  <c r="T199" i="16"/>
  <c r="S199" i="16"/>
  <c r="R199" i="16"/>
  <c r="Q199" i="16"/>
  <c r="Y198" i="16"/>
  <c r="X198" i="16"/>
  <c r="W198" i="16"/>
  <c r="V198" i="16"/>
  <c r="U198" i="16"/>
  <c r="T198" i="16"/>
  <c r="S198" i="16"/>
  <c r="R198" i="16"/>
  <c r="Q198" i="16"/>
  <c r="Y197" i="16"/>
  <c r="X197" i="16"/>
  <c r="W197" i="16"/>
  <c r="V197" i="16"/>
  <c r="U197" i="16"/>
  <c r="T197" i="16"/>
  <c r="S197" i="16"/>
  <c r="R197" i="16"/>
  <c r="Q197" i="16"/>
  <c r="Y196" i="16"/>
  <c r="X196" i="16"/>
  <c r="W196" i="16"/>
  <c r="V196" i="16"/>
  <c r="U196" i="16"/>
  <c r="T196" i="16"/>
  <c r="S196" i="16"/>
  <c r="R196" i="16"/>
  <c r="Q196" i="16"/>
  <c r="Y195" i="16"/>
  <c r="X195" i="16"/>
  <c r="W195" i="16"/>
  <c r="V195" i="16"/>
  <c r="U195" i="16"/>
  <c r="T195" i="16"/>
  <c r="S195" i="16"/>
  <c r="R195" i="16"/>
  <c r="Q195" i="16"/>
  <c r="Y194" i="16"/>
  <c r="X194" i="16"/>
  <c r="W194" i="16"/>
  <c r="V194" i="16"/>
  <c r="U194" i="16"/>
  <c r="T194" i="16"/>
  <c r="S194" i="16"/>
  <c r="R194" i="16"/>
  <c r="Q194" i="16"/>
  <c r="Y193" i="16"/>
  <c r="X193" i="16"/>
  <c r="W193" i="16"/>
  <c r="V193" i="16"/>
  <c r="U193" i="16"/>
  <c r="T193" i="16"/>
  <c r="S193" i="16"/>
  <c r="R193" i="16"/>
  <c r="Q193" i="16"/>
  <c r="Y192" i="16"/>
  <c r="X192" i="16"/>
  <c r="W192" i="16"/>
  <c r="V192" i="16"/>
  <c r="U192" i="16"/>
  <c r="T192" i="16"/>
  <c r="S192" i="16"/>
  <c r="R192" i="16"/>
  <c r="Q192" i="16"/>
  <c r="Y191" i="16"/>
  <c r="X191" i="16"/>
  <c r="W191" i="16"/>
  <c r="V191" i="16"/>
  <c r="U191" i="16"/>
  <c r="T191" i="16"/>
  <c r="S191" i="16"/>
  <c r="R191" i="16"/>
  <c r="Q191" i="16"/>
  <c r="Y190" i="16"/>
  <c r="X190" i="16"/>
  <c r="W190" i="16"/>
  <c r="V190" i="16"/>
  <c r="U190" i="16"/>
  <c r="T190" i="16"/>
  <c r="S190" i="16"/>
  <c r="R190" i="16"/>
  <c r="Q190" i="16"/>
  <c r="Y189" i="16"/>
  <c r="X189" i="16"/>
  <c r="W189" i="16"/>
  <c r="V189" i="16"/>
  <c r="U189" i="16"/>
  <c r="T189" i="16"/>
  <c r="S189" i="16"/>
  <c r="R189" i="16"/>
  <c r="Q189" i="16"/>
  <c r="Y188" i="16"/>
  <c r="X188" i="16"/>
  <c r="W188" i="16"/>
  <c r="V188" i="16"/>
  <c r="U188" i="16"/>
  <c r="T188" i="16"/>
  <c r="S188" i="16"/>
  <c r="R188" i="16"/>
  <c r="Q188" i="16"/>
  <c r="Y187" i="16"/>
  <c r="X187" i="16"/>
  <c r="W187" i="16"/>
  <c r="V187" i="16"/>
  <c r="U187" i="16"/>
  <c r="T187" i="16"/>
  <c r="S187" i="16"/>
  <c r="R187" i="16"/>
  <c r="Q187" i="16"/>
  <c r="Y186" i="16"/>
  <c r="X186" i="16"/>
  <c r="W186" i="16"/>
  <c r="V186" i="16"/>
  <c r="U186" i="16"/>
  <c r="T186" i="16"/>
  <c r="S186" i="16"/>
  <c r="R186" i="16"/>
  <c r="Q186" i="16"/>
  <c r="Y185" i="16"/>
  <c r="X185" i="16"/>
  <c r="W185" i="16"/>
  <c r="V185" i="16"/>
  <c r="U185" i="16"/>
  <c r="T185" i="16"/>
  <c r="S185" i="16"/>
  <c r="R185" i="16"/>
  <c r="Q185" i="16"/>
  <c r="Y184" i="16"/>
  <c r="X184" i="16"/>
  <c r="W184" i="16"/>
  <c r="V184" i="16"/>
  <c r="U184" i="16"/>
  <c r="T184" i="16"/>
  <c r="S184" i="16"/>
  <c r="R184" i="16"/>
  <c r="Q184" i="16"/>
  <c r="Y183" i="16"/>
  <c r="X183" i="16"/>
  <c r="W183" i="16"/>
  <c r="V183" i="16"/>
  <c r="U183" i="16"/>
  <c r="T183" i="16"/>
  <c r="S183" i="16"/>
  <c r="R183" i="16"/>
  <c r="Q183" i="16"/>
  <c r="Y182" i="16"/>
  <c r="X182" i="16"/>
  <c r="W182" i="16"/>
  <c r="V182" i="16"/>
  <c r="U182" i="16"/>
  <c r="T182" i="16"/>
  <c r="S182" i="16"/>
  <c r="R182" i="16"/>
  <c r="Q182" i="16"/>
  <c r="Y181" i="16"/>
  <c r="X181" i="16"/>
  <c r="W181" i="16"/>
  <c r="V181" i="16"/>
  <c r="U181" i="16"/>
  <c r="T181" i="16"/>
  <c r="S181" i="16"/>
  <c r="R181" i="16"/>
  <c r="Q181" i="16"/>
  <c r="Y180" i="16"/>
  <c r="X180" i="16"/>
  <c r="W180" i="16"/>
  <c r="V180" i="16"/>
  <c r="U180" i="16"/>
  <c r="T180" i="16"/>
  <c r="S180" i="16"/>
  <c r="R180" i="16"/>
  <c r="Q180" i="16"/>
  <c r="Y179" i="16"/>
  <c r="X179" i="16"/>
  <c r="W179" i="16"/>
  <c r="V179" i="16"/>
  <c r="U179" i="16"/>
  <c r="T179" i="16"/>
  <c r="S179" i="16"/>
  <c r="R179" i="16"/>
  <c r="Q179" i="16"/>
  <c r="Y178" i="16"/>
  <c r="X178" i="16"/>
  <c r="W178" i="16"/>
  <c r="V178" i="16"/>
  <c r="U178" i="16"/>
  <c r="T178" i="16"/>
  <c r="S178" i="16"/>
  <c r="R178" i="16"/>
  <c r="Q178" i="16"/>
  <c r="Y177" i="16"/>
  <c r="X177" i="16"/>
  <c r="W177" i="16"/>
  <c r="V177" i="16"/>
  <c r="U177" i="16"/>
  <c r="T177" i="16"/>
  <c r="S177" i="16"/>
  <c r="R177" i="16"/>
  <c r="Q177" i="16"/>
  <c r="Y176" i="16"/>
  <c r="X176" i="16"/>
  <c r="W176" i="16"/>
  <c r="V176" i="16"/>
  <c r="U176" i="16"/>
  <c r="T176" i="16"/>
  <c r="S176" i="16"/>
  <c r="R176" i="16"/>
  <c r="Q176" i="16"/>
  <c r="Y175" i="16"/>
  <c r="X175" i="16"/>
  <c r="W175" i="16"/>
  <c r="V175" i="16"/>
  <c r="U175" i="16"/>
  <c r="T175" i="16"/>
  <c r="S175" i="16"/>
  <c r="R175" i="16"/>
  <c r="Q175" i="16"/>
  <c r="Y174" i="16"/>
  <c r="X174" i="16"/>
  <c r="W174" i="16"/>
  <c r="V174" i="16"/>
  <c r="U174" i="16"/>
  <c r="T174" i="16"/>
  <c r="S174" i="16"/>
  <c r="R174" i="16"/>
  <c r="Q174" i="16"/>
  <c r="Y173" i="16"/>
  <c r="X173" i="16"/>
  <c r="W173" i="16"/>
  <c r="V173" i="16"/>
  <c r="U173" i="16"/>
  <c r="T173" i="16"/>
  <c r="S173" i="16"/>
  <c r="R173" i="16"/>
  <c r="Q173" i="16"/>
  <c r="Y172" i="16"/>
  <c r="X172" i="16"/>
  <c r="W172" i="16"/>
  <c r="V172" i="16"/>
  <c r="U172" i="16"/>
  <c r="T172" i="16"/>
  <c r="S172" i="16"/>
  <c r="R172" i="16"/>
  <c r="Q172" i="16"/>
  <c r="Y171" i="16"/>
  <c r="X171" i="16"/>
  <c r="W171" i="16"/>
  <c r="V171" i="16"/>
  <c r="U171" i="16"/>
  <c r="T171" i="16"/>
  <c r="S171" i="16"/>
  <c r="R171" i="16"/>
  <c r="Q171" i="16"/>
  <c r="Y170" i="16"/>
  <c r="X170" i="16"/>
  <c r="W170" i="16"/>
  <c r="V170" i="16"/>
  <c r="U170" i="16"/>
  <c r="T170" i="16"/>
  <c r="S170" i="16"/>
  <c r="R170" i="16"/>
  <c r="Q170" i="16"/>
  <c r="Y169" i="16"/>
  <c r="X169" i="16"/>
  <c r="W169" i="16"/>
  <c r="V169" i="16"/>
  <c r="U169" i="16"/>
  <c r="T169" i="16"/>
  <c r="S169" i="16"/>
  <c r="R169" i="16"/>
  <c r="Q169" i="16"/>
  <c r="Y168" i="16"/>
  <c r="X168" i="16"/>
  <c r="W168" i="16"/>
  <c r="V168" i="16"/>
  <c r="U168" i="16"/>
  <c r="T168" i="16"/>
  <c r="S168" i="16"/>
  <c r="R168" i="16"/>
  <c r="Q168" i="16"/>
  <c r="Y167" i="16"/>
  <c r="X167" i="16"/>
  <c r="W167" i="16"/>
  <c r="V167" i="16"/>
  <c r="U167" i="16"/>
  <c r="T167" i="16"/>
  <c r="S167" i="16"/>
  <c r="R167" i="16"/>
  <c r="Q167" i="16"/>
  <c r="Y166" i="16"/>
  <c r="X166" i="16"/>
  <c r="W166" i="16"/>
  <c r="V166" i="16"/>
  <c r="U166" i="16"/>
  <c r="T166" i="16"/>
  <c r="S166" i="16"/>
  <c r="R166" i="16"/>
  <c r="Q166" i="16"/>
  <c r="Y165" i="16"/>
  <c r="X165" i="16"/>
  <c r="W165" i="16"/>
  <c r="V165" i="16"/>
  <c r="U165" i="16"/>
  <c r="T165" i="16"/>
  <c r="S165" i="16"/>
  <c r="R165" i="16"/>
  <c r="Q165" i="16"/>
  <c r="Y164" i="16"/>
  <c r="X164" i="16"/>
  <c r="W164" i="16"/>
  <c r="V164" i="16"/>
  <c r="U164" i="16"/>
  <c r="T164" i="16"/>
  <c r="S164" i="16"/>
  <c r="R164" i="16"/>
  <c r="Q164" i="16"/>
  <c r="Y163" i="16"/>
  <c r="X163" i="16"/>
  <c r="W163" i="16"/>
  <c r="V163" i="16"/>
  <c r="U163" i="16"/>
  <c r="T163" i="16"/>
  <c r="S163" i="16"/>
  <c r="R163" i="16"/>
  <c r="Q163" i="16"/>
  <c r="Y162" i="16"/>
  <c r="X162" i="16"/>
  <c r="W162" i="16"/>
  <c r="V162" i="16"/>
  <c r="U162" i="16"/>
  <c r="T162" i="16"/>
  <c r="S162" i="16"/>
  <c r="R162" i="16"/>
  <c r="Q162" i="16"/>
  <c r="Y161" i="16"/>
  <c r="X161" i="16"/>
  <c r="W161" i="16"/>
  <c r="V161" i="16"/>
  <c r="U161" i="16"/>
  <c r="T161" i="16"/>
  <c r="S161" i="16"/>
  <c r="R161" i="16"/>
  <c r="Q161" i="16"/>
  <c r="Y160" i="16"/>
  <c r="X160" i="16"/>
  <c r="W160" i="16"/>
  <c r="V160" i="16"/>
  <c r="U160" i="16"/>
  <c r="T160" i="16"/>
  <c r="S160" i="16"/>
  <c r="R160" i="16"/>
  <c r="Q160" i="16"/>
  <c r="Y159" i="16"/>
  <c r="X159" i="16"/>
  <c r="W159" i="16"/>
  <c r="V159" i="16"/>
  <c r="U159" i="16"/>
  <c r="T159" i="16"/>
  <c r="S159" i="16"/>
  <c r="R159" i="16"/>
  <c r="Q159" i="16"/>
  <c r="Y158" i="16"/>
  <c r="X158" i="16"/>
  <c r="W158" i="16"/>
  <c r="V158" i="16"/>
  <c r="U158" i="16"/>
  <c r="T158" i="16"/>
  <c r="S158" i="16"/>
  <c r="R158" i="16"/>
  <c r="Q158" i="16"/>
  <c r="Y157" i="16"/>
  <c r="X157" i="16"/>
  <c r="W157" i="16"/>
  <c r="V157" i="16"/>
  <c r="U157" i="16"/>
  <c r="T157" i="16"/>
  <c r="S157" i="16"/>
  <c r="R157" i="16"/>
  <c r="Q157" i="16"/>
  <c r="Y156" i="16"/>
  <c r="X156" i="16"/>
  <c r="W156" i="16"/>
  <c r="V156" i="16"/>
  <c r="U156" i="16"/>
  <c r="T156" i="16"/>
  <c r="S156" i="16"/>
  <c r="R156" i="16"/>
  <c r="Q156" i="16"/>
  <c r="Y155" i="16"/>
  <c r="X155" i="16"/>
  <c r="W155" i="16"/>
  <c r="V155" i="16"/>
  <c r="U155" i="16"/>
  <c r="T155" i="16"/>
  <c r="S155" i="16"/>
  <c r="R155" i="16"/>
  <c r="Q155" i="16"/>
  <c r="Y154" i="16"/>
  <c r="X154" i="16"/>
  <c r="W154" i="16"/>
  <c r="V154" i="16"/>
  <c r="U154" i="16"/>
  <c r="T154" i="16"/>
  <c r="S154" i="16"/>
  <c r="R154" i="16"/>
  <c r="Q154" i="16"/>
  <c r="Y153" i="16"/>
  <c r="X153" i="16"/>
  <c r="W153" i="16"/>
  <c r="V153" i="16"/>
  <c r="U153" i="16"/>
  <c r="T153" i="16"/>
  <c r="S153" i="16"/>
  <c r="R153" i="16"/>
  <c r="Q153" i="16"/>
  <c r="Y152" i="16"/>
  <c r="X152" i="16"/>
  <c r="W152" i="16"/>
  <c r="V152" i="16"/>
  <c r="U152" i="16"/>
  <c r="T152" i="16"/>
  <c r="S152" i="16"/>
  <c r="R152" i="16"/>
  <c r="Q152" i="16"/>
  <c r="Y151" i="16"/>
  <c r="X151" i="16"/>
  <c r="W151" i="16"/>
  <c r="V151" i="16"/>
  <c r="U151" i="16"/>
  <c r="T151" i="16"/>
  <c r="S151" i="16"/>
  <c r="R151" i="16"/>
  <c r="Q151" i="16"/>
  <c r="Y150" i="16"/>
  <c r="X150" i="16"/>
  <c r="W150" i="16"/>
  <c r="V150" i="16"/>
  <c r="U150" i="16"/>
  <c r="T150" i="16"/>
  <c r="S150" i="16"/>
  <c r="R150" i="16"/>
  <c r="Q150" i="16"/>
  <c r="Y149" i="16"/>
  <c r="X149" i="16"/>
  <c r="W149" i="16"/>
  <c r="V149" i="16"/>
  <c r="U149" i="16"/>
  <c r="T149" i="16"/>
  <c r="S149" i="16"/>
  <c r="R149" i="16"/>
  <c r="Q149" i="16"/>
  <c r="Y148" i="16"/>
  <c r="X148" i="16"/>
  <c r="W148" i="16"/>
  <c r="V148" i="16"/>
  <c r="U148" i="16"/>
  <c r="T148" i="16"/>
  <c r="S148" i="16"/>
  <c r="R148" i="16"/>
  <c r="Q148" i="16"/>
  <c r="Y147" i="16"/>
  <c r="X147" i="16"/>
  <c r="W147" i="16"/>
  <c r="V147" i="16"/>
  <c r="U147" i="16"/>
  <c r="T147" i="16"/>
  <c r="S147" i="16"/>
  <c r="R147" i="16"/>
  <c r="Q147" i="16"/>
  <c r="Y146" i="16"/>
  <c r="X146" i="16"/>
  <c r="W146" i="16"/>
  <c r="V146" i="16"/>
  <c r="U146" i="16"/>
  <c r="T146" i="16"/>
  <c r="S146" i="16"/>
  <c r="R146" i="16"/>
  <c r="Q146" i="16"/>
  <c r="Y145" i="16"/>
  <c r="X145" i="16"/>
  <c r="W145" i="16"/>
  <c r="V145" i="16"/>
  <c r="U145" i="16"/>
  <c r="T145" i="16"/>
  <c r="S145" i="16"/>
  <c r="R145" i="16"/>
  <c r="Q145" i="16"/>
  <c r="Y144" i="16"/>
  <c r="X144" i="16"/>
  <c r="W144" i="16"/>
  <c r="V144" i="16"/>
  <c r="U144" i="16"/>
  <c r="T144" i="16"/>
  <c r="S144" i="16"/>
  <c r="R144" i="16"/>
  <c r="Q144" i="16"/>
  <c r="Y143" i="16"/>
  <c r="X143" i="16"/>
  <c r="W143" i="16"/>
  <c r="V143" i="16"/>
  <c r="U143" i="16"/>
  <c r="T143" i="16"/>
  <c r="S143" i="16"/>
  <c r="R143" i="16"/>
  <c r="Q143" i="16"/>
  <c r="Y142" i="16"/>
  <c r="X142" i="16"/>
  <c r="W142" i="16"/>
  <c r="V142" i="16"/>
  <c r="U142" i="16"/>
  <c r="T142" i="16"/>
  <c r="S142" i="16"/>
  <c r="R142" i="16"/>
  <c r="Q142" i="16"/>
  <c r="Y141" i="16"/>
  <c r="X141" i="16"/>
  <c r="W141" i="16"/>
  <c r="V141" i="16"/>
  <c r="U141" i="16"/>
  <c r="T141" i="16"/>
  <c r="S141" i="16"/>
  <c r="R141" i="16"/>
  <c r="Q141" i="16"/>
  <c r="Y140" i="16"/>
  <c r="X140" i="16"/>
  <c r="W140" i="16"/>
  <c r="V140" i="16"/>
  <c r="U140" i="16"/>
  <c r="T140" i="16"/>
  <c r="S140" i="16"/>
  <c r="R140" i="16"/>
  <c r="Q140" i="16"/>
  <c r="Y139" i="16"/>
  <c r="X139" i="16"/>
  <c r="W139" i="16"/>
  <c r="V139" i="16"/>
  <c r="U139" i="16"/>
  <c r="T139" i="16"/>
  <c r="S139" i="16"/>
  <c r="R139" i="16"/>
  <c r="Q139" i="16"/>
  <c r="Y138" i="16"/>
  <c r="X138" i="16"/>
  <c r="W138" i="16"/>
  <c r="V138" i="16"/>
  <c r="U138" i="16"/>
  <c r="T138" i="16"/>
  <c r="S138" i="16"/>
  <c r="R138" i="16"/>
  <c r="Q138" i="16"/>
  <c r="Y137" i="16"/>
  <c r="X137" i="16"/>
  <c r="W137" i="16"/>
  <c r="V137" i="16"/>
  <c r="U137" i="16"/>
  <c r="T137" i="16"/>
  <c r="S137" i="16"/>
  <c r="R137" i="16"/>
  <c r="Q137" i="16"/>
  <c r="Y136" i="16"/>
  <c r="X136" i="16"/>
  <c r="W136" i="16"/>
  <c r="V136" i="16"/>
  <c r="U136" i="16"/>
  <c r="T136" i="16"/>
  <c r="S136" i="16"/>
  <c r="R136" i="16"/>
  <c r="Q136" i="16"/>
  <c r="Y135" i="16"/>
  <c r="X135" i="16"/>
  <c r="W135" i="16"/>
  <c r="V135" i="16"/>
  <c r="U135" i="16"/>
  <c r="T135" i="16"/>
  <c r="S135" i="16"/>
  <c r="R135" i="16"/>
  <c r="Q135" i="16"/>
  <c r="Y134" i="16"/>
  <c r="X134" i="16"/>
  <c r="W134" i="16"/>
  <c r="V134" i="16"/>
  <c r="U134" i="16"/>
  <c r="T134" i="16"/>
  <c r="S134" i="16"/>
  <c r="R134" i="16"/>
  <c r="Q134" i="16"/>
  <c r="Y133" i="16"/>
  <c r="X133" i="16"/>
  <c r="W133" i="16"/>
  <c r="V133" i="16"/>
  <c r="U133" i="16"/>
  <c r="T133" i="16"/>
  <c r="S133" i="16"/>
  <c r="R133" i="16"/>
  <c r="Q133" i="16"/>
  <c r="Y132" i="16"/>
  <c r="X132" i="16"/>
  <c r="W132" i="16"/>
  <c r="V132" i="16"/>
  <c r="U132" i="16"/>
  <c r="T132" i="16"/>
  <c r="S132" i="16"/>
  <c r="R132" i="16"/>
  <c r="Q132" i="16"/>
  <c r="Y131" i="16"/>
  <c r="X131" i="16"/>
  <c r="W131" i="16"/>
  <c r="V131" i="16"/>
  <c r="U131" i="16"/>
  <c r="T131" i="16"/>
  <c r="S131" i="16"/>
  <c r="R131" i="16"/>
  <c r="Q131" i="16"/>
  <c r="Y130" i="16"/>
  <c r="X130" i="16"/>
  <c r="W130" i="16"/>
  <c r="V130" i="16"/>
  <c r="U130" i="16"/>
  <c r="T130" i="16"/>
  <c r="S130" i="16"/>
  <c r="R130" i="16"/>
  <c r="Q130" i="16"/>
  <c r="Y129" i="16"/>
  <c r="X129" i="16"/>
  <c r="W129" i="16"/>
  <c r="V129" i="16"/>
  <c r="U129" i="16"/>
  <c r="T129" i="16"/>
  <c r="S129" i="16"/>
  <c r="R129" i="16"/>
  <c r="Q129" i="16"/>
  <c r="Y128" i="16"/>
  <c r="X128" i="16"/>
  <c r="W128" i="16"/>
  <c r="V128" i="16"/>
  <c r="U128" i="16"/>
  <c r="T128" i="16"/>
  <c r="S128" i="16"/>
  <c r="R128" i="16"/>
  <c r="Q128" i="16"/>
  <c r="Y127" i="16"/>
  <c r="X127" i="16"/>
  <c r="W127" i="16"/>
  <c r="V127" i="16"/>
  <c r="U127" i="16"/>
  <c r="T127" i="16"/>
  <c r="S127" i="16"/>
  <c r="R127" i="16"/>
  <c r="Q127" i="16"/>
  <c r="Y126" i="16"/>
  <c r="X126" i="16"/>
  <c r="W126" i="16"/>
  <c r="V126" i="16"/>
  <c r="U126" i="16"/>
  <c r="T126" i="16"/>
  <c r="S126" i="16"/>
  <c r="R126" i="16"/>
  <c r="Q126" i="16"/>
  <c r="Y125" i="16"/>
  <c r="X125" i="16"/>
  <c r="W125" i="16"/>
  <c r="V125" i="16"/>
  <c r="U125" i="16"/>
  <c r="T125" i="16"/>
  <c r="S125" i="16"/>
  <c r="R125" i="16"/>
  <c r="Q125" i="16"/>
  <c r="Y124" i="16"/>
  <c r="X124" i="16"/>
  <c r="W124" i="16"/>
  <c r="V124" i="16"/>
  <c r="U124" i="16"/>
  <c r="T124" i="16"/>
  <c r="S124" i="16"/>
  <c r="R124" i="16"/>
  <c r="Q124" i="16"/>
  <c r="Y123" i="16"/>
  <c r="X123" i="16"/>
  <c r="W123" i="16"/>
  <c r="V123" i="16"/>
  <c r="U123" i="16"/>
  <c r="T123" i="16"/>
  <c r="S123" i="16"/>
  <c r="R123" i="16"/>
  <c r="Q123" i="16"/>
  <c r="Y122" i="16"/>
  <c r="X122" i="16"/>
  <c r="W122" i="16"/>
  <c r="V122" i="16"/>
  <c r="U122" i="16"/>
  <c r="T122" i="16"/>
  <c r="S122" i="16"/>
  <c r="R122" i="16"/>
  <c r="Q122" i="16"/>
  <c r="Y121" i="16"/>
  <c r="X121" i="16"/>
  <c r="W121" i="16"/>
  <c r="V121" i="16"/>
  <c r="U121" i="16"/>
  <c r="T121" i="16"/>
  <c r="S121" i="16"/>
  <c r="R121" i="16"/>
  <c r="Q121" i="16"/>
  <c r="Y120" i="16"/>
  <c r="X120" i="16"/>
  <c r="W120" i="16"/>
  <c r="V120" i="16"/>
  <c r="U120" i="16"/>
  <c r="T120" i="16"/>
  <c r="S120" i="16"/>
  <c r="R120" i="16"/>
  <c r="Q120" i="16"/>
  <c r="Y119" i="16"/>
  <c r="X119" i="16"/>
  <c r="W119" i="16"/>
  <c r="V119" i="16"/>
  <c r="U119" i="16"/>
  <c r="T119" i="16"/>
  <c r="S119" i="16"/>
  <c r="R119" i="16"/>
  <c r="Q119" i="16"/>
  <c r="Y118" i="16"/>
  <c r="X118" i="16"/>
  <c r="W118" i="16"/>
  <c r="V118" i="16"/>
  <c r="U118" i="16"/>
  <c r="T118" i="16"/>
  <c r="S118" i="16"/>
  <c r="R118" i="16"/>
  <c r="Q118" i="16"/>
  <c r="Y117" i="16"/>
  <c r="X117" i="16"/>
  <c r="W117" i="16"/>
  <c r="V117" i="16"/>
  <c r="U117" i="16"/>
  <c r="T117" i="16"/>
  <c r="S117" i="16"/>
  <c r="R117" i="16"/>
  <c r="Q117" i="16"/>
  <c r="Y116" i="16"/>
  <c r="X116" i="16"/>
  <c r="W116" i="16"/>
  <c r="V116" i="16"/>
  <c r="U116" i="16"/>
  <c r="T116" i="16"/>
  <c r="S116" i="16"/>
  <c r="R116" i="16"/>
  <c r="Q116" i="16"/>
  <c r="Y115" i="16"/>
  <c r="X115" i="16"/>
  <c r="W115" i="16"/>
  <c r="V115" i="16"/>
  <c r="U115" i="16"/>
  <c r="T115" i="16"/>
  <c r="S115" i="16"/>
  <c r="R115" i="16"/>
  <c r="Q115" i="16"/>
  <c r="Y114" i="16"/>
  <c r="X114" i="16"/>
  <c r="W114" i="16"/>
  <c r="V114" i="16"/>
  <c r="U114" i="16"/>
  <c r="T114" i="16"/>
  <c r="S114" i="16"/>
  <c r="R114" i="16"/>
  <c r="Q114" i="16"/>
  <c r="Y113" i="16"/>
  <c r="X113" i="16"/>
  <c r="W113" i="16"/>
  <c r="V113" i="16"/>
  <c r="U113" i="16"/>
  <c r="T113" i="16"/>
  <c r="S113" i="16"/>
  <c r="R113" i="16"/>
  <c r="Q113" i="16"/>
  <c r="Y112" i="16"/>
  <c r="X112" i="16"/>
  <c r="W112" i="16"/>
  <c r="V112" i="16"/>
  <c r="U112" i="16"/>
  <c r="T112" i="16"/>
  <c r="S112" i="16"/>
  <c r="R112" i="16"/>
  <c r="Q112" i="16"/>
  <c r="Y111" i="16"/>
  <c r="X111" i="16"/>
  <c r="W111" i="16"/>
  <c r="V111" i="16"/>
  <c r="U111" i="16"/>
  <c r="T111" i="16"/>
  <c r="S111" i="16"/>
  <c r="R111" i="16"/>
  <c r="Q111" i="16"/>
  <c r="Y110" i="16"/>
  <c r="X110" i="16"/>
  <c r="W110" i="16"/>
  <c r="V110" i="16"/>
  <c r="U110" i="16"/>
  <c r="T110" i="16"/>
  <c r="S110" i="16"/>
  <c r="R110" i="16"/>
  <c r="Q110" i="16"/>
  <c r="Y109" i="16"/>
  <c r="X109" i="16"/>
  <c r="W109" i="16"/>
  <c r="V109" i="16"/>
  <c r="U109" i="16"/>
  <c r="T109" i="16"/>
  <c r="S109" i="16"/>
  <c r="R109" i="16"/>
  <c r="Q109" i="16"/>
  <c r="Y108" i="16"/>
  <c r="X108" i="16"/>
  <c r="W108" i="16"/>
  <c r="V108" i="16"/>
  <c r="U108" i="16"/>
  <c r="T108" i="16"/>
  <c r="S108" i="16"/>
  <c r="R108" i="16"/>
  <c r="Q108" i="16"/>
  <c r="Y107" i="16"/>
  <c r="X107" i="16"/>
  <c r="W107" i="16"/>
  <c r="V107" i="16"/>
  <c r="U107" i="16"/>
  <c r="T107" i="16"/>
  <c r="S107" i="16"/>
  <c r="R107" i="16"/>
  <c r="Q107" i="16"/>
  <c r="Y106" i="16"/>
  <c r="X106" i="16"/>
  <c r="W106" i="16"/>
  <c r="V106" i="16"/>
  <c r="U106" i="16"/>
  <c r="T106" i="16"/>
  <c r="S106" i="16"/>
  <c r="R106" i="16"/>
  <c r="Q106" i="16"/>
  <c r="Y105" i="16"/>
  <c r="X105" i="16"/>
  <c r="W105" i="16"/>
  <c r="V105" i="16"/>
  <c r="U105" i="16"/>
  <c r="T105" i="16"/>
  <c r="S105" i="16"/>
  <c r="R105" i="16"/>
  <c r="Q105" i="16"/>
  <c r="Y104" i="16"/>
  <c r="X104" i="16"/>
  <c r="W104" i="16"/>
  <c r="V104" i="16"/>
  <c r="U104" i="16"/>
  <c r="T104" i="16"/>
  <c r="S104" i="16"/>
  <c r="R104" i="16"/>
  <c r="Q104" i="16"/>
  <c r="Y103" i="16"/>
  <c r="X103" i="16"/>
  <c r="W103" i="16"/>
  <c r="V103" i="16"/>
  <c r="U103" i="16"/>
  <c r="T103" i="16"/>
  <c r="S103" i="16"/>
  <c r="R103" i="16"/>
  <c r="Q103" i="16"/>
  <c r="Y102" i="16"/>
  <c r="X102" i="16"/>
  <c r="W102" i="16"/>
  <c r="V102" i="16"/>
  <c r="U102" i="16"/>
  <c r="T102" i="16"/>
  <c r="S102" i="16"/>
  <c r="R102" i="16"/>
  <c r="Q102" i="16"/>
  <c r="Y101" i="16"/>
  <c r="X101" i="16"/>
  <c r="W101" i="16"/>
  <c r="V101" i="16"/>
  <c r="U101" i="16"/>
  <c r="T101" i="16"/>
  <c r="S101" i="16"/>
  <c r="R101" i="16"/>
  <c r="Q101" i="16"/>
  <c r="Y100" i="16"/>
  <c r="X100" i="16"/>
  <c r="W100" i="16"/>
  <c r="V100" i="16"/>
  <c r="U100" i="16"/>
  <c r="T100" i="16"/>
  <c r="S100" i="16"/>
  <c r="R100" i="16"/>
  <c r="Q100" i="16"/>
  <c r="Y99" i="16"/>
  <c r="X99" i="16"/>
  <c r="W99" i="16"/>
  <c r="V99" i="16"/>
  <c r="U99" i="16"/>
  <c r="T99" i="16"/>
  <c r="S99" i="16"/>
  <c r="R99" i="16"/>
  <c r="Q99" i="16"/>
  <c r="Y98" i="16"/>
  <c r="X98" i="16"/>
  <c r="W98" i="16"/>
  <c r="V98" i="16"/>
  <c r="U98" i="16"/>
  <c r="T98" i="16"/>
  <c r="S98" i="16"/>
  <c r="R98" i="16"/>
  <c r="Q98" i="16"/>
  <c r="Y97" i="16"/>
  <c r="X97" i="16"/>
  <c r="W97" i="16"/>
  <c r="V97" i="16"/>
  <c r="U97" i="16"/>
  <c r="T97" i="16"/>
  <c r="S97" i="16"/>
  <c r="R97" i="16"/>
  <c r="Q97" i="16"/>
  <c r="Y96" i="16"/>
  <c r="X96" i="16"/>
  <c r="W96" i="16"/>
  <c r="V96" i="16"/>
  <c r="U96" i="16"/>
  <c r="T96" i="16"/>
  <c r="S96" i="16"/>
  <c r="R96" i="16"/>
  <c r="Q96" i="16"/>
  <c r="Y95" i="16"/>
  <c r="X95" i="16"/>
  <c r="W95" i="16"/>
  <c r="V95" i="16"/>
  <c r="U95" i="16"/>
  <c r="T95" i="16"/>
  <c r="S95" i="16"/>
  <c r="R95" i="16"/>
  <c r="Q95" i="16"/>
  <c r="Y94" i="16"/>
  <c r="X94" i="16"/>
  <c r="W94" i="16"/>
  <c r="V94" i="16"/>
  <c r="U94" i="16"/>
  <c r="T94" i="16"/>
  <c r="S94" i="16"/>
  <c r="R94" i="16"/>
  <c r="Q94" i="16"/>
  <c r="Y93" i="16"/>
  <c r="X93" i="16"/>
  <c r="W93" i="16"/>
  <c r="V93" i="16"/>
  <c r="U93" i="16"/>
  <c r="T93" i="16"/>
  <c r="S93" i="16"/>
  <c r="R93" i="16"/>
  <c r="Q93" i="16"/>
  <c r="Y92" i="16"/>
  <c r="X92" i="16"/>
  <c r="W92" i="16"/>
  <c r="V92" i="16"/>
  <c r="U92" i="16"/>
  <c r="T92" i="16"/>
  <c r="S92" i="16"/>
  <c r="R92" i="16"/>
  <c r="Q92" i="16"/>
  <c r="Y91" i="16"/>
  <c r="X91" i="16"/>
  <c r="W91" i="16"/>
  <c r="V91" i="16"/>
  <c r="U91" i="16"/>
  <c r="T91" i="16"/>
  <c r="S91" i="16"/>
  <c r="R91" i="16"/>
  <c r="Q91" i="16"/>
  <c r="Y90" i="16"/>
  <c r="X90" i="16"/>
  <c r="W90" i="16"/>
  <c r="V90" i="16"/>
  <c r="U90" i="16"/>
  <c r="T90" i="16"/>
  <c r="S90" i="16"/>
  <c r="R90" i="16"/>
  <c r="Q90" i="16"/>
  <c r="Y89" i="16"/>
  <c r="X89" i="16"/>
  <c r="W89" i="16"/>
  <c r="V89" i="16"/>
  <c r="U89" i="16"/>
  <c r="T89" i="16"/>
  <c r="S89" i="16"/>
  <c r="R89" i="16"/>
  <c r="Q89" i="16"/>
  <c r="Y88" i="16"/>
  <c r="X88" i="16"/>
  <c r="W88" i="16"/>
  <c r="V88" i="16"/>
  <c r="U88" i="16"/>
  <c r="T88" i="16"/>
  <c r="S88" i="16"/>
  <c r="R88" i="16"/>
  <c r="Q88" i="16"/>
  <c r="Y87" i="16"/>
  <c r="X87" i="16"/>
  <c r="W87" i="16"/>
  <c r="V87" i="16"/>
  <c r="U87" i="16"/>
  <c r="T87" i="16"/>
  <c r="S87" i="16"/>
  <c r="R87" i="16"/>
  <c r="Q87" i="16"/>
  <c r="Y86" i="16"/>
  <c r="X86" i="16"/>
  <c r="W86" i="16"/>
  <c r="V86" i="16"/>
  <c r="U86" i="16"/>
  <c r="T86" i="16"/>
  <c r="S86" i="16"/>
  <c r="R86" i="16"/>
  <c r="Q86" i="16"/>
  <c r="Y85" i="16"/>
  <c r="X85" i="16"/>
  <c r="W85" i="16"/>
  <c r="V85" i="16"/>
  <c r="U85" i="16"/>
  <c r="T85" i="16"/>
  <c r="S85" i="16"/>
  <c r="R85" i="16"/>
  <c r="Q85" i="16"/>
  <c r="Y84" i="16"/>
  <c r="X84" i="16"/>
  <c r="W84" i="16"/>
  <c r="V84" i="16"/>
  <c r="U84" i="16"/>
  <c r="T84" i="16"/>
  <c r="S84" i="16"/>
  <c r="R84" i="16"/>
  <c r="Q84" i="16"/>
  <c r="Y83" i="16"/>
  <c r="X83" i="16"/>
  <c r="W83" i="16"/>
  <c r="V83" i="16"/>
  <c r="U83" i="16"/>
  <c r="T83" i="16"/>
  <c r="S83" i="16"/>
  <c r="R83" i="16"/>
  <c r="Q83" i="16"/>
  <c r="Y82" i="16"/>
  <c r="X82" i="16"/>
  <c r="W82" i="16"/>
  <c r="V82" i="16"/>
  <c r="U82" i="16"/>
  <c r="T82" i="16"/>
  <c r="S82" i="16"/>
  <c r="R82" i="16"/>
  <c r="Q82" i="16"/>
  <c r="Y81" i="16"/>
  <c r="X81" i="16"/>
  <c r="W81" i="16"/>
  <c r="V81" i="16"/>
  <c r="U81" i="16"/>
  <c r="T81" i="16"/>
  <c r="S81" i="16"/>
  <c r="R81" i="16"/>
  <c r="Q81" i="16"/>
  <c r="Y80" i="16"/>
  <c r="X80" i="16"/>
  <c r="W80" i="16"/>
  <c r="V80" i="16"/>
  <c r="U80" i="16"/>
  <c r="T80" i="16"/>
  <c r="S80" i="16"/>
  <c r="R80" i="16"/>
  <c r="Q80" i="16"/>
  <c r="Y79" i="16"/>
  <c r="X79" i="16"/>
  <c r="W79" i="16"/>
  <c r="V79" i="16"/>
  <c r="U79" i="16"/>
  <c r="T79" i="16"/>
  <c r="S79" i="16"/>
  <c r="R79" i="16"/>
  <c r="Q79" i="16"/>
  <c r="Y78" i="16"/>
  <c r="X78" i="16"/>
  <c r="W78" i="16"/>
  <c r="V78" i="16"/>
  <c r="U78" i="16"/>
  <c r="T78" i="16"/>
  <c r="S78" i="16"/>
  <c r="R78" i="16"/>
  <c r="Q78" i="16"/>
  <c r="Y77" i="16"/>
  <c r="X77" i="16"/>
  <c r="W77" i="16"/>
  <c r="V77" i="16"/>
  <c r="U77" i="16"/>
  <c r="T77" i="16"/>
  <c r="S77" i="16"/>
  <c r="R77" i="16"/>
  <c r="Q77" i="16"/>
  <c r="Y76" i="16"/>
  <c r="X76" i="16"/>
  <c r="W76" i="16"/>
  <c r="V76" i="16"/>
  <c r="U76" i="16"/>
  <c r="T76" i="16"/>
  <c r="S76" i="16"/>
  <c r="R76" i="16"/>
  <c r="Q76" i="16"/>
  <c r="Y75" i="16"/>
  <c r="X75" i="16"/>
  <c r="W75" i="16"/>
  <c r="V75" i="16"/>
  <c r="U75" i="16"/>
  <c r="T75" i="16"/>
  <c r="S75" i="16"/>
  <c r="R75" i="16"/>
  <c r="Q75" i="16"/>
  <c r="Y74" i="16"/>
  <c r="X74" i="16"/>
  <c r="W74" i="16"/>
  <c r="V74" i="16"/>
  <c r="U74" i="16"/>
  <c r="T74" i="16"/>
  <c r="S74" i="16"/>
  <c r="R74" i="16"/>
  <c r="Q74" i="16"/>
  <c r="Y73" i="16"/>
  <c r="X73" i="16"/>
  <c r="W73" i="16"/>
  <c r="V73" i="16"/>
  <c r="U73" i="16"/>
  <c r="T73" i="16"/>
  <c r="S73" i="16"/>
  <c r="R73" i="16"/>
  <c r="Q73" i="16"/>
  <c r="Y72" i="16"/>
  <c r="X72" i="16"/>
  <c r="W72" i="16"/>
  <c r="V72" i="16"/>
  <c r="U72" i="16"/>
  <c r="T72" i="16"/>
  <c r="S72" i="16"/>
  <c r="R72" i="16"/>
  <c r="Q72" i="16"/>
  <c r="Y71" i="16"/>
  <c r="X71" i="16"/>
  <c r="W71" i="16"/>
  <c r="V71" i="16"/>
  <c r="U71" i="16"/>
  <c r="T71" i="16"/>
  <c r="S71" i="16"/>
  <c r="R71" i="16"/>
  <c r="Q71" i="16"/>
  <c r="Y70" i="16"/>
  <c r="X70" i="16"/>
  <c r="W70" i="16"/>
  <c r="V70" i="16"/>
  <c r="U70" i="16"/>
  <c r="T70" i="16"/>
  <c r="S70" i="16"/>
  <c r="R70" i="16"/>
  <c r="Q70" i="16"/>
  <c r="Y69" i="16"/>
  <c r="X69" i="16"/>
  <c r="W69" i="16"/>
  <c r="V69" i="16"/>
  <c r="U69" i="16"/>
  <c r="T69" i="16"/>
  <c r="S69" i="16"/>
  <c r="R69" i="16"/>
  <c r="Q69" i="16"/>
  <c r="Y68" i="16"/>
  <c r="X68" i="16"/>
  <c r="W68" i="16"/>
  <c r="V68" i="16"/>
  <c r="U68" i="16"/>
  <c r="T68" i="16"/>
  <c r="S68" i="16"/>
  <c r="R68" i="16"/>
  <c r="Q68" i="16"/>
  <c r="Y67" i="16"/>
  <c r="X67" i="16"/>
  <c r="W67" i="16"/>
  <c r="V67" i="16"/>
  <c r="U67" i="16"/>
  <c r="T67" i="16"/>
  <c r="S67" i="16"/>
  <c r="R67" i="16"/>
  <c r="Q67" i="16"/>
  <c r="Y66" i="16"/>
  <c r="X66" i="16"/>
  <c r="W66" i="16"/>
  <c r="V66" i="16"/>
  <c r="U66" i="16"/>
  <c r="T66" i="16"/>
  <c r="S66" i="16"/>
  <c r="R66" i="16"/>
  <c r="Q66" i="16"/>
  <c r="Y65" i="16"/>
  <c r="X65" i="16"/>
  <c r="W65" i="16"/>
  <c r="V65" i="16"/>
  <c r="U65" i="16"/>
  <c r="T65" i="16"/>
  <c r="S65" i="16"/>
  <c r="R65" i="16"/>
  <c r="Q65" i="16"/>
  <c r="Y64" i="16"/>
  <c r="X64" i="16"/>
  <c r="W64" i="16"/>
  <c r="V64" i="16"/>
  <c r="U64" i="16"/>
  <c r="T64" i="16"/>
  <c r="S64" i="16"/>
  <c r="R64" i="16"/>
  <c r="Q64" i="16"/>
  <c r="Y63" i="16"/>
  <c r="X63" i="16"/>
  <c r="W63" i="16"/>
  <c r="V63" i="16"/>
  <c r="U63" i="16"/>
  <c r="T63" i="16"/>
  <c r="S63" i="16"/>
  <c r="R63" i="16"/>
  <c r="Q63" i="16"/>
  <c r="Y62" i="16"/>
  <c r="X62" i="16"/>
  <c r="W62" i="16"/>
  <c r="V62" i="16"/>
  <c r="U62" i="16"/>
  <c r="T62" i="16"/>
  <c r="S62" i="16"/>
  <c r="R62" i="16"/>
  <c r="Q62" i="16"/>
  <c r="Y61" i="16"/>
  <c r="X61" i="16"/>
  <c r="W61" i="16"/>
  <c r="V61" i="16"/>
  <c r="U61" i="16"/>
  <c r="T61" i="16"/>
  <c r="S61" i="16"/>
  <c r="R61" i="16"/>
  <c r="Q61" i="16"/>
  <c r="Y60" i="16"/>
  <c r="X60" i="16"/>
  <c r="W60" i="16"/>
  <c r="V60" i="16"/>
  <c r="U60" i="16"/>
  <c r="T60" i="16"/>
  <c r="S60" i="16"/>
  <c r="R60" i="16"/>
  <c r="Q60" i="16"/>
  <c r="Y59" i="16"/>
  <c r="X59" i="16"/>
  <c r="W59" i="16"/>
  <c r="V59" i="16"/>
  <c r="U59" i="16"/>
  <c r="T59" i="16"/>
  <c r="S59" i="16"/>
  <c r="R59" i="16"/>
  <c r="Q59" i="16"/>
  <c r="Y58" i="16"/>
  <c r="X58" i="16"/>
  <c r="W58" i="16"/>
  <c r="V58" i="16"/>
  <c r="U58" i="16"/>
  <c r="T58" i="16"/>
  <c r="S58" i="16"/>
  <c r="R58" i="16"/>
  <c r="Q58" i="16"/>
  <c r="Y57" i="16"/>
  <c r="X57" i="16"/>
  <c r="W57" i="16"/>
  <c r="V57" i="16"/>
  <c r="U57" i="16"/>
  <c r="T57" i="16"/>
  <c r="S57" i="16"/>
  <c r="R57" i="16"/>
  <c r="Q57" i="16"/>
  <c r="Y56" i="16"/>
  <c r="X56" i="16"/>
  <c r="W56" i="16"/>
  <c r="V56" i="16"/>
  <c r="U56" i="16"/>
  <c r="T56" i="16"/>
  <c r="S56" i="16"/>
  <c r="R56" i="16"/>
  <c r="Q56" i="16"/>
  <c r="Y55" i="16"/>
  <c r="X55" i="16"/>
  <c r="W55" i="16"/>
  <c r="V55" i="16"/>
  <c r="U55" i="16"/>
  <c r="T55" i="16"/>
  <c r="S55" i="16"/>
  <c r="R55" i="16"/>
  <c r="Q55" i="16"/>
  <c r="Y54" i="16"/>
  <c r="X54" i="16"/>
  <c r="W54" i="16"/>
  <c r="V54" i="16"/>
  <c r="U54" i="16"/>
  <c r="T54" i="16"/>
  <c r="S54" i="16"/>
  <c r="R54" i="16"/>
  <c r="Q54" i="16"/>
  <c r="Y53" i="16"/>
  <c r="X53" i="16"/>
  <c r="W53" i="16"/>
  <c r="V53" i="16"/>
  <c r="U53" i="16"/>
  <c r="T53" i="16"/>
  <c r="S53" i="16"/>
  <c r="R53" i="16"/>
  <c r="Q53" i="16"/>
  <c r="Y52" i="16"/>
  <c r="X52" i="16"/>
  <c r="W52" i="16"/>
  <c r="V52" i="16"/>
  <c r="U52" i="16"/>
  <c r="T52" i="16"/>
  <c r="S52" i="16"/>
  <c r="R52" i="16"/>
  <c r="Q52" i="16"/>
  <c r="Y51" i="16"/>
  <c r="X51" i="16"/>
  <c r="W51" i="16"/>
  <c r="V51" i="16"/>
  <c r="U51" i="16"/>
  <c r="T51" i="16"/>
  <c r="S51" i="16"/>
  <c r="R51" i="16"/>
  <c r="Q51" i="16"/>
  <c r="Y50" i="16"/>
  <c r="X50" i="16"/>
  <c r="W50" i="16"/>
  <c r="V50" i="16"/>
  <c r="U50" i="16"/>
  <c r="T50" i="16"/>
  <c r="S50" i="16"/>
  <c r="R50" i="16"/>
  <c r="Q50" i="16"/>
  <c r="Y49" i="16"/>
  <c r="X49" i="16"/>
  <c r="W49" i="16"/>
  <c r="V49" i="16"/>
  <c r="U49" i="16"/>
  <c r="T49" i="16"/>
  <c r="S49" i="16"/>
  <c r="R49" i="16"/>
  <c r="Q49" i="16"/>
  <c r="Y48" i="16"/>
  <c r="X48" i="16"/>
  <c r="W48" i="16"/>
  <c r="V48" i="16"/>
  <c r="U48" i="16"/>
  <c r="T48" i="16"/>
  <c r="S48" i="16"/>
  <c r="R48" i="16"/>
  <c r="Q48" i="16"/>
  <c r="Y47" i="16"/>
  <c r="X47" i="16"/>
  <c r="W47" i="16"/>
  <c r="V47" i="16"/>
  <c r="U47" i="16"/>
  <c r="T47" i="16"/>
  <c r="S47" i="16"/>
  <c r="R47" i="16"/>
  <c r="Q47" i="16"/>
  <c r="Y46" i="16"/>
  <c r="X46" i="16"/>
  <c r="W46" i="16"/>
  <c r="V46" i="16"/>
  <c r="U46" i="16"/>
  <c r="T46" i="16"/>
  <c r="S46" i="16"/>
  <c r="R46" i="16"/>
  <c r="Q46" i="16"/>
  <c r="Y45" i="16"/>
  <c r="X45" i="16"/>
  <c r="W45" i="16"/>
  <c r="V45" i="16"/>
  <c r="U45" i="16"/>
  <c r="T45" i="16"/>
  <c r="S45" i="16"/>
  <c r="R45" i="16"/>
  <c r="Q45" i="16"/>
  <c r="Y44" i="16"/>
  <c r="X44" i="16"/>
  <c r="W44" i="16"/>
  <c r="V44" i="16"/>
  <c r="U44" i="16"/>
  <c r="T44" i="16"/>
  <c r="S44" i="16"/>
  <c r="R44" i="16"/>
  <c r="Q44" i="16"/>
  <c r="Y43" i="16"/>
  <c r="X43" i="16"/>
  <c r="W43" i="16"/>
  <c r="V43" i="16"/>
  <c r="U43" i="16"/>
  <c r="T43" i="16"/>
  <c r="S43" i="16"/>
  <c r="R43" i="16"/>
  <c r="Q43" i="16"/>
  <c r="Y42" i="16"/>
  <c r="X42" i="16"/>
  <c r="W42" i="16"/>
  <c r="V42" i="16"/>
  <c r="U42" i="16"/>
  <c r="T42" i="16"/>
  <c r="S42" i="16"/>
  <c r="R42" i="16"/>
  <c r="Q42" i="16"/>
  <c r="Y41" i="16"/>
  <c r="X41" i="16"/>
  <c r="W41" i="16"/>
  <c r="V41" i="16"/>
  <c r="U41" i="16"/>
  <c r="T41" i="16"/>
  <c r="S41" i="16"/>
  <c r="R41" i="16"/>
  <c r="Q41" i="16"/>
  <c r="Y40" i="16"/>
  <c r="X40" i="16"/>
  <c r="W40" i="16"/>
  <c r="V40" i="16"/>
  <c r="U40" i="16"/>
  <c r="T40" i="16"/>
  <c r="S40" i="16"/>
  <c r="R40" i="16"/>
  <c r="Q40" i="16"/>
  <c r="Y39" i="16"/>
  <c r="X39" i="16"/>
  <c r="W39" i="16"/>
  <c r="V39" i="16"/>
  <c r="U39" i="16"/>
  <c r="T39" i="16"/>
  <c r="S39" i="16"/>
  <c r="R39" i="16"/>
  <c r="Q39" i="16"/>
  <c r="Y38" i="16"/>
  <c r="X38" i="16"/>
  <c r="W38" i="16"/>
  <c r="V38" i="16"/>
  <c r="U38" i="16"/>
  <c r="T38" i="16"/>
  <c r="S38" i="16"/>
  <c r="R38" i="16"/>
  <c r="Q38" i="16"/>
  <c r="Y37" i="16"/>
  <c r="X37" i="16"/>
  <c r="W37" i="16"/>
  <c r="V37" i="16"/>
  <c r="U37" i="16"/>
  <c r="T37" i="16"/>
  <c r="S37" i="16"/>
  <c r="R37" i="16"/>
  <c r="Q37" i="16"/>
  <c r="Y36" i="16"/>
  <c r="X36" i="16"/>
  <c r="W36" i="16"/>
  <c r="V36" i="16"/>
  <c r="U36" i="16"/>
  <c r="T36" i="16"/>
  <c r="S36" i="16"/>
  <c r="R36" i="16"/>
  <c r="Q36" i="16"/>
  <c r="Y35" i="16"/>
  <c r="X35" i="16"/>
  <c r="W35" i="16"/>
  <c r="V35" i="16"/>
  <c r="U35" i="16"/>
  <c r="T35" i="16"/>
  <c r="S35" i="16"/>
  <c r="R35" i="16"/>
  <c r="Q35" i="16"/>
  <c r="Y34" i="16"/>
  <c r="X34" i="16"/>
  <c r="W34" i="16"/>
  <c r="V34" i="16"/>
  <c r="U34" i="16"/>
  <c r="T34" i="16"/>
  <c r="S34" i="16"/>
  <c r="R34" i="16"/>
  <c r="Q34" i="16"/>
  <c r="Y33" i="16"/>
  <c r="X33" i="16"/>
  <c r="W33" i="16"/>
  <c r="V33" i="16"/>
  <c r="U33" i="16"/>
  <c r="T33" i="16"/>
  <c r="S33" i="16"/>
  <c r="R33" i="16"/>
  <c r="Q33" i="16"/>
  <c r="Y32" i="16"/>
  <c r="X32" i="16"/>
  <c r="W32" i="16"/>
  <c r="V32" i="16"/>
  <c r="U32" i="16"/>
  <c r="T32" i="16"/>
  <c r="S32" i="16"/>
  <c r="R32" i="16"/>
  <c r="Q32" i="16"/>
  <c r="Y31" i="16"/>
  <c r="X31" i="16"/>
  <c r="W31" i="16"/>
  <c r="V31" i="16"/>
  <c r="U31" i="16"/>
  <c r="T31" i="16"/>
  <c r="S31" i="16"/>
  <c r="R31" i="16"/>
  <c r="Q31" i="16"/>
  <c r="Y30" i="16"/>
  <c r="X30" i="16"/>
  <c r="W30" i="16"/>
  <c r="V30" i="16"/>
  <c r="U30" i="16"/>
  <c r="T30" i="16"/>
  <c r="S30" i="16"/>
  <c r="R30" i="16"/>
  <c r="Q30" i="16"/>
  <c r="Y29" i="16"/>
  <c r="X29" i="16"/>
  <c r="W29" i="16"/>
  <c r="V29" i="16"/>
  <c r="U29" i="16"/>
  <c r="T29" i="16"/>
  <c r="S29" i="16"/>
  <c r="R29" i="16"/>
  <c r="Q29" i="16"/>
  <c r="Y28" i="16"/>
  <c r="X28" i="16"/>
  <c r="W28" i="16"/>
  <c r="V28" i="16"/>
  <c r="U28" i="16"/>
  <c r="T28" i="16"/>
  <c r="S28" i="16"/>
  <c r="R28" i="16"/>
  <c r="Q28" i="16"/>
  <c r="Y27" i="16"/>
  <c r="X27" i="16"/>
  <c r="W27" i="16"/>
  <c r="V27" i="16"/>
  <c r="U27" i="16"/>
  <c r="T27" i="16"/>
  <c r="S27" i="16"/>
  <c r="R27" i="16"/>
  <c r="Q27" i="16"/>
  <c r="Y26" i="16"/>
  <c r="X26" i="16"/>
  <c r="W26" i="16"/>
  <c r="V26" i="16"/>
  <c r="U26" i="16"/>
  <c r="T26" i="16"/>
  <c r="S26" i="16"/>
  <c r="R26" i="16"/>
  <c r="Q26" i="16"/>
  <c r="Y25" i="16"/>
  <c r="X25" i="16"/>
  <c r="W25" i="16"/>
  <c r="V25" i="16"/>
  <c r="U25" i="16"/>
  <c r="T25" i="16"/>
  <c r="S25" i="16"/>
  <c r="R25" i="16"/>
  <c r="Q25" i="16"/>
  <c r="Y24" i="16"/>
  <c r="X24" i="16"/>
  <c r="W24" i="16"/>
  <c r="V24" i="16"/>
  <c r="U24" i="16"/>
  <c r="T24" i="16"/>
  <c r="S24" i="16"/>
  <c r="R24" i="16"/>
  <c r="Q24" i="16"/>
  <c r="Y23" i="16"/>
  <c r="X23" i="16"/>
  <c r="W23" i="16"/>
  <c r="V23" i="16"/>
  <c r="U23" i="16"/>
  <c r="T23" i="16"/>
  <c r="S23" i="16"/>
  <c r="R23" i="16"/>
  <c r="Q23" i="16"/>
  <c r="Y22" i="16"/>
  <c r="X22" i="16"/>
  <c r="W22" i="16"/>
  <c r="V22" i="16"/>
  <c r="U22" i="16"/>
  <c r="T22" i="16"/>
  <c r="S22" i="16"/>
  <c r="R22" i="16"/>
  <c r="Q22" i="16"/>
  <c r="Y21" i="16"/>
  <c r="X21" i="16"/>
  <c r="W21" i="16"/>
  <c r="V21" i="16"/>
  <c r="U21" i="16"/>
  <c r="T21" i="16"/>
  <c r="S21" i="16"/>
  <c r="R21" i="16"/>
  <c r="Q21" i="16"/>
  <c r="Y20" i="16"/>
  <c r="X20" i="16"/>
  <c r="W20" i="16"/>
  <c r="V20" i="16"/>
  <c r="U20" i="16"/>
  <c r="T20" i="16"/>
  <c r="S20" i="16"/>
  <c r="R20" i="16"/>
  <c r="Q20" i="16"/>
  <c r="Y19" i="16"/>
  <c r="X19" i="16"/>
  <c r="W19" i="16"/>
  <c r="V19" i="16"/>
  <c r="U19" i="16"/>
  <c r="T19" i="16"/>
  <c r="S19" i="16"/>
  <c r="R19" i="16"/>
  <c r="Q19" i="16"/>
  <c r="Y18" i="16"/>
  <c r="X18" i="16"/>
  <c r="W18" i="16"/>
  <c r="V18" i="16"/>
  <c r="U18" i="16"/>
  <c r="T18" i="16"/>
  <c r="S18" i="16"/>
  <c r="R18" i="16"/>
  <c r="Q18" i="16"/>
  <c r="Y17" i="16"/>
  <c r="X17" i="16"/>
  <c r="W17" i="16"/>
  <c r="V17" i="16"/>
  <c r="U17" i="16"/>
  <c r="T17" i="16"/>
  <c r="S17" i="16"/>
  <c r="R17" i="16"/>
  <c r="Q17" i="16"/>
  <c r="Y16" i="16"/>
  <c r="X16" i="16"/>
  <c r="W16" i="16"/>
  <c r="V16" i="16"/>
  <c r="U16" i="16"/>
  <c r="T16" i="16"/>
  <c r="S16" i="16"/>
  <c r="R16" i="16"/>
  <c r="Q16" i="16"/>
  <c r="Y15" i="16"/>
  <c r="X15" i="16"/>
  <c r="W15" i="16"/>
  <c r="V15" i="16"/>
  <c r="U15" i="16"/>
  <c r="T15" i="16"/>
  <c r="S15" i="16"/>
  <c r="R15" i="16"/>
  <c r="Q15" i="16"/>
  <c r="Y14" i="16"/>
  <c r="X14" i="16"/>
  <c r="W14" i="16"/>
  <c r="V14" i="16"/>
  <c r="U14" i="16"/>
  <c r="T14" i="16"/>
  <c r="S14" i="16"/>
  <c r="R14" i="16"/>
  <c r="Q14" i="16"/>
  <c r="Y13" i="16"/>
  <c r="X13" i="16"/>
  <c r="W13" i="16"/>
  <c r="V13" i="16"/>
  <c r="U13" i="16"/>
  <c r="T13" i="16"/>
  <c r="S13" i="16"/>
  <c r="R13" i="16"/>
  <c r="Q13" i="16"/>
  <c r="Y12" i="16"/>
  <c r="X12" i="16"/>
  <c r="W12" i="16"/>
  <c r="V12" i="16"/>
  <c r="U12" i="16"/>
  <c r="T12" i="16"/>
  <c r="S12" i="16"/>
  <c r="R12" i="16"/>
  <c r="Q12" i="16"/>
  <c r="Y11" i="16"/>
  <c r="X11" i="16"/>
  <c r="W11" i="16"/>
  <c r="V11" i="16"/>
  <c r="U11" i="16"/>
  <c r="T11" i="16"/>
  <c r="S11" i="16"/>
  <c r="R11" i="16"/>
  <c r="Q11" i="16"/>
  <c r="Y10" i="16"/>
  <c r="X10" i="16"/>
  <c r="W10" i="16"/>
  <c r="V10" i="16"/>
  <c r="U10" i="16"/>
  <c r="T10" i="16"/>
  <c r="S10" i="16"/>
  <c r="R10" i="16"/>
  <c r="Q10" i="16"/>
  <c r="Y9" i="16"/>
  <c r="X9" i="16"/>
  <c r="W9" i="16"/>
  <c r="V9" i="16"/>
  <c r="U9" i="16"/>
  <c r="T9" i="16"/>
  <c r="S9" i="16"/>
  <c r="R9" i="16"/>
  <c r="Q9" i="16"/>
  <c r="Y8" i="16"/>
  <c r="X8" i="16"/>
  <c r="W8" i="16"/>
  <c r="V8" i="16"/>
  <c r="U8" i="16"/>
  <c r="T8" i="16"/>
  <c r="S8" i="16"/>
  <c r="R8" i="16"/>
  <c r="Q8" i="16"/>
  <c r="Y7" i="16"/>
  <c r="X7" i="16"/>
  <c r="W7" i="16"/>
  <c r="V7" i="16"/>
  <c r="U7" i="16"/>
  <c r="T7" i="16"/>
  <c r="S7" i="16"/>
  <c r="R7" i="16"/>
  <c r="Q7" i="16"/>
  <c r="Y6" i="16"/>
  <c r="X6" i="16"/>
  <c r="W6" i="16"/>
  <c r="V6" i="16"/>
  <c r="U6" i="16"/>
  <c r="T6" i="16"/>
  <c r="S6" i="16"/>
  <c r="R6" i="16"/>
  <c r="Q6" i="16"/>
  <c r="Y5" i="16"/>
  <c r="X5" i="16"/>
  <c r="W5" i="16"/>
  <c r="V5" i="16"/>
  <c r="U5" i="16"/>
  <c r="T5" i="16"/>
  <c r="S5" i="16"/>
  <c r="R5" i="16"/>
  <c r="Q5" i="16"/>
  <c r="Y4" i="16"/>
  <c r="X4" i="16"/>
  <c r="W4" i="16"/>
  <c r="V4" i="16"/>
  <c r="U4" i="16"/>
  <c r="T4" i="16"/>
  <c r="S4" i="16"/>
  <c r="R4" i="16"/>
  <c r="Q4" i="16"/>
  <c r="Y3" i="16"/>
  <c r="X3" i="16"/>
  <c r="W3" i="16"/>
  <c r="V3" i="16"/>
  <c r="U3" i="16"/>
  <c r="T3" i="16"/>
  <c r="S3" i="16"/>
  <c r="R3" i="16"/>
  <c r="Q3" i="16"/>
  <c r="Y2" i="16"/>
  <c r="X2" i="16"/>
  <c r="W2" i="16"/>
  <c r="V2" i="16"/>
  <c r="U2" i="16"/>
  <c r="T2" i="16"/>
  <c r="S2" i="16"/>
  <c r="R2" i="16"/>
  <c r="Q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275B4A-FA41-4FF8-8CB7-BA1BD70C8551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323EA295-75C8-4194-A10C-971D6AABDA0F}" keepAlive="1" name="Query - Append1 (2)" description="Connection to the 'Append1 (2)' query in the workbook." type="5" refreshedVersion="8" background="1" saveData="1">
    <dbPr connection="Provider=Microsoft.Mashup.OleDb.1;Data Source=$Workbook$;Location=&quot;Append1 (2)&quot;;Extended Properties=&quot;&quot;" command="SELECT * FROM [Append1 (2)]"/>
  </connection>
  <connection id="3" xr16:uid="{0F93115C-1D2C-4D33-B0C8-718A7796BFB9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4" xr16:uid="{415A7625-B6B1-4171-9ADD-647FA6C72B18}" keepAlive="1" name="Query - dataset_1 (2)" description="Connection to the 'dataset_1 (2)' query in the workbook." type="5" refreshedVersion="0" background="1">
    <dbPr connection="Provider=Microsoft.Mashup.OleDb.1;Data Source=$Workbook$;Location=&quot;dataset_1 (2)&quot;;Extended Properties=&quot;&quot;" command="SELECT * FROM [dataset_1 (2)]"/>
  </connection>
  <connection id="5" xr16:uid="{66A57016-C763-4C65-BC7D-2EF51EE9DC2B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6" xr16:uid="{C861A28D-BDA9-40CC-9C76-F5B4B624CE3F}" keepAlive="1" name="Query - dataset_2 (2)" description="Connection to the 'dataset_2 (2)' query in the workbook." type="5" refreshedVersion="0" background="1">
    <dbPr connection="Provider=Microsoft.Mashup.OleDb.1;Data Source=$Workbook$;Location=&quot;dataset_2 (2)&quot;;Extended Properties=&quot;&quot;" command="SELECT * FROM [dataset_2 (2)]"/>
  </connection>
  <connection id="7" xr16:uid="{D17CCE47-D1C9-4FA6-A0EB-402C6BB90C20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  <connection id="8" xr16:uid="{ABBB0D8D-168F-458F-AD09-F4D0CAC39586}" keepAlive="1" name="Query - dataset_3 (2)" description="Connection to the 'dataset_3 (2)' query in the workbook." type="5" refreshedVersion="0" background="1">
    <dbPr connection="Provider=Microsoft.Mashup.OleDb.1;Data Source=$Workbook$;Location=&quot;dataset_3 (2)&quot;;Extended Properties=&quot;&quot;" command="SELECT * FROM [dataset_3 (2)]"/>
  </connection>
  <connection id="9" xr16:uid="{41559E01-87F9-425A-8A63-1D0B4528D312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10" xr16:uid="{E222422F-96B9-4A7E-9B8F-5A264EFEDCEF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11" xr16:uid="{6737F702-3218-4846-A5F2-6D0019A1101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A220357A-CA06-417B-83B2-FA00A5B97092}" name="WorksheetConnection_ANSHITA dataset.xlsx!dataset_2" type="102" refreshedVersion="8" minRefreshableVersion="5">
    <extLst>
      <ext xmlns:x15="http://schemas.microsoft.com/office/spreadsheetml/2010/11/main" uri="{DE250136-89BD-433C-8126-D09CA5730AF9}">
        <x15:connection id="dataset_2">
          <x15:rangePr sourceName="_xlcn.WorksheetConnection_ANSHITAdataset.xlsxdataset_21"/>
        </x15:connection>
      </ext>
    </extLst>
  </connection>
  <connection id="13" xr16:uid="{BC8835CD-7AAE-4651-88A2-05F0C602349D}" name="WorksheetConnection_ANSHITA dataset.xlsx!Merge1" type="102" refreshedVersion="8" minRefreshableVersion="5">
    <extLst>
      <ext xmlns:x15="http://schemas.microsoft.com/office/spreadsheetml/2010/11/main" uri="{DE250136-89BD-433C-8126-D09CA5730AF9}">
        <x15:connection id="Merge1" autoDelete="1">
          <x15:rangePr sourceName="_xlcn.WorksheetConnection_ANSHITAdataset.xlsxMerge11"/>
        </x15:connection>
      </ext>
    </extLst>
  </connection>
</connections>
</file>

<file path=xl/sharedStrings.xml><?xml version="1.0" encoding="utf-8"?>
<sst xmlns="http://schemas.openxmlformats.org/spreadsheetml/2006/main" count="107" uniqueCount="48">
  <si>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</si>
  <si>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</si>
  <si>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</si>
  <si>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</si>
  <si>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</si>
  <si>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</si>
  <si>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</si>
  <si>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</si>
  <si>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</si>
  <si>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</si>
  <si>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</si>
  <si>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</si>
  <si>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</si>
  <si>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</si>
  <si>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</si>
  <si>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</si>
  <si>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</si>
  <si>
    <t>dataset_2.atemp</t>
  </si>
  <si>
    <t>dataset_2.hum</t>
  </si>
  <si>
    <t>dataset_2.windspeed</t>
  </si>
  <si>
    <t>dataset_2.casual</t>
  </si>
  <si>
    <t>dataset_2.registered</t>
  </si>
  <si>
    <t>dataset_2.cnt</t>
  </si>
  <si>
    <t>Row Labels</t>
  </si>
  <si>
    <t>Grand Total</t>
  </si>
  <si>
    <t>Sum of dataset_2.cnt</t>
  </si>
  <si>
    <t>Average of dataset_2.cnt</t>
  </si>
  <si>
    <t>Weekday</t>
  </si>
  <si>
    <t>Weekend</t>
  </si>
  <si>
    <t>Sum of cnt</t>
  </si>
  <si>
    <t>weekday_Type</t>
  </si>
  <si>
    <t>weathersit_Type</t>
  </si>
  <si>
    <t>hr_Type</t>
  </si>
  <si>
    <t>month_Type</t>
  </si>
  <si>
    <t>season_Type</t>
  </si>
  <si>
    <t>Tem CORRE function</t>
  </si>
  <si>
    <t>Humidity Function</t>
  </si>
  <si>
    <t>Windspeed corr Function</t>
  </si>
  <si>
    <t>HOUR CORR.</t>
  </si>
  <si>
    <t>(blank)</t>
  </si>
  <si>
    <t>Clear</t>
  </si>
  <si>
    <t>Heavy Rain/Snow</t>
  </si>
  <si>
    <t>Light Rain/Snow</t>
  </si>
  <si>
    <t>Mist/Cloudy</t>
  </si>
  <si>
    <t>January</t>
  </si>
  <si>
    <t>February</t>
  </si>
  <si>
    <t xml:space="preserve">Total Rentals </t>
  </si>
  <si>
    <t>Average 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</si>
</sst>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4" xfId="0" applyNumberForma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4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4"/>
              <c:pt idx="0">
                <c:v>0.02</c:v>
              </c:pt>
              <c:pt idx="1">
                <c:v>0.04</c:v>
              </c:pt>
              <c:pt idx="2">
                <c:v>0.06</c:v>
              </c:pt>
              <c:pt idx="3">
                <c:v>0.08</c:v>
              </c:pt>
              <c:pt idx="4">
                <c:v>0.1</c:v>
              </c:pt>
              <c:pt idx="5">
                <c:v>0.12</c:v>
              </c:pt>
              <c:pt idx="6">
                <c:v>0.14</c:v>
              </c:pt>
              <c:pt idx="7">
                <c:v>0.16</c:v>
              </c:pt>
              <c:pt idx="8">
                <c:v>0.18</c:v>
              </c:pt>
              <c:pt idx="9">
                <c:v>0.2</c:v>
              </c:pt>
              <c:pt idx="10">
                <c:v>0.22</c:v>
              </c:pt>
              <c:pt idx="11">
                <c:v>0.24</c:v>
              </c:pt>
              <c:pt idx="12">
                <c:v>0.26</c:v>
              </c:pt>
              <c:pt idx="13">
                <c:v>0.28</c:v>
              </c:pt>
              <c:pt idx="14">
                <c:v>0.3</c:v>
              </c:pt>
              <c:pt idx="15">
                <c:v>0.32</c:v>
              </c:pt>
              <c:pt idx="16">
                <c:v>0.34</c:v>
              </c:pt>
              <c:pt idx="17">
                <c:v>0.36</c:v>
              </c:pt>
              <c:pt idx="18">
                <c:v>0.38</c:v>
              </c:pt>
              <c:pt idx="19">
                <c:v>0.4</c:v>
              </c:pt>
              <c:pt idx="20">
                <c:v>0.42</c:v>
              </c:pt>
              <c:pt idx="21">
                <c:v>0.44</c:v>
              </c:pt>
              <c:pt idx="22">
                <c:v>0.46</c:v>
              </c:pt>
              <c:pt idx="23">
                <c:v>(blank)</c:v>
              </c:pt>
            </c:strLit>
          </c:cat>
          <c:val>
            <c:numLit>
              <c:formatCode>General</c:formatCode>
              <c:ptCount val="24"/>
              <c:pt idx="0">
                <c:v>168</c:v>
              </c:pt>
              <c:pt idx="1">
                <c:v>387</c:v>
              </c:pt>
              <c:pt idx="2">
                <c:v>608</c:v>
              </c:pt>
              <c:pt idx="3">
                <c:v>357</c:v>
              </c:pt>
              <c:pt idx="4">
                <c:v>1259</c:v>
              </c:pt>
              <c:pt idx="5">
                <c:v>2104</c:v>
              </c:pt>
              <c:pt idx="6">
                <c:v>4335</c:v>
              </c:pt>
              <c:pt idx="7">
                <c:v>7003</c:v>
              </c:pt>
              <c:pt idx="8">
                <c:v>4045</c:v>
              </c:pt>
              <c:pt idx="9">
                <c:v>7926</c:v>
              </c:pt>
              <c:pt idx="10">
                <c:v>7212</c:v>
              </c:pt>
              <c:pt idx="11">
                <c:v>5965</c:v>
              </c:pt>
              <c:pt idx="12">
                <c:v>3157</c:v>
              </c:pt>
              <c:pt idx="13">
                <c:v>1958</c:v>
              </c:pt>
              <c:pt idx="14">
                <c:v>3551</c:v>
              </c:pt>
              <c:pt idx="15">
                <c:v>1966</c:v>
              </c:pt>
              <c:pt idx="16">
                <c:v>2478</c:v>
              </c:pt>
              <c:pt idx="17">
                <c:v>1341</c:v>
              </c:pt>
              <c:pt idx="18">
                <c:v>521</c:v>
              </c:pt>
              <c:pt idx="19">
                <c:v>985</c:v>
              </c:pt>
              <c:pt idx="20">
                <c:v>519</c:v>
              </c:pt>
              <c:pt idx="21">
                <c:v>194</c:v>
              </c:pt>
              <c:pt idx="22">
                <c:v>265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492-4467-A7BA-F6C0AD909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904207"/>
        <c:axId val="2108896527"/>
      </c:lineChart>
      <c:catAx>
        <c:axId val="210890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96527"/>
        <c:crosses val="autoZero"/>
        <c:auto val="1"/>
        <c:lblAlgn val="ctr"/>
        <c:lblOffset val="100"/>
        <c:noMultiLvlLbl val="0"/>
      </c:catAx>
      <c:valAx>
        <c:axId val="210889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0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35870516185477"/>
          <c:y val="7.407407407407407E-2"/>
          <c:w val="0.75262270341207349"/>
          <c:h val="0.7908180227471566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5"/>
              <c:pt idx="0">
                <c:v>Clear</c:v>
              </c:pt>
              <c:pt idx="1">
                <c:v>Heavy Rain/Snow</c:v>
              </c:pt>
              <c:pt idx="2">
                <c:v>Light Rain/Snow</c:v>
              </c:pt>
              <c:pt idx="3">
                <c:v>Mist/Cloudy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37373</c:v>
              </c:pt>
              <c:pt idx="1">
                <c:v>36</c:v>
              </c:pt>
              <c:pt idx="2">
                <c:v>2789</c:v>
              </c:pt>
              <c:pt idx="3">
                <c:v>18106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5F8-4986-B6D9-8EAB1CB20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08855247"/>
        <c:axId val="2108879247"/>
      </c:barChart>
      <c:catAx>
        <c:axId val="210885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79247"/>
        <c:crosses val="autoZero"/>
        <c:auto val="1"/>
        <c:lblAlgn val="ctr"/>
        <c:lblOffset val="100"/>
        <c:noMultiLvlLbl val="0"/>
      </c:catAx>
      <c:valAx>
        <c:axId val="210887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5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Rental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Weekday</c:v>
              </c:pt>
              <c:pt idx="1">
                <c:v>Weekend</c:v>
              </c:pt>
              <c:pt idx="2">
                <c:v>(blank)</c:v>
              </c:pt>
            </c:strLit>
          </c:cat>
          <c:val>
            <c:numLit>
              <c:formatCode>General</c:formatCode>
              <c:ptCount val="3"/>
              <c:pt idx="0">
                <c:v>42435</c:v>
              </c:pt>
              <c:pt idx="1">
                <c:v>15869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A3-4ED8-992C-96354E0E211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34243999"/>
        <c:axId val="734255519"/>
      </c:barChart>
      <c:catAx>
        <c:axId val="73424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55519"/>
        <c:crosses val="autoZero"/>
        <c:auto val="1"/>
        <c:lblAlgn val="ctr"/>
        <c:lblOffset val="100"/>
        <c:noMultiLvlLbl val="0"/>
      </c:catAx>
      <c:valAx>
        <c:axId val="734255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4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WEATHER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596052055993003"/>
              <c:y val="-0.13613626421697289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596052055993003"/>
              <c:y val="-0.13613626421697289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596052055993003"/>
              <c:y val="-0.13613626421697289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596052055993003"/>
              <c:y val="-0.13613626421697289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596052055993003"/>
              <c:y val="-0.13613626421697289"/>
            </c:manualLayout>
          </c:layout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54-4EEC-9DDB-F98F0189F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54-4EEC-9DDB-F98F0189F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54-4EEC-9DDB-F98F0189F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854-4EEC-9DDB-F98F0189F339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4"/>
              <c:pt idx="0">
                <c:v>Clear</c:v>
              </c:pt>
              <c:pt idx="1">
                <c:v>Heavy Rain/Snow</c:v>
              </c:pt>
              <c:pt idx="2">
                <c:v>Light Rain/Snow</c:v>
              </c:pt>
              <c:pt idx="3">
                <c:v>Mist/Cloudy</c:v>
              </c:pt>
            </c:strLit>
          </c:cat>
          <c:val>
            <c:numLit>
              <c:formatCode>General</c:formatCode>
              <c:ptCount val="4"/>
              <c:pt idx="0">
                <c:v>61.671617161716156</c:v>
              </c:pt>
              <c:pt idx="1">
                <c:v>36</c:v>
              </c:pt>
              <c:pt idx="2">
                <c:v>33.202380952380956</c:v>
              </c:pt>
              <c:pt idx="3">
                <c:v>58.595469255663417</c:v>
              </c:pt>
            </c:numLit>
          </c:val>
          <c:extLst>
            <c:ext xmlns:c16="http://schemas.microsoft.com/office/drawing/2014/chart" uri="{C3380CC4-5D6E-409C-BE32-E72D297353CC}">
              <c16:uniqueId val="{00000008-2854-4EEC-9DDB-F98F0189F33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CHART</a:t>
            </a:r>
          </a:p>
        </c:rich>
      </c:tx>
      <c:layout>
        <c:manualLayout>
          <c:xMode val="edge"/>
          <c:yMode val="edge"/>
          <c:x val="0.2726318897637795"/>
          <c:y val="2.7777777777777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FF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FF00"/>
          </a:solidFill>
          <a:ln>
            <a:noFill/>
          </a:ln>
          <a:effectLst/>
        </c:spP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CB0-4184-869D-BB038EC583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"/>
              <c:pt idx="0">
                <c:v>January</c:v>
              </c:pt>
              <c:pt idx="1">
                <c:v>February</c:v>
              </c:pt>
            </c:strLit>
          </c:cat>
          <c:val>
            <c:numLit>
              <c:formatCode>General</c:formatCode>
              <c:ptCount val="2"/>
              <c:pt idx="0">
                <c:v>38189</c:v>
              </c:pt>
              <c:pt idx="1">
                <c:v>20115</c:v>
              </c:pt>
            </c:numLit>
          </c:val>
          <c:extLst>
            <c:ext xmlns:c16="http://schemas.microsoft.com/office/drawing/2014/chart" uri="{C3380CC4-5D6E-409C-BE32-E72D297353CC}">
              <c16:uniqueId val="{00000003-9CB0-4184-869D-BB038EC583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7420032"/>
        <c:axId val="77421568"/>
      </c:barChart>
      <c:catAx>
        <c:axId val="7742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1568"/>
        <c:crosses val="autoZero"/>
        <c:auto val="1"/>
        <c:lblAlgn val="ctr"/>
        <c:lblOffset val="100"/>
        <c:noMultiLvlLbl val="0"/>
      </c:catAx>
      <c:valAx>
        <c:axId val="7742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4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Humidity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[1]dataset_1!$P$1</c:f>
              <c:strCache>
                <c:ptCount val="1"/>
                <c:pt idx="0">
                  <c:v>cnt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[1]dataset_1!$L$2:$L$1001</c:f>
              <c:numCache>
                <c:formatCode>General</c:formatCode>
                <c:ptCount val="1000"/>
                <c:pt idx="0">
                  <c:v>0.81</c:v>
                </c:pt>
                <c:pt idx="1">
                  <c:v>0.8</c:v>
                </c:pt>
                <c:pt idx="2">
                  <c:v>0.8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0.8</c:v>
                </c:pt>
                <c:pt idx="7">
                  <c:v>0.86</c:v>
                </c:pt>
                <c:pt idx="8">
                  <c:v>0.75</c:v>
                </c:pt>
                <c:pt idx="9">
                  <c:v>0.76</c:v>
                </c:pt>
                <c:pt idx="10">
                  <c:v>0.76</c:v>
                </c:pt>
                <c:pt idx="11">
                  <c:v>0.81</c:v>
                </c:pt>
                <c:pt idx="12">
                  <c:v>0.77</c:v>
                </c:pt>
                <c:pt idx="13">
                  <c:v>0.72</c:v>
                </c:pt>
                <c:pt idx="14">
                  <c:v>0.72</c:v>
                </c:pt>
                <c:pt idx="15">
                  <c:v>0.77</c:v>
                </c:pt>
                <c:pt idx="16">
                  <c:v>0.82</c:v>
                </c:pt>
                <c:pt idx="17">
                  <c:v>0.82</c:v>
                </c:pt>
                <c:pt idx="18">
                  <c:v>0.88</c:v>
                </c:pt>
                <c:pt idx="19">
                  <c:v>0.88</c:v>
                </c:pt>
                <c:pt idx="20">
                  <c:v>0.87</c:v>
                </c:pt>
                <c:pt idx="21">
                  <c:v>0.87</c:v>
                </c:pt>
                <c:pt idx="22">
                  <c:v>0.94</c:v>
                </c:pt>
                <c:pt idx="23">
                  <c:v>0.88</c:v>
                </c:pt>
                <c:pt idx="24">
                  <c:v>0.88</c:v>
                </c:pt>
                <c:pt idx="25">
                  <c:v>0.94</c:v>
                </c:pt>
                <c:pt idx="26">
                  <c:v>1</c:v>
                </c:pt>
                <c:pt idx="27">
                  <c:v>0.94</c:v>
                </c:pt>
                <c:pt idx="28">
                  <c:v>0.94</c:v>
                </c:pt>
                <c:pt idx="29">
                  <c:v>0.77</c:v>
                </c:pt>
                <c:pt idx="30">
                  <c:v>0.76</c:v>
                </c:pt>
                <c:pt idx="31">
                  <c:v>0.71</c:v>
                </c:pt>
                <c:pt idx="32">
                  <c:v>0.76</c:v>
                </c:pt>
                <c:pt idx="33">
                  <c:v>0.81</c:v>
                </c:pt>
                <c:pt idx="34">
                  <c:v>0.71</c:v>
                </c:pt>
                <c:pt idx="35">
                  <c:v>0.66</c:v>
                </c:pt>
                <c:pt idx="36">
                  <c:v>0.66</c:v>
                </c:pt>
                <c:pt idx="37">
                  <c:v>0.76</c:v>
                </c:pt>
                <c:pt idx="38">
                  <c:v>0.81</c:v>
                </c:pt>
                <c:pt idx="39">
                  <c:v>0.71</c:v>
                </c:pt>
                <c:pt idx="40">
                  <c:v>0.56999999999999995</c:v>
                </c:pt>
                <c:pt idx="41">
                  <c:v>0.46</c:v>
                </c:pt>
                <c:pt idx="42">
                  <c:v>0.42</c:v>
                </c:pt>
                <c:pt idx="43">
                  <c:v>0.39</c:v>
                </c:pt>
                <c:pt idx="44">
                  <c:v>0.44</c:v>
                </c:pt>
                <c:pt idx="45">
                  <c:v>0.44</c:v>
                </c:pt>
                <c:pt idx="46">
                  <c:v>0.47</c:v>
                </c:pt>
                <c:pt idx="47">
                  <c:v>0.44</c:v>
                </c:pt>
                <c:pt idx="48">
                  <c:v>0.44</c:v>
                </c:pt>
                <c:pt idx="49">
                  <c:v>0.47</c:v>
                </c:pt>
                <c:pt idx="50">
                  <c:v>0.47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0.43</c:v>
                </c:pt>
                <c:pt idx="55">
                  <c:v>0.43</c:v>
                </c:pt>
                <c:pt idx="56">
                  <c:v>0.4</c:v>
                </c:pt>
                <c:pt idx="57">
                  <c:v>0.35</c:v>
                </c:pt>
                <c:pt idx="58">
                  <c:v>0.35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0.32</c:v>
                </c:pt>
                <c:pt idx="64">
                  <c:v>0.47</c:v>
                </c:pt>
                <c:pt idx="65">
                  <c:v>0.47</c:v>
                </c:pt>
                <c:pt idx="66">
                  <c:v>0.64</c:v>
                </c:pt>
                <c:pt idx="67">
                  <c:v>0.69</c:v>
                </c:pt>
                <c:pt idx="68">
                  <c:v>0.55000000000000004</c:v>
                </c:pt>
                <c:pt idx="69">
                  <c:v>0.55000000000000004</c:v>
                </c:pt>
                <c:pt idx="70">
                  <c:v>0.59</c:v>
                </c:pt>
                <c:pt idx="71">
                  <c:v>0.63</c:v>
                </c:pt>
                <c:pt idx="72">
                  <c:v>0.63</c:v>
                </c:pt>
                <c:pt idx="73">
                  <c:v>0.68</c:v>
                </c:pt>
                <c:pt idx="74">
                  <c:v>0.74</c:v>
                </c:pt>
                <c:pt idx="75">
                  <c:v>0.74</c:v>
                </c:pt>
                <c:pt idx="76">
                  <c:v>0.69</c:v>
                </c:pt>
                <c:pt idx="77">
                  <c:v>0.64</c:v>
                </c:pt>
                <c:pt idx="78">
                  <c:v>0.69</c:v>
                </c:pt>
                <c:pt idx="79">
                  <c:v>0.51</c:v>
                </c:pt>
                <c:pt idx="80">
                  <c:v>0.51</c:v>
                </c:pt>
                <c:pt idx="81">
                  <c:v>0.56000000000000005</c:v>
                </c:pt>
                <c:pt idx="82">
                  <c:v>0.52</c:v>
                </c:pt>
                <c:pt idx="83">
                  <c:v>0.52</c:v>
                </c:pt>
                <c:pt idx="84">
                  <c:v>0.49</c:v>
                </c:pt>
                <c:pt idx="85">
                  <c:v>0.48</c:v>
                </c:pt>
                <c:pt idx="86">
                  <c:v>0.48</c:v>
                </c:pt>
                <c:pt idx="87">
                  <c:v>0.48</c:v>
                </c:pt>
                <c:pt idx="88">
                  <c:v>0.48</c:v>
                </c:pt>
                <c:pt idx="89">
                  <c:v>0.64</c:v>
                </c:pt>
                <c:pt idx="90">
                  <c:v>0.64</c:v>
                </c:pt>
                <c:pt idx="91">
                  <c:v>0.69</c:v>
                </c:pt>
                <c:pt idx="92">
                  <c:v>0.64</c:v>
                </c:pt>
                <c:pt idx="93">
                  <c:v>0.74</c:v>
                </c:pt>
                <c:pt idx="94">
                  <c:v>0.74</c:v>
                </c:pt>
                <c:pt idx="95">
                  <c:v>0.48</c:v>
                </c:pt>
                <c:pt idx="96">
                  <c:v>0.47</c:v>
                </c:pt>
                <c:pt idx="97">
                  <c:v>0.47</c:v>
                </c:pt>
                <c:pt idx="98">
                  <c:v>0.43</c:v>
                </c:pt>
                <c:pt idx="99">
                  <c:v>0.4</c:v>
                </c:pt>
                <c:pt idx="100">
                  <c:v>0.37</c:v>
                </c:pt>
                <c:pt idx="101">
                  <c:v>0.37</c:v>
                </c:pt>
                <c:pt idx="102">
                  <c:v>0.33</c:v>
                </c:pt>
                <c:pt idx="103">
                  <c:v>0.33</c:v>
                </c:pt>
                <c:pt idx="104">
                  <c:v>0.3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0.38</c:v>
                </c:pt>
                <c:pt idx="109">
                  <c:v>0.38</c:v>
                </c:pt>
                <c:pt idx="110">
                  <c:v>0.38</c:v>
                </c:pt>
                <c:pt idx="111">
                  <c:v>0.47</c:v>
                </c:pt>
                <c:pt idx="112">
                  <c:v>0.51</c:v>
                </c:pt>
                <c:pt idx="113">
                  <c:v>0.55000000000000004</c:v>
                </c:pt>
                <c:pt idx="114">
                  <c:v>0.47</c:v>
                </c:pt>
                <c:pt idx="115">
                  <c:v>0.55000000000000004</c:v>
                </c:pt>
                <c:pt idx="116">
                  <c:v>0.64</c:v>
                </c:pt>
                <c:pt idx="117">
                  <c:v>0.64</c:v>
                </c:pt>
                <c:pt idx="118">
                  <c:v>0.64</c:v>
                </c:pt>
                <c:pt idx="119">
                  <c:v>0.69</c:v>
                </c:pt>
                <c:pt idx="120">
                  <c:v>0.63</c:v>
                </c:pt>
                <c:pt idx="121">
                  <c:v>0.59</c:v>
                </c:pt>
                <c:pt idx="122">
                  <c:v>0.59</c:v>
                </c:pt>
                <c:pt idx="123">
                  <c:v>0.51</c:v>
                </c:pt>
                <c:pt idx="124">
                  <c:v>0.47</c:v>
                </c:pt>
                <c:pt idx="125">
                  <c:v>0.44</c:v>
                </c:pt>
                <c:pt idx="126">
                  <c:v>0.35</c:v>
                </c:pt>
                <c:pt idx="127">
                  <c:v>0.35</c:v>
                </c:pt>
                <c:pt idx="128">
                  <c:v>0.36</c:v>
                </c:pt>
                <c:pt idx="129">
                  <c:v>0.36</c:v>
                </c:pt>
                <c:pt idx="130">
                  <c:v>0.38</c:v>
                </c:pt>
                <c:pt idx="131">
                  <c:v>0.51</c:v>
                </c:pt>
                <c:pt idx="132">
                  <c:v>0.51</c:v>
                </c:pt>
                <c:pt idx="133">
                  <c:v>0.55000000000000004</c:v>
                </c:pt>
                <c:pt idx="134">
                  <c:v>0.51</c:v>
                </c:pt>
                <c:pt idx="135">
                  <c:v>0.55000000000000004</c:v>
                </c:pt>
                <c:pt idx="136">
                  <c:v>0.51</c:v>
                </c:pt>
                <c:pt idx="137">
                  <c:v>0.59</c:v>
                </c:pt>
                <c:pt idx="138">
                  <c:v>0.64</c:v>
                </c:pt>
                <c:pt idx="139">
                  <c:v>0.69</c:v>
                </c:pt>
                <c:pt idx="140">
                  <c:v>0.69</c:v>
                </c:pt>
                <c:pt idx="141">
                  <c:v>0.69</c:v>
                </c:pt>
                <c:pt idx="142">
                  <c:v>0.55000000000000004</c:v>
                </c:pt>
                <c:pt idx="143">
                  <c:v>0.69</c:v>
                </c:pt>
                <c:pt idx="144">
                  <c:v>0.69</c:v>
                </c:pt>
                <c:pt idx="145">
                  <c:v>0.51</c:v>
                </c:pt>
                <c:pt idx="146">
                  <c:v>0.47</c:v>
                </c:pt>
                <c:pt idx="147">
                  <c:v>0.37</c:v>
                </c:pt>
                <c:pt idx="148">
                  <c:v>0.4</c:v>
                </c:pt>
                <c:pt idx="149">
                  <c:v>0.37</c:v>
                </c:pt>
                <c:pt idx="150">
                  <c:v>0.37</c:v>
                </c:pt>
                <c:pt idx="151">
                  <c:v>0.4</c:v>
                </c:pt>
                <c:pt idx="152">
                  <c:v>0.37</c:v>
                </c:pt>
                <c:pt idx="153">
                  <c:v>0.37</c:v>
                </c:pt>
                <c:pt idx="154">
                  <c:v>0.37</c:v>
                </c:pt>
                <c:pt idx="155">
                  <c:v>0.4</c:v>
                </c:pt>
                <c:pt idx="156">
                  <c:v>0.55000000000000004</c:v>
                </c:pt>
                <c:pt idx="157">
                  <c:v>0.47</c:v>
                </c:pt>
                <c:pt idx="158">
                  <c:v>0.47</c:v>
                </c:pt>
                <c:pt idx="159">
                  <c:v>0.43</c:v>
                </c:pt>
                <c:pt idx="160">
                  <c:v>0.51</c:v>
                </c:pt>
                <c:pt idx="161">
                  <c:v>0.51</c:v>
                </c:pt>
                <c:pt idx="162">
                  <c:v>0.55000000000000004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0.74</c:v>
                </c:pt>
                <c:pt idx="167">
                  <c:v>0.74</c:v>
                </c:pt>
                <c:pt idx="168">
                  <c:v>0.74</c:v>
                </c:pt>
                <c:pt idx="169">
                  <c:v>0.93</c:v>
                </c:pt>
                <c:pt idx="170">
                  <c:v>0.93</c:v>
                </c:pt>
                <c:pt idx="171">
                  <c:v>0.8</c:v>
                </c:pt>
                <c:pt idx="172">
                  <c:v>0.69</c:v>
                </c:pt>
                <c:pt idx="173">
                  <c:v>0.59</c:v>
                </c:pt>
                <c:pt idx="174">
                  <c:v>0.44</c:v>
                </c:pt>
                <c:pt idx="175">
                  <c:v>0.32</c:v>
                </c:pt>
                <c:pt idx="176">
                  <c:v>0.32</c:v>
                </c:pt>
                <c:pt idx="177">
                  <c:v>0.28999999999999998</c:v>
                </c:pt>
                <c:pt idx="178">
                  <c:v>0.37</c:v>
                </c:pt>
                <c:pt idx="179">
                  <c:v>0.39</c:v>
                </c:pt>
                <c:pt idx="180">
                  <c:v>0.36</c:v>
                </c:pt>
                <c:pt idx="181">
                  <c:v>0.36</c:v>
                </c:pt>
                <c:pt idx="182">
                  <c:v>0.39</c:v>
                </c:pt>
                <c:pt idx="183">
                  <c:v>0.36</c:v>
                </c:pt>
                <c:pt idx="184">
                  <c:v>0.39</c:v>
                </c:pt>
                <c:pt idx="185">
                  <c:v>0.42</c:v>
                </c:pt>
                <c:pt idx="186">
                  <c:v>0.42</c:v>
                </c:pt>
                <c:pt idx="187">
                  <c:v>0.46</c:v>
                </c:pt>
                <c:pt idx="188">
                  <c:v>0.46</c:v>
                </c:pt>
                <c:pt idx="189">
                  <c:v>0.53</c:v>
                </c:pt>
                <c:pt idx="190">
                  <c:v>0.53</c:v>
                </c:pt>
                <c:pt idx="191">
                  <c:v>0.49</c:v>
                </c:pt>
                <c:pt idx="192">
                  <c:v>0.53</c:v>
                </c:pt>
                <c:pt idx="193">
                  <c:v>0.49</c:v>
                </c:pt>
                <c:pt idx="194">
                  <c:v>0.46</c:v>
                </c:pt>
                <c:pt idx="195">
                  <c:v>0.43</c:v>
                </c:pt>
                <c:pt idx="196">
                  <c:v>0.4</c:v>
                </c:pt>
                <c:pt idx="197">
                  <c:v>0.37</c:v>
                </c:pt>
                <c:pt idx="198">
                  <c:v>0.34</c:v>
                </c:pt>
                <c:pt idx="199">
                  <c:v>0.32</c:v>
                </c:pt>
                <c:pt idx="200">
                  <c:v>0.35</c:v>
                </c:pt>
                <c:pt idx="201">
                  <c:v>0.34</c:v>
                </c:pt>
                <c:pt idx="202">
                  <c:v>0.37</c:v>
                </c:pt>
                <c:pt idx="203">
                  <c:v>0.4</c:v>
                </c:pt>
                <c:pt idx="204">
                  <c:v>0.43</c:v>
                </c:pt>
                <c:pt idx="205">
                  <c:v>0.46</c:v>
                </c:pt>
                <c:pt idx="206">
                  <c:v>0.46</c:v>
                </c:pt>
                <c:pt idx="207">
                  <c:v>0.46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0.54</c:v>
                </c:pt>
                <c:pt idx="214">
                  <c:v>0.54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0.47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0.47</c:v>
                </c:pt>
                <c:pt idx="229">
                  <c:v>0.5</c:v>
                </c:pt>
                <c:pt idx="230">
                  <c:v>0.59</c:v>
                </c:pt>
                <c:pt idx="231">
                  <c:v>0.59</c:v>
                </c:pt>
                <c:pt idx="232">
                  <c:v>0.59</c:v>
                </c:pt>
                <c:pt idx="233">
                  <c:v>0.59</c:v>
                </c:pt>
                <c:pt idx="234">
                  <c:v>0.59</c:v>
                </c:pt>
                <c:pt idx="235">
                  <c:v>0.55000000000000004</c:v>
                </c:pt>
                <c:pt idx="236">
                  <c:v>0.55000000000000004</c:v>
                </c:pt>
                <c:pt idx="237">
                  <c:v>0.55000000000000004</c:v>
                </c:pt>
                <c:pt idx="238">
                  <c:v>0.55000000000000004</c:v>
                </c:pt>
                <c:pt idx="239">
                  <c:v>0.51</c:v>
                </c:pt>
                <c:pt idx="240">
                  <c:v>0.51</c:v>
                </c:pt>
                <c:pt idx="241">
                  <c:v>0.51</c:v>
                </c:pt>
                <c:pt idx="242">
                  <c:v>0.47</c:v>
                </c:pt>
                <c:pt idx="243">
                  <c:v>0.51</c:v>
                </c:pt>
                <c:pt idx="244">
                  <c:v>0.59</c:v>
                </c:pt>
                <c:pt idx="245">
                  <c:v>0.59</c:v>
                </c:pt>
                <c:pt idx="246">
                  <c:v>0.8</c:v>
                </c:pt>
                <c:pt idx="247">
                  <c:v>0.86</c:v>
                </c:pt>
                <c:pt idx="248">
                  <c:v>0.86</c:v>
                </c:pt>
                <c:pt idx="249">
                  <c:v>0.93</c:v>
                </c:pt>
                <c:pt idx="250">
                  <c:v>0.93</c:v>
                </c:pt>
                <c:pt idx="251">
                  <c:v>0.93</c:v>
                </c:pt>
                <c:pt idx="252">
                  <c:v>0.86</c:v>
                </c:pt>
                <c:pt idx="253">
                  <c:v>0.93</c:v>
                </c:pt>
                <c:pt idx="254">
                  <c:v>0.93</c:v>
                </c:pt>
                <c:pt idx="255">
                  <c:v>0.86</c:v>
                </c:pt>
                <c:pt idx="256">
                  <c:v>0.86</c:v>
                </c:pt>
                <c:pt idx="257">
                  <c:v>0.86</c:v>
                </c:pt>
                <c:pt idx="258">
                  <c:v>0.86</c:v>
                </c:pt>
                <c:pt idx="259">
                  <c:v>0.93</c:v>
                </c:pt>
                <c:pt idx="260">
                  <c:v>0.69</c:v>
                </c:pt>
                <c:pt idx="261">
                  <c:v>0.59</c:v>
                </c:pt>
                <c:pt idx="262">
                  <c:v>0.59</c:v>
                </c:pt>
                <c:pt idx="263">
                  <c:v>0.55000000000000004</c:v>
                </c:pt>
                <c:pt idx="264">
                  <c:v>0.51</c:v>
                </c:pt>
                <c:pt idx="265">
                  <c:v>0.47</c:v>
                </c:pt>
                <c:pt idx="266">
                  <c:v>0.44</c:v>
                </c:pt>
                <c:pt idx="267">
                  <c:v>0.47</c:v>
                </c:pt>
                <c:pt idx="268">
                  <c:v>0.47</c:v>
                </c:pt>
                <c:pt idx="269">
                  <c:v>0.44</c:v>
                </c:pt>
                <c:pt idx="270">
                  <c:v>0.47</c:v>
                </c:pt>
                <c:pt idx="271">
                  <c:v>0.47</c:v>
                </c:pt>
                <c:pt idx="272">
                  <c:v>0.47</c:v>
                </c:pt>
                <c:pt idx="273">
                  <c:v>0.5</c:v>
                </c:pt>
                <c:pt idx="274">
                  <c:v>0.55000000000000004</c:v>
                </c:pt>
                <c:pt idx="275">
                  <c:v>0.55000000000000004</c:v>
                </c:pt>
                <c:pt idx="276">
                  <c:v>0.59</c:v>
                </c:pt>
                <c:pt idx="277">
                  <c:v>0.59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0.54</c:v>
                </c:pt>
                <c:pt idx="284">
                  <c:v>0.54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0.44</c:v>
                </c:pt>
                <c:pt idx="289">
                  <c:v>0.44</c:v>
                </c:pt>
                <c:pt idx="290">
                  <c:v>0.41</c:v>
                </c:pt>
                <c:pt idx="291">
                  <c:v>0.41</c:v>
                </c:pt>
                <c:pt idx="292">
                  <c:v>0.38</c:v>
                </c:pt>
                <c:pt idx="293">
                  <c:v>0.38</c:v>
                </c:pt>
                <c:pt idx="294">
                  <c:v>0.4</c:v>
                </c:pt>
                <c:pt idx="295">
                  <c:v>0.4</c:v>
                </c:pt>
                <c:pt idx="296">
                  <c:v>0.47</c:v>
                </c:pt>
                <c:pt idx="297">
                  <c:v>0.47</c:v>
                </c:pt>
                <c:pt idx="298">
                  <c:v>0.46</c:v>
                </c:pt>
                <c:pt idx="299">
                  <c:v>0.46</c:v>
                </c:pt>
                <c:pt idx="300">
                  <c:v>0.5</c:v>
                </c:pt>
                <c:pt idx="301">
                  <c:v>0.5</c:v>
                </c:pt>
                <c:pt idx="302">
                  <c:v>0.54</c:v>
                </c:pt>
                <c:pt idx="303">
                  <c:v>0.54</c:v>
                </c:pt>
                <c:pt idx="304">
                  <c:v>0.54</c:v>
                </c:pt>
                <c:pt idx="305">
                  <c:v>0.54</c:v>
                </c:pt>
                <c:pt idx="306">
                  <c:v>0.54</c:v>
                </c:pt>
                <c:pt idx="307">
                  <c:v>0.74</c:v>
                </c:pt>
                <c:pt idx="308">
                  <c:v>0.68</c:v>
                </c:pt>
                <c:pt idx="309">
                  <c:v>0.69</c:v>
                </c:pt>
                <c:pt idx="310">
                  <c:v>0.55000000000000004</c:v>
                </c:pt>
                <c:pt idx="311">
                  <c:v>0.51</c:v>
                </c:pt>
                <c:pt idx="312">
                  <c:v>0.44</c:v>
                </c:pt>
                <c:pt idx="313">
                  <c:v>0.37</c:v>
                </c:pt>
                <c:pt idx="314">
                  <c:v>0.41</c:v>
                </c:pt>
                <c:pt idx="315">
                  <c:v>0.38</c:v>
                </c:pt>
                <c:pt idx="316">
                  <c:v>0.41</c:v>
                </c:pt>
                <c:pt idx="317">
                  <c:v>0.41</c:v>
                </c:pt>
                <c:pt idx="318">
                  <c:v>0.47</c:v>
                </c:pt>
                <c:pt idx="319">
                  <c:v>0.59</c:v>
                </c:pt>
                <c:pt idx="320">
                  <c:v>0.59</c:v>
                </c:pt>
                <c:pt idx="321">
                  <c:v>0.69</c:v>
                </c:pt>
                <c:pt idx="322">
                  <c:v>0.69</c:v>
                </c:pt>
                <c:pt idx="323">
                  <c:v>0.55000000000000004</c:v>
                </c:pt>
                <c:pt idx="324">
                  <c:v>0.55000000000000004</c:v>
                </c:pt>
                <c:pt idx="325">
                  <c:v>0.59</c:v>
                </c:pt>
                <c:pt idx="326">
                  <c:v>0.59</c:v>
                </c:pt>
                <c:pt idx="327">
                  <c:v>0.59</c:v>
                </c:pt>
                <c:pt idx="328">
                  <c:v>0.59</c:v>
                </c:pt>
                <c:pt idx="329">
                  <c:v>0.59</c:v>
                </c:pt>
                <c:pt idx="330">
                  <c:v>0.63</c:v>
                </c:pt>
                <c:pt idx="331">
                  <c:v>0.63</c:v>
                </c:pt>
                <c:pt idx="332">
                  <c:v>0.63</c:v>
                </c:pt>
                <c:pt idx="333">
                  <c:v>0.64</c:v>
                </c:pt>
                <c:pt idx="334">
                  <c:v>0.59</c:v>
                </c:pt>
                <c:pt idx="335">
                  <c:v>0.55000000000000004</c:v>
                </c:pt>
                <c:pt idx="336">
                  <c:v>0.48</c:v>
                </c:pt>
                <c:pt idx="337">
                  <c:v>0.38</c:v>
                </c:pt>
                <c:pt idx="338">
                  <c:v>0.39</c:v>
                </c:pt>
                <c:pt idx="339">
                  <c:v>0.36</c:v>
                </c:pt>
                <c:pt idx="340">
                  <c:v>0.34</c:v>
                </c:pt>
                <c:pt idx="341">
                  <c:v>0.36</c:v>
                </c:pt>
                <c:pt idx="342">
                  <c:v>0.45</c:v>
                </c:pt>
                <c:pt idx="343">
                  <c:v>0.39</c:v>
                </c:pt>
                <c:pt idx="344">
                  <c:v>0.39</c:v>
                </c:pt>
                <c:pt idx="345">
                  <c:v>0.39</c:v>
                </c:pt>
                <c:pt idx="346">
                  <c:v>0.42</c:v>
                </c:pt>
                <c:pt idx="347">
                  <c:v>0.45</c:v>
                </c:pt>
                <c:pt idx="348">
                  <c:v>0.56000000000000005</c:v>
                </c:pt>
                <c:pt idx="349">
                  <c:v>0.56000000000000005</c:v>
                </c:pt>
                <c:pt idx="350">
                  <c:v>0.56000000000000005</c:v>
                </c:pt>
                <c:pt idx="351">
                  <c:v>0.69</c:v>
                </c:pt>
                <c:pt idx="352">
                  <c:v>0.56000000000000005</c:v>
                </c:pt>
                <c:pt idx="353">
                  <c:v>0.56000000000000005</c:v>
                </c:pt>
                <c:pt idx="354">
                  <c:v>0.56000000000000005</c:v>
                </c:pt>
                <c:pt idx="355">
                  <c:v>0.56000000000000005</c:v>
                </c:pt>
                <c:pt idx="356">
                  <c:v>0.55000000000000004</c:v>
                </c:pt>
                <c:pt idx="357">
                  <c:v>0.51</c:v>
                </c:pt>
                <c:pt idx="358">
                  <c:v>0.51</c:v>
                </c:pt>
                <c:pt idx="359">
                  <c:v>0.44</c:v>
                </c:pt>
                <c:pt idx="360">
                  <c:v>0.41</c:v>
                </c:pt>
                <c:pt idx="361">
                  <c:v>0.35</c:v>
                </c:pt>
                <c:pt idx="362">
                  <c:v>0.36</c:v>
                </c:pt>
                <c:pt idx="363">
                  <c:v>0.38</c:v>
                </c:pt>
                <c:pt idx="364">
                  <c:v>0.38</c:v>
                </c:pt>
                <c:pt idx="365">
                  <c:v>0.37</c:v>
                </c:pt>
                <c:pt idx="366">
                  <c:v>0.4</c:v>
                </c:pt>
                <c:pt idx="367">
                  <c:v>0.47</c:v>
                </c:pt>
                <c:pt idx="368">
                  <c:v>0.47</c:v>
                </c:pt>
                <c:pt idx="369">
                  <c:v>0.51</c:v>
                </c:pt>
                <c:pt idx="370">
                  <c:v>0.49</c:v>
                </c:pt>
                <c:pt idx="371">
                  <c:v>0.4</c:v>
                </c:pt>
                <c:pt idx="372">
                  <c:v>0.47</c:v>
                </c:pt>
                <c:pt idx="373">
                  <c:v>0.44</c:v>
                </c:pt>
                <c:pt idx="374">
                  <c:v>0.43</c:v>
                </c:pt>
                <c:pt idx="375">
                  <c:v>0.43</c:v>
                </c:pt>
                <c:pt idx="376">
                  <c:v>0.43</c:v>
                </c:pt>
                <c:pt idx="377">
                  <c:v>0.43</c:v>
                </c:pt>
                <c:pt idx="378">
                  <c:v>0.43</c:v>
                </c:pt>
                <c:pt idx="379">
                  <c:v>0.5</c:v>
                </c:pt>
                <c:pt idx="380">
                  <c:v>0.47</c:v>
                </c:pt>
                <c:pt idx="381">
                  <c:v>0.47</c:v>
                </c:pt>
                <c:pt idx="382">
                  <c:v>0.5</c:v>
                </c:pt>
                <c:pt idx="383">
                  <c:v>0.55000000000000004</c:v>
                </c:pt>
                <c:pt idx="384">
                  <c:v>0.47</c:v>
                </c:pt>
                <c:pt idx="385">
                  <c:v>0.47</c:v>
                </c:pt>
                <c:pt idx="386">
                  <c:v>0.43</c:v>
                </c:pt>
                <c:pt idx="387">
                  <c:v>0.47</c:v>
                </c:pt>
                <c:pt idx="388">
                  <c:v>0.47</c:v>
                </c:pt>
                <c:pt idx="389">
                  <c:v>0.51</c:v>
                </c:pt>
                <c:pt idx="390">
                  <c:v>0.55000000000000004</c:v>
                </c:pt>
                <c:pt idx="391">
                  <c:v>0.59</c:v>
                </c:pt>
                <c:pt idx="392">
                  <c:v>0.8</c:v>
                </c:pt>
                <c:pt idx="393">
                  <c:v>0.8</c:v>
                </c:pt>
                <c:pt idx="394">
                  <c:v>0.93</c:v>
                </c:pt>
                <c:pt idx="395">
                  <c:v>0.86</c:v>
                </c:pt>
                <c:pt idx="396">
                  <c:v>0.86</c:v>
                </c:pt>
                <c:pt idx="397">
                  <c:v>0.86</c:v>
                </c:pt>
                <c:pt idx="398">
                  <c:v>0.8</c:v>
                </c:pt>
                <c:pt idx="399">
                  <c:v>0.87</c:v>
                </c:pt>
                <c:pt idx="400">
                  <c:v>0.87</c:v>
                </c:pt>
                <c:pt idx="401">
                  <c:v>0.82</c:v>
                </c:pt>
                <c:pt idx="402">
                  <c:v>0.8</c:v>
                </c:pt>
                <c:pt idx="403">
                  <c:v>0.8</c:v>
                </c:pt>
                <c:pt idx="404">
                  <c:v>0.87</c:v>
                </c:pt>
                <c:pt idx="405">
                  <c:v>0.93</c:v>
                </c:pt>
                <c:pt idx="406">
                  <c:v>0.93</c:v>
                </c:pt>
                <c:pt idx="407">
                  <c:v>0.93</c:v>
                </c:pt>
                <c:pt idx="408">
                  <c:v>0.93</c:v>
                </c:pt>
                <c:pt idx="409">
                  <c:v>0.93</c:v>
                </c:pt>
                <c:pt idx="410">
                  <c:v>0.93</c:v>
                </c:pt>
                <c:pt idx="411">
                  <c:v>0.93</c:v>
                </c:pt>
                <c:pt idx="412">
                  <c:v>0.93</c:v>
                </c:pt>
                <c:pt idx="413">
                  <c:v>0.93</c:v>
                </c:pt>
                <c:pt idx="414">
                  <c:v>0.92</c:v>
                </c:pt>
                <c:pt idx="415">
                  <c:v>0.93</c:v>
                </c:pt>
                <c:pt idx="416">
                  <c:v>0.93</c:v>
                </c:pt>
                <c:pt idx="417">
                  <c:v>0.93</c:v>
                </c:pt>
                <c:pt idx="418">
                  <c:v>0.87</c:v>
                </c:pt>
                <c:pt idx="419">
                  <c:v>0.81</c:v>
                </c:pt>
                <c:pt idx="420">
                  <c:v>0.62</c:v>
                </c:pt>
                <c:pt idx="421">
                  <c:v>0.57999999999999996</c:v>
                </c:pt>
                <c:pt idx="422">
                  <c:v>0.54</c:v>
                </c:pt>
                <c:pt idx="423">
                  <c:v>0.57999999999999996</c:v>
                </c:pt>
                <c:pt idx="424">
                  <c:v>0.56999999999999995</c:v>
                </c:pt>
                <c:pt idx="425">
                  <c:v>0.61</c:v>
                </c:pt>
                <c:pt idx="426">
                  <c:v>0.56999999999999995</c:v>
                </c:pt>
                <c:pt idx="427">
                  <c:v>0.49</c:v>
                </c:pt>
                <c:pt idx="428">
                  <c:v>0.49</c:v>
                </c:pt>
                <c:pt idx="429">
                  <c:v>0.52</c:v>
                </c:pt>
                <c:pt idx="430">
                  <c:v>0.52</c:v>
                </c:pt>
                <c:pt idx="431">
                  <c:v>0.56000000000000005</c:v>
                </c:pt>
                <c:pt idx="432">
                  <c:v>0.56000000000000005</c:v>
                </c:pt>
                <c:pt idx="433">
                  <c:v>0.56000000000000005</c:v>
                </c:pt>
                <c:pt idx="434">
                  <c:v>0.56000000000000005</c:v>
                </c:pt>
                <c:pt idx="435">
                  <c:v>0.56000000000000005</c:v>
                </c:pt>
                <c:pt idx="436">
                  <c:v>0.6</c:v>
                </c:pt>
                <c:pt idx="437">
                  <c:v>0.6</c:v>
                </c:pt>
                <c:pt idx="438">
                  <c:v>0.55000000000000004</c:v>
                </c:pt>
                <c:pt idx="439">
                  <c:v>0.55000000000000004</c:v>
                </c:pt>
                <c:pt idx="440">
                  <c:v>0.52</c:v>
                </c:pt>
                <c:pt idx="441">
                  <c:v>0.48</c:v>
                </c:pt>
                <c:pt idx="442">
                  <c:v>0.45</c:v>
                </c:pt>
                <c:pt idx="443">
                  <c:v>0.42</c:v>
                </c:pt>
                <c:pt idx="444">
                  <c:v>0.45</c:v>
                </c:pt>
                <c:pt idx="445">
                  <c:v>0.45</c:v>
                </c:pt>
                <c:pt idx="446">
                  <c:v>0.45</c:v>
                </c:pt>
                <c:pt idx="447">
                  <c:v>0.49</c:v>
                </c:pt>
                <c:pt idx="448">
                  <c:v>0.49</c:v>
                </c:pt>
                <c:pt idx="449">
                  <c:v>0.56000000000000005</c:v>
                </c:pt>
                <c:pt idx="450">
                  <c:v>0.56000000000000005</c:v>
                </c:pt>
                <c:pt idx="451">
                  <c:v>0.6</c:v>
                </c:pt>
                <c:pt idx="452">
                  <c:v>0.6</c:v>
                </c:pt>
                <c:pt idx="453">
                  <c:v>0.65</c:v>
                </c:pt>
                <c:pt idx="454">
                  <c:v>0.65</c:v>
                </c:pt>
                <c:pt idx="455">
                  <c:v>0.7</c:v>
                </c:pt>
                <c:pt idx="456">
                  <c:v>0.7</c:v>
                </c:pt>
                <c:pt idx="457">
                  <c:v>0.75</c:v>
                </c:pt>
                <c:pt idx="458">
                  <c:v>0.8</c:v>
                </c:pt>
                <c:pt idx="459">
                  <c:v>0.87</c:v>
                </c:pt>
                <c:pt idx="460">
                  <c:v>0.6</c:v>
                </c:pt>
                <c:pt idx="461">
                  <c:v>0.55000000000000004</c:v>
                </c:pt>
                <c:pt idx="462">
                  <c:v>0.51</c:v>
                </c:pt>
                <c:pt idx="463">
                  <c:v>0.47</c:v>
                </c:pt>
                <c:pt idx="464">
                  <c:v>0.51</c:v>
                </c:pt>
                <c:pt idx="465">
                  <c:v>0.47</c:v>
                </c:pt>
                <c:pt idx="466">
                  <c:v>0.41</c:v>
                </c:pt>
                <c:pt idx="467">
                  <c:v>0.27</c:v>
                </c:pt>
                <c:pt idx="468">
                  <c:v>0.21</c:v>
                </c:pt>
                <c:pt idx="469">
                  <c:v>0.25</c:v>
                </c:pt>
                <c:pt idx="470">
                  <c:v>0.26</c:v>
                </c:pt>
                <c:pt idx="471">
                  <c:v>0.26</c:v>
                </c:pt>
                <c:pt idx="472">
                  <c:v>0.28000000000000003</c:v>
                </c:pt>
                <c:pt idx="473">
                  <c:v>0.3</c:v>
                </c:pt>
                <c:pt idx="474">
                  <c:v>0.3</c:v>
                </c:pt>
                <c:pt idx="475">
                  <c:v>0.33</c:v>
                </c:pt>
                <c:pt idx="476">
                  <c:v>0.38</c:v>
                </c:pt>
                <c:pt idx="477">
                  <c:v>0.41</c:v>
                </c:pt>
                <c:pt idx="478">
                  <c:v>0.38</c:v>
                </c:pt>
                <c:pt idx="479">
                  <c:v>0.45</c:v>
                </c:pt>
                <c:pt idx="480">
                  <c:v>0.41</c:v>
                </c:pt>
                <c:pt idx="481">
                  <c:v>0.41</c:v>
                </c:pt>
                <c:pt idx="482">
                  <c:v>0.41</c:v>
                </c:pt>
                <c:pt idx="483">
                  <c:v>0.48</c:v>
                </c:pt>
                <c:pt idx="484">
                  <c:v>0.44</c:v>
                </c:pt>
                <c:pt idx="485">
                  <c:v>0.44</c:v>
                </c:pt>
                <c:pt idx="486">
                  <c:v>0.44</c:v>
                </c:pt>
                <c:pt idx="487">
                  <c:v>0.41</c:v>
                </c:pt>
                <c:pt idx="488">
                  <c:v>0.41</c:v>
                </c:pt>
                <c:pt idx="489">
                  <c:v>0.38</c:v>
                </c:pt>
                <c:pt idx="490">
                  <c:v>0.38</c:v>
                </c:pt>
                <c:pt idx="491">
                  <c:v>0.35</c:v>
                </c:pt>
                <c:pt idx="492">
                  <c:v>0.33</c:v>
                </c:pt>
                <c:pt idx="493">
                  <c:v>0.28000000000000003</c:v>
                </c:pt>
                <c:pt idx="494">
                  <c:v>0.28000000000000003</c:v>
                </c:pt>
                <c:pt idx="495">
                  <c:v>0.28000000000000003</c:v>
                </c:pt>
                <c:pt idx="496">
                  <c:v>0.35</c:v>
                </c:pt>
                <c:pt idx="497">
                  <c:v>0.35</c:v>
                </c:pt>
                <c:pt idx="498">
                  <c:v>0.45</c:v>
                </c:pt>
                <c:pt idx="499">
                  <c:v>0.41</c:v>
                </c:pt>
                <c:pt idx="500">
                  <c:v>0.49</c:v>
                </c:pt>
                <c:pt idx="501">
                  <c:v>0.56999999999999995</c:v>
                </c:pt>
                <c:pt idx="502">
                  <c:v>0.56999999999999995</c:v>
                </c:pt>
                <c:pt idx="503">
                  <c:v>0.56999999999999995</c:v>
                </c:pt>
                <c:pt idx="504">
                  <c:v>0.62</c:v>
                </c:pt>
                <c:pt idx="505">
                  <c:v>0.62</c:v>
                </c:pt>
                <c:pt idx="506">
                  <c:v>0.56999999999999995</c:v>
                </c:pt>
                <c:pt idx="507">
                  <c:v>0.56999999999999995</c:v>
                </c:pt>
                <c:pt idx="508">
                  <c:v>0.57999999999999996</c:v>
                </c:pt>
                <c:pt idx="509">
                  <c:v>0.62</c:v>
                </c:pt>
                <c:pt idx="510">
                  <c:v>0.54</c:v>
                </c:pt>
                <c:pt idx="511">
                  <c:v>0.46</c:v>
                </c:pt>
                <c:pt idx="512">
                  <c:v>0.43</c:v>
                </c:pt>
                <c:pt idx="513">
                  <c:v>0.37</c:v>
                </c:pt>
                <c:pt idx="514">
                  <c:v>0.33</c:v>
                </c:pt>
                <c:pt idx="515">
                  <c:v>0.28000000000000003</c:v>
                </c:pt>
                <c:pt idx="516">
                  <c:v>0.28000000000000003</c:v>
                </c:pt>
                <c:pt idx="517">
                  <c:v>0.26</c:v>
                </c:pt>
                <c:pt idx="518">
                  <c:v>0.26</c:v>
                </c:pt>
                <c:pt idx="519">
                  <c:v>0.3</c:v>
                </c:pt>
                <c:pt idx="520">
                  <c:v>0.3</c:v>
                </c:pt>
                <c:pt idx="521">
                  <c:v>0.36</c:v>
                </c:pt>
                <c:pt idx="522">
                  <c:v>0.36</c:v>
                </c:pt>
                <c:pt idx="523">
                  <c:v>0.38</c:v>
                </c:pt>
                <c:pt idx="524">
                  <c:v>0.41</c:v>
                </c:pt>
                <c:pt idx="525">
                  <c:v>0.41</c:v>
                </c:pt>
                <c:pt idx="526">
                  <c:v>0.45</c:v>
                </c:pt>
                <c:pt idx="527">
                  <c:v>0.45</c:v>
                </c:pt>
                <c:pt idx="528">
                  <c:v>0.48</c:v>
                </c:pt>
                <c:pt idx="529">
                  <c:v>0.48</c:v>
                </c:pt>
                <c:pt idx="530">
                  <c:v>0.48</c:v>
                </c:pt>
                <c:pt idx="531">
                  <c:v>0.48</c:v>
                </c:pt>
                <c:pt idx="532">
                  <c:v>0.49</c:v>
                </c:pt>
                <c:pt idx="533">
                  <c:v>0.41</c:v>
                </c:pt>
                <c:pt idx="534">
                  <c:v>0.42</c:v>
                </c:pt>
                <c:pt idx="535">
                  <c:v>0.46</c:v>
                </c:pt>
                <c:pt idx="536">
                  <c:v>0.42</c:v>
                </c:pt>
                <c:pt idx="537">
                  <c:v>0.43</c:v>
                </c:pt>
                <c:pt idx="538">
                  <c:v>0.46</c:v>
                </c:pt>
                <c:pt idx="539">
                  <c:v>0.4</c:v>
                </c:pt>
                <c:pt idx="540">
                  <c:v>0.47</c:v>
                </c:pt>
                <c:pt idx="541">
                  <c:v>0.5</c:v>
                </c:pt>
                <c:pt idx="542">
                  <c:v>0.59</c:v>
                </c:pt>
                <c:pt idx="543">
                  <c:v>0.54</c:v>
                </c:pt>
                <c:pt idx="544">
                  <c:v>0.59</c:v>
                </c:pt>
                <c:pt idx="545">
                  <c:v>0.63</c:v>
                </c:pt>
                <c:pt idx="546">
                  <c:v>0.63</c:v>
                </c:pt>
                <c:pt idx="547">
                  <c:v>0.64</c:v>
                </c:pt>
                <c:pt idx="548">
                  <c:v>0.69</c:v>
                </c:pt>
                <c:pt idx="549">
                  <c:v>0.69</c:v>
                </c:pt>
                <c:pt idx="550">
                  <c:v>0.69</c:v>
                </c:pt>
                <c:pt idx="551">
                  <c:v>0.74</c:v>
                </c:pt>
                <c:pt idx="552">
                  <c:v>0.74</c:v>
                </c:pt>
                <c:pt idx="553">
                  <c:v>0.74</c:v>
                </c:pt>
                <c:pt idx="554">
                  <c:v>0.74</c:v>
                </c:pt>
                <c:pt idx="555">
                  <c:v>0.74</c:v>
                </c:pt>
                <c:pt idx="556">
                  <c:v>0.64</c:v>
                </c:pt>
                <c:pt idx="557">
                  <c:v>0.6</c:v>
                </c:pt>
                <c:pt idx="558">
                  <c:v>0.6</c:v>
                </c:pt>
                <c:pt idx="559">
                  <c:v>0.56000000000000005</c:v>
                </c:pt>
                <c:pt idx="560">
                  <c:v>0.56000000000000005</c:v>
                </c:pt>
                <c:pt idx="561">
                  <c:v>0.45</c:v>
                </c:pt>
                <c:pt idx="562">
                  <c:v>0.42</c:v>
                </c:pt>
                <c:pt idx="563">
                  <c:v>0.42</c:v>
                </c:pt>
                <c:pt idx="564">
                  <c:v>0.45</c:v>
                </c:pt>
                <c:pt idx="565">
                  <c:v>0.49</c:v>
                </c:pt>
                <c:pt idx="566">
                  <c:v>0.65</c:v>
                </c:pt>
                <c:pt idx="567">
                  <c:v>0.65</c:v>
                </c:pt>
                <c:pt idx="568">
                  <c:v>0.65</c:v>
                </c:pt>
                <c:pt idx="569">
                  <c:v>0.64</c:v>
                </c:pt>
                <c:pt idx="570">
                  <c:v>0.64</c:v>
                </c:pt>
                <c:pt idx="571">
                  <c:v>0.69</c:v>
                </c:pt>
                <c:pt idx="572">
                  <c:v>0.65</c:v>
                </c:pt>
                <c:pt idx="573">
                  <c:v>0.69</c:v>
                </c:pt>
                <c:pt idx="574">
                  <c:v>0.86</c:v>
                </c:pt>
                <c:pt idx="575">
                  <c:v>0.86</c:v>
                </c:pt>
                <c:pt idx="576">
                  <c:v>0.87</c:v>
                </c:pt>
                <c:pt idx="577">
                  <c:v>0.87</c:v>
                </c:pt>
                <c:pt idx="578">
                  <c:v>0.87</c:v>
                </c:pt>
                <c:pt idx="579">
                  <c:v>0.93</c:v>
                </c:pt>
                <c:pt idx="580">
                  <c:v>0.93</c:v>
                </c:pt>
                <c:pt idx="581">
                  <c:v>0.93</c:v>
                </c:pt>
                <c:pt idx="582">
                  <c:v>0.93</c:v>
                </c:pt>
                <c:pt idx="583">
                  <c:v>0.93</c:v>
                </c:pt>
                <c:pt idx="584">
                  <c:v>0.93</c:v>
                </c:pt>
                <c:pt idx="585">
                  <c:v>0.93</c:v>
                </c:pt>
                <c:pt idx="586">
                  <c:v>0.93</c:v>
                </c:pt>
                <c:pt idx="587">
                  <c:v>0.55000000000000004</c:v>
                </c:pt>
                <c:pt idx="588">
                  <c:v>0.55000000000000004</c:v>
                </c:pt>
                <c:pt idx="589">
                  <c:v>0.69</c:v>
                </c:pt>
                <c:pt idx="590">
                  <c:v>0.69</c:v>
                </c:pt>
                <c:pt idx="591">
                  <c:v>0.74</c:v>
                </c:pt>
                <c:pt idx="592">
                  <c:v>0.74</c:v>
                </c:pt>
                <c:pt idx="593">
                  <c:v>0.74</c:v>
                </c:pt>
                <c:pt idx="594">
                  <c:v>0.8</c:v>
                </c:pt>
                <c:pt idx="595">
                  <c:v>0.75</c:v>
                </c:pt>
                <c:pt idx="596">
                  <c:v>0.75</c:v>
                </c:pt>
                <c:pt idx="597">
                  <c:v>0.75</c:v>
                </c:pt>
                <c:pt idx="598">
                  <c:v>0.75</c:v>
                </c:pt>
                <c:pt idx="599">
                  <c:v>0.8</c:v>
                </c:pt>
                <c:pt idx="600">
                  <c:v>0.8</c:v>
                </c:pt>
                <c:pt idx="601">
                  <c:v>0.86</c:v>
                </c:pt>
                <c:pt idx="602">
                  <c:v>0.86</c:v>
                </c:pt>
                <c:pt idx="603">
                  <c:v>0.86</c:v>
                </c:pt>
                <c:pt idx="604">
                  <c:v>0.86</c:v>
                </c:pt>
                <c:pt idx="605">
                  <c:v>0.93</c:v>
                </c:pt>
                <c:pt idx="606">
                  <c:v>0.93</c:v>
                </c:pt>
                <c:pt idx="607">
                  <c:v>0.93</c:v>
                </c:pt>
                <c:pt idx="608">
                  <c:v>0.8</c:v>
                </c:pt>
                <c:pt idx="609">
                  <c:v>0.86</c:v>
                </c:pt>
                <c:pt idx="610">
                  <c:v>0.8</c:v>
                </c:pt>
                <c:pt idx="611">
                  <c:v>0.75</c:v>
                </c:pt>
                <c:pt idx="612">
                  <c:v>0.75</c:v>
                </c:pt>
                <c:pt idx="613">
                  <c:v>0.75</c:v>
                </c:pt>
                <c:pt idx="614">
                  <c:v>0.7</c:v>
                </c:pt>
                <c:pt idx="615">
                  <c:v>0.75</c:v>
                </c:pt>
                <c:pt idx="616">
                  <c:v>0.65</c:v>
                </c:pt>
                <c:pt idx="617">
                  <c:v>0.6</c:v>
                </c:pt>
                <c:pt idx="618">
                  <c:v>0.64</c:v>
                </c:pt>
                <c:pt idx="619">
                  <c:v>0.64</c:v>
                </c:pt>
                <c:pt idx="620">
                  <c:v>0.64</c:v>
                </c:pt>
                <c:pt idx="621">
                  <c:v>0.64</c:v>
                </c:pt>
                <c:pt idx="622">
                  <c:v>0.69</c:v>
                </c:pt>
                <c:pt idx="623">
                  <c:v>0.64</c:v>
                </c:pt>
                <c:pt idx="624">
                  <c:v>0.59</c:v>
                </c:pt>
                <c:pt idx="625">
                  <c:v>0.55000000000000004</c:v>
                </c:pt>
                <c:pt idx="626">
                  <c:v>0.59</c:v>
                </c:pt>
                <c:pt idx="627">
                  <c:v>0.64</c:v>
                </c:pt>
                <c:pt idx="628">
                  <c:v>0.64</c:v>
                </c:pt>
                <c:pt idx="629">
                  <c:v>0.59</c:v>
                </c:pt>
                <c:pt idx="630">
                  <c:v>0.55000000000000004</c:v>
                </c:pt>
                <c:pt idx="631">
                  <c:v>0.6</c:v>
                </c:pt>
                <c:pt idx="632">
                  <c:v>0.69</c:v>
                </c:pt>
                <c:pt idx="633">
                  <c:v>0.6</c:v>
                </c:pt>
                <c:pt idx="634">
                  <c:v>0.6</c:v>
                </c:pt>
                <c:pt idx="635">
                  <c:v>0.69</c:v>
                </c:pt>
                <c:pt idx="636">
                  <c:v>0.69</c:v>
                </c:pt>
                <c:pt idx="637">
                  <c:v>0.74</c:v>
                </c:pt>
                <c:pt idx="638">
                  <c:v>0.74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0.93</c:v>
                </c:pt>
                <c:pt idx="645">
                  <c:v>0.93</c:v>
                </c:pt>
                <c:pt idx="646">
                  <c:v>0.86</c:v>
                </c:pt>
                <c:pt idx="647">
                  <c:v>0.86</c:v>
                </c:pt>
                <c:pt idx="648">
                  <c:v>0.86</c:v>
                </c:pt>
                <c:pt idx="649">
                  <c:v>0.8</c:v>
                </c:pt>
                <c:pt idx="650">
                  <c:v>0.8</c:v>
                </c:pt>
                <c:pt idx="651">
                  <c:v>0.75</c:v>
                </c:pt>
                <c:pt idx="652">
                  <c:v>0.52</c:v>
                </c:pt>
                <c:pt idx="653">
                  <c:v>0.61</c:v>
                </c:pt>
                <c:pt idx="654">
                  <c:v>0.61</c:v>
                </c:pt>
                <c:pt idx="655">
                  <c:v>0.56000000000000005</c:v>
                </c:pt>
                <c:pt idx="656">
                  <c:v>0.56000000000000005</c:v>
                </c:pt>
                <c:pt idx="657">
                  <c:v>0.56000000000000005</c:v>
                </c:pt>
                <c:pt idx="658">
                  <c:v>0.65</c:v>
                </c:pt>
                <c:pt idx="659">
                  <c:v>0.65</c:v>
                </c:pt>
                <c:pt idx="660">
                  <c:v>0.65</c:v>
                </c:pt>
                <c:pt idx="661">
                  <c:v>0.7</c:v>
                </c:pt>
                <c:pt idx="662">
                  <c:v>0.7</c:v>
                </c:pt>
                <c:pt idx="663">
                  <c:v>0.65</c:v>
                </c:pt>
                <c:pt idx="664">
                  <c:v>0.65</c:v>
                </c:pt>
                <c:pt idx="665">
                  <c:v>0.64</c:v>
                </c:pt>
                <c:pt idx="666">
                  <c:v>0.64</c:v>
                </c:pt>
                <c:pt idx="667">
                  <c:v>0.64</c:v>
                </c:pt>
                <c:pt idx="668">
                  <c:v>0.59</c:v>
                </c:pt>
                <c:pt idx="669">
                  <c:v>0.64</c:v>
                </c:pt>
                <c:pt idx="670">
                  <c:v>0.69</c:v>
                </c:pt>
                <c:pt idx="671">
                  <c:v>0.64</c:v>
                </c:pt>
                <c:pt idx="672">
                  <c:v>0.59</c:v>
                </c:pt>
                <c:pt idx="673">
                  <c:v>0.59</c:v>
                </c:pt>
                <c:pt idx="674">
                  <c:v>0.59</c:v>
                </c:pt>
                <c:pt idx="675">
                  <c:v>0.59</c:v>
                </c:pt>
                <c:pt idx="676">
                  <c:v>0.55000000000000004</c:v>
                </c:pt>
                <c:pt idx="677">
                  <c:v>0.59</c:v>
                </c:pt>
                <c:pt idx="678">
                  <c:v>0.55000000000000004</c:v>
                </c:pt>
                <c:pt idx="679">
                  <c:v>0.59</c:v>
                </c:pt>
                <c:pt idx="680">
                  <c:v>0.56000000000000005</c:v>
                </c:pt>
                <c:pt idx="681">
                  <c:v>0.59</c:v>
                </c:pt>
                <c:pt idx="682">
                  <c:v>0.55000000000000004</c:v>
                </c:pt>
                <c:pt idx="683">
                  <c:v>0.61</c:v>
                </c:pt>
                <c:pt idx="684">
                  <c:v>0.59</c:v>
                </c:pt>
                <c:pt idx="685">
                  <c:v>0.59</c:v>
                </c:pt>
                <c:pt idx="686">
                  <c:v>0.59</c:v>
                </c:pt>
                <c:pt idx="687">
                  <c:v>0.64</c:v>
                </c:pt>
                <c:pt idx="688">
                  <c:v>0.64</c:v>
                </c:pt>
                <c:pt idx="689">
                  <c:v>0.69</c:v>
                </c:pt>
                <c:pt idx="690">
                  <c:v>0.69</c:v>
                </c:pt>
                <c:pt idx="691">
                  <c:v>0.69</c:v>
                </c:pt>
                <c:pt idx="692">
                  <c:v>0.93</c:v>
                </c:pt>
                <c:pt idx="693">
                  <c:v>0.93</c:v>
                </c:pt>
                <c:pt idx="694">
                  <c:v>0.93</c:v>
                </c:pt>
                <c:pt idx="695">
                  <c:v>0.93</c:v>
                </c:pt>
                <c:pt idx="696">
                  <c:v>0.93</c:v>
                </c:pt>
                <c:pt idx="697">
                  <c:v>0.93</c:v>
                </c:pt>
                <c:pt idx="698">
                  <c:v>0.86</c:v>
                </c:pt>
                <c:pt idx="699">
                  <c:v>0.86</c:v>
                </c:pt>
                <c:pt idx="700">
                  <c:v>0.86</c:v>
                </c:pt>
                <c:pt idx="701">
                  <c:v>0.8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0.81</c:v>
                </c:pt>
                <c:pt idx="706">
                  <c:v>0.81</c:v>
                </c:pt>
                <c:pt idx="707">
                  <c:v>0.87</c:v>
                </c:pt>
                <c:pt idx="708">
                  <c:v>0.87</c:v>
                </c:pt>
                <c:pt idx="709">
                  <c:v>0.87</c:v>
                </c:pt>
                <c:pt idx="710">
                  <c:v>0.93</c:v>
                </c:pt>
                <c:pt idx="711">
                  <c:v>0.93</c:v>
                </c:pt>
                <c:pt idx="712">
                  <c:v>0.93</c:v>
                </c:pt>
                <c:pt idx="713">
                  <c:v>0.93</c:v>
                </c:pt>
                <c:pt idx="714">
                  <c:v>0.93</c:v>
                </c:pt>
                <c:pt idx="715">
                  <c:v>0.93</c:v>
                </c:pt>
                <c:pt idx="716">
                  <c:v>0.93</c:v>
                </c:pt>
                <c:pt idx="717">
                  <c:v>0.93</c:v>
                </c:pt>
                <c:pt idx="718">
                  <c:v>0.93</c:v>
                </c:pt>
                <c:pt idx="719">
                  <c:v>0.93</c:v>
                </c:pt>
                <c:pt idx="720">
                  <c:v>0.93</c:v>
                </c:pt>
                <c:pt idx="721">
                  <c:v>1</c:v>
                </c:pt>
                <c:pt idx="722">
                  <c:v>0.93</c:v>
                </c:pt>
                <c:pt idx="723">
                  <c:v>0.93</c:v>
                </c:pt>
                <c:pt idx="724">
                  <c:v>0.93</c:v>
                </c:pt>
                <c:pt idx="725">
                  <c:v>0.82</c:v>
                </c:pt>
                <c:pt idx="726">
                  <c:v>0.76</c:v>
                </c:pt>
                <c:pt idx="727">
                  <c:v>0.71</c:v>
                </c:pt>
                <c:pt idx="728">
                  <c:v>0.53</c:v>
                </c:pt>
                <c:pt idx="729">
                  <c:v>0.42</c:v>
                </c:pt>
                <c:pt idx="730">
                  <c:v>0.45</c:v>
                </c:pt>
                <c:pt idx="731">
                  <c:v>0.48</c:v>
                </c:pt>
                <c:pt idx="732">
                  <c:v>0.47</c:v>
                </c:pt>
                <c:pt idx="733">
                  <c:v>0.44</c:v>
                </c:pt>
                <c:pt idx="734">
                  <c:v>0.44</c:v>
                </c:pt>
                <c:pt idx="735">
                  <c:v>0.4</c:v>
                </c:pt>
                <c:pt idx="736">
                  <c:v>0.44</c:v>
                </c:pt>
                <c:pt idx="737">
                  <c:v>0.43</c:v>
                </c:pt>
                <c:pt idx="738">
                  <c:v>0.43</c:v>
                </c:pt>
                <c:pt idx="739">
                  <c:v>0.5</c:v>
                </c:pt>
                <c:pt idx="740">
                  <c:v>0.43</c:v>
                </c:pt>
                <c:pt idx="741">
                  <c:v>0.5</c:v>
                </c:pt>
                <c:pt idx="742">
                  <c:v>0.5</c:v>
                </c:pt>
                <c:pt idx="743">
                  <c:v>0.47</c:v>
                </c:pt>
                <c:pt idx="744">
                  <c:v>0.43</c:v>
                </c:pt>
                <c:pt idx="745">
                  <c:v>0.43</c:v>
                </c:pt>
                <c:pt idx="746">
                  <c:v>0.4</c:v>
                </c:pt>
                <c:pt idx="747">
                  <c:v>0.4</c:v>
                </c:pt>
                <c:pt idx="748">
                  <c:v>0.37</c:v>
                </c:pt>
                <c:pt idx="749">
                  <c:v>0.37</c:v>
                </c:pt>
                <c:pt idx="750">
                  <c:v>0.37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0.47</c:v>
                </c:pt>
                <c:pt idx="755">
                  <c:v>0.55000000000000004</c:v>
                </c:pt>
                <c:pt idx="756">
                  <c:v>0.51</c:v>
                </c:pt>
                <c:pt idx="757">
                  <c:v>0.47</c:v>
                </c:pt>
                <c:pt idx="758">
                  <c:v>0.44</c:v>
                </c:pt>
                <c:pt idx="759">
                  <c:v>0.59</c:v>
                </c:pt>
                <c:pt idx="760">
                  <c:v>0.63</c:v>
                </c:pt>
                <c:pt idx="761">
                  <c:v>0.63</c:v>
                </c:pt>
                <c:pt idx="762">
                  <c:v>0.63</c:v>
                </c:pt>
                <c:pt idx="763">
                  <c:v>0.55000000000000004</c:v>
                </c:pt>
                <c:pt idx="764">
                  <c:v>0.59</c:v>
                </c:pt>
                <c:pt idx="765">
                  <c:v>0.74</c:v>
                </c:pt>
                <c:pt idx="766">
                  <c:v>0.8</c:v>
                </c:pt>
                <c:pt idx="767">
                  <c:v>0.51</c:v>
                </c:pt>
                <c:pt idx="768">
                  <c:v>0.51</c:v>
                </c:pt>
                <c:pt idx="769">
                  <c:v>0.48</c:v>
                </c:pt>
                <c:pt idx="770">
                  <c:v>0.5</c:v>
                </c:pt>
                <c:pt idx="771">
                  <c:v>0.45</c:v>
                </c:pt>
                <c:pt idx="772">
                  <c:v>0.48</c:v>
                </c:pt>
                <c:pt idx="773">
                  <c:v>0.42</c:v>
                </c:pt>
                <c:pt idx="774">
                  <c:v>0.56000000000000005</c:v>
                </c:pt>
                <c:pt idx="775">
                  <c:v>0.6</c:v>
                </c:pt>
                <c:pt idx="776">
                  <c:v>0.65</c:v>
                </c:pt>
                <c:pt idx="777">
                  <c:v>0.65</c:v>
                </c:pt>
                <c:pt idx="778">
                  <c:v>0.7</c:v>
                </c:pt>
                <c:pt idx="779">
                  <c:v>0.65</c:v>
                </c:pt>
                <c:pt idx="780">
                  <c:v>0.7</c:v>
                </c:pt>
                <c:pt idx="781">
                  <c:v>0.7</c:v>
                </c:pt>
                <c:pt idx="782">
                  <c:v>0.65</c:v>
                </c:pt>
                <c:pt idx="783">
                  <c:v>0.75</c:v>
                </c:pt>
                <c:pt idx="784">
                  <c:v>0.75</c:v>
                </c:pt>
                <c:pt idx="785">
                  <c:v>0.93</c:v>
                </c:pt>
                <c:pt idx="786">
                  <c:v>1</c:v>
                </c:pt>
                <c:pt idx="787">
                  <c:v>1</c:v>
                </c:pt>
                <c:pt idx="788">
                  <c:v>0.93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0.93</c:v>
                </c:pt>
                <c:pt idx="800">
                  <c:v>0.93</c:v>
                </c:pt>
                <c:pt idx="801">
                  <c:v>0.87</c:v>
                </c:pt>
                <c:pt idx="802">
                  <c:v>1</c:v>
                </c:pt>
                <c:pt idx="803">
                  <c:v>0.93</c:v>
                </c:pt>
                <c:pt idx="804">
                  <c:v>0.93</c:v>
                </c:pt>
                <c:pt idx="805">
                  <c:v>0.7</c:v>
                </c:pt>
                <c:pt idx="806">
                  <c:v>0.65</c:v>
                </c:pt>
                <c:pt idx="807">
                  <c:v>0.6</c:v>
                </c:pt>
                <c:pt idx="808">
                  <c:v>0.6</c:v>
                </c:pt>
                <c:pt idx="809">
                  <c:v>0.6</c:v>
                </c:pt>
                <c:pt idx="810">
                  <c:v>0.6</c:v>
                </c:pt>
                <c:pt idx="811">
                  <c:v>0.6</c:v>
                </c:pt>
                <c:pt idx="812">
                  <c:v>0.65</c:v>
                </c:pt>
                <c:pt idx="813">
                  <c:v>0.65</c:v>
                </c:pt>
                <c:pt idx="814">
                  <c:v>0.56000000000000005</c:v>
                </c:pt>
                <c:pt idx="815">
                  <c:v>0.52</c:v>
                </c:pt>
                <c:pt idx="816">
                  <c:v>0.49</c:v>
                </c:pt>
                <c:pt idx="817">
                  <c:v>0.46</c:v>
                </c:pt>
                <c:pt idx="818">
                  <c:v>0.46</c:v>
                </c:pt>
                <c:pt idx="819">
                  <c:v>0.46</c:v>
                </c:pt>
                <c:pt idx="820">
                  <c:v>0.46</c:v>
                </c:pt>
                <c:pt idx="821">
                  <c:v>0.49</c:v>
                </c:pt>
                <c:pt idx="822">
                  <c:v>0.46</c:v>
                </c:pt>
                <c:pt idx="823">
                  <c:v>0.56000000000000005</c:v>
                </c:pt>
                <c:pt idx="824">
                  <c:v>0.61</c:v>
                </c:pt>
                <c:pt idx="825">
                  <c:v>0.61</c:v>
                </c:pt>
                <c:pt idx="826">
                  <c:v>0.6</c:v>
                </c:pt>
                <c:pt idx="827">
                  <c:v>0.6</c:v>
                </c:pt>
                <c:pt idx="828">
                  <c:v>0.65</c:v>
                </c:pt>
                <c:pt idx="829">
                  <c:v>0.65</c:v>
                </c:pt>
                <c:pt idx="830">
                  <c:v>0.75</c:v>
                </c:pt>
                <c:pt idx="831">
                  <c:v>0.8</c:v>
                </c:pt>
                <c:pt idx="832">
                  <c:v>0.86</c:v>
                </c:pt>
                <c:pt idx="833">
                  <c:v>0.86</c:v>
                </c:pt>
                <c:pt idx="834">
                  <c:v>0.86</c:v>
                </c:pt>
                <c:pt idx="835">
                  <c:v>0.93</c:v>
                </c:pt>
                <c:pt idx="836">
                  <c:v>0.86</c:v>
                </c:pt>
                <c:pt idx="837">
                  <c:v>1</c:v>
                </c:pt>
                <c:pt idx="838">
                  <c:v>0.8</c:v>
                </c:pt>
                <c:pt idx="839">
                  <c:v>0.75</c:v>
                </c:pt>
                <c:pt idx="840">
                  <c:v>0.65</c:v>
                </c:pt>
                <c:pt idx="841">
                  <c:v>0.62</c:v>
                </c:pt>
                <c:pt idx="842">
                  <c:v>0.56999999999999995</c:v>
                </c:pt>
                <c:pt idx="843">
                  <c:v>0.56999999999999995</c:v>
                </c:pt>
                <c:pt idx="844">
                  <c:v>0.54</c:v>
                </c:pt>
                <c:pt idx="845">
                  <c:v>0.56999999999999995</c:v>
                </c:pt>
                <c:pt idx="846">
                  <c:v>0.7</c:v>
                </c:pt>
                <c:pt idx="847">
                  <c:v>0.66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0.81</c:v>
                </c:pt>
                <c:pt idx="852">
                  <c:v>0.81</c:v>
                </c:pt>
                <c:pt idx="853">
                  <c:v>0.87</c:v>
                </c:pt>
                <c:pt idx="854">
                  <c:v>0.87</c:v>
                </c:pt>
                <c:pt idx="855">
                  <c:v>0.93</c:v>
                </c:pt>
                <c:pt idx="856">
                  <c:v>0.93</c:v>
                </c:pt>
                <c:pt idx="857">
                  <c:v>0.93</c:v>
                </c:pt>
                <c:pt idx="858">
                  <c:v>0.81</c:v>
                </c:pt>
                <c:pt idx="859">
                  <c:v>0.7</c:v>
                </c:pt>
                <c:pt idx="860">
                  <c:v>0.65</c:v>
                </c:pt>
                <c:pt idx="861">
                  <c:v>0.56000000000000005</c:v>
                </c:pt>
                <c:pt idx="862">
                  <c:v>0.52</c:v>
                </c:pt>
                <c:pt idx="863">
                  <c:v>0.47</c:v>
                </c:pt>
                <c:pt idx="864">
                  <c:v>0.47</c:v>
                </c:pt>
                <c:pt idx="865">
                  <c:v>0.38</c:v>
                </c:pt>
                <c:pt idx="866">
                  <c:v>0.32</c:v>
                </c:pt>
                <c:pt idx="867">
                  <c:v>0.37</c:v>
                </c:pt>
                <c:pt idx="868">
                  <c:v>0.35</c:v>
                </c:pt>
                <c:pt idx="869">
                  <c:v>0.35</c:v>
                </c:pt>
                <c:pt idx="870">
                  <c:v>0.32</c:v>
                </c:pt>
                <c:pt idx="871">
                  <c:v>0.32</c:v>
                </c:pt>
                <c:pt idx="872">
                  <c:v>0.4</c:v>
                </c:pt>
                <c:pt idx="873">
                  <c:v>0.4</c:v>
                </c:pt>
                <c:pt idx="874">
                  <c:v>0.33</c:v>
                </c:pt>
                <c:pt idx="875">
                  <c:v>0.33</c:v>
                </c:pt>
                <c:pt idx="876">
                  <c:v>0.33</c:v>
                </c:pt>
                <c:pt idx="877">
                  <c:v>0.36</c:v>
                </c:pt>
                <c:pt idx="878">
                  <c:v>0.36</c:v>
                </c:pt>
                <c:pt idx="879">
                  <c:v>0.38</c:v>
                </c:pt>
                <c:pt idx="880">
                  <c:v>0.45</c:v>
                </c:pt>
                <c:pt idx="881">
                  <c:v>0.45</c:v>
                </c:pt>
                <c:pt idx="882">
                  <c:v>0.45</c:v>
                </c:pt>
                <c:pt idx="883">
                  <c:v>0.49</c:v>
                </c:pt>
                <c:pt idx="884">
                  <c:v>0.42</c:v>
                </c:pt>
                <c:pt idx="885">
                  <c:v>0.39</c:v>
                </c:pt>
                <c:pt idx="886">
                  <c:v>0.36</c:v>
                </c:pt>
                <c:pt idx="887">
                  <c:v>0.43</c:v>
                </c:pt>
                <c:pt idx="888">
                  <c:v>0.4</c:v>
                </c:pt>
                <c:pt idx="889">
                  <c:v>0.4</c:v>
                </c:pt>
                <c:pt idx="890">
                  <c:v>0.34</c:v>
                </c:pt>
                <c:pt idx="891">
                  <c:v>0.34</c:v>
                </c:pt>
                <c:pt idx="892">
                  <c:v>0.37</c:v>
                </c:pt>
                <c:pt idx="893">
                  <c:v>0.34</c:v>
                </c:pt>
                <c:pt idx="894">
                  <c:v>0.47</c:v>
                </c:pt>
                <c:pt idx="895">
                  <c:v>0.86</c:v>
                </c:pt>
                <c:pt idx="896">
                  <c:v>0.86</c:v>
                </c:pt>
                <c:pt idx="897">
                  <c:v>0.86</c:v>
                </c:pt>
                <c:pt idx="898">
                  <c:v>0.8</c:v>
                </c:pt>
                <c:pt idx="899">
                  <c:v>0.8</c:v>
                </c:pt>
                <c:pt idx="900">
                  <c:v>0.86</c:v>
                </c:pt>
                <c:pt idx="901">
                  <c:v>0.8</c:v>
                </c:pt>
                <c:pt idx="902">
                  <c:v>0.8</c:v>
                </c:pt>
                <c:pt idx="903">
                  <c:v>0.59</c:v>
                </c:pt>
                <c:pt idx="904">
                  <c:v>0.5</c:v>
                </c:pt>
                <c:pt idx="905">
                  <c:v>0.54</c:v>
                </c:pt>
                <c:pt idx="906">
                  <c:v>0.5</c:v>
                </c:pt>
                <c:pt idx="907">
                  <c:v>0.49</c:v>
                </c:pt>
                <c:pt idx="908">
                  <c:v>0.42</c:v>
                </c:pt>
                <c:pt idx="909">
                  <c:v>0.42</c:v>
                </c:pt>
                <c:pt idx="910">
                  <c:v>0.39</c:v>
                </c:pt>
                <c:pt idx="911">
                  <c:v>0.34</c:v>
                </c:pt>
                <c:pt idx="912">
                  <c:v>0.28999999999999998</c:v>
                </c:pt>
                <c:pt idx="913">
                  <c:v>0.27</c:v>
                </c:pt>
                <c:pt idx="914">
                  <c:v>0.25</c:v>
                </c:pt>
                <c:pt idx="915">
                  <c:v>0.27</c:v>
                </c:pt>
                <c:pt idx="916">
                  <c:v>0.26</c:v>
                </c:pt>
                <c:pt idx="917">
                  <c:v>0.28000000000000003</c:v>
                </c:pt>
                <c:pt idx="918">
                  <c:v>0.28000000000000003</c:v>
                </c:pt>
                <c:pt idx="919">
                  <c:v>0.31</c:v>
                </c:pt>
                <c:pt idx="920">
                  <c:v>0.39</c:v>
                </c:pt>
                <c:pt idx="921">
                  <c:v>0.39</c:v>
                </c:pt>
                <c:pt idx="922">
                  <c:v>0.42</c:v>
                </c:pt>
                <c:pt idx="923">
                  <c:v>0.49</c:v>
                </c:pt>
                <c:pt idx="924">
                  <c:v>0.54</c:v>
                </c:pt>
                <c:pt idx="925">
                  <c:v>0.54</c:v>
                </c:pt>
                <c:pt idx="926">
                  <c:v>0.63</c:v>
                </c:pt>
                <c:pt idx="927">
                  <c:v>0.68</c:v>
                </c:pt>
                <c:pt idx="928">
                  <c:v>0.73</c:v>
                </c:pt>
                <c:pt idx="929">
                  <c:v>0.74</c:v>
                </c:pt>
                <c:pt idx="930">
                  <c:v>0.74</c:v>
                </c:pt>
                <c:pt idx="931">
                  <c:v>0.69</c:v>
                </c:pt>
                <c:pt idx="932">
                  <c:v>0.47</c:v>
                </c:pt>
                <c:pt idx="933">
                  <c:v>0.47</c:v>
                </c:pt>
                <c:pt idx="934">
                  <c:v>0.35</c:v>
                </c:pt>
                <c:pt idx="935">
                  <c:v>0.26</c:v>
                </c:pt>
                <c:pt idx="936">
                  <c:v>0.21</c:v>
                </c:pt>
                <c:pt idx="937">
                  <c:v>0.28000000000000003</c:v>
                </c:pt>
                <c:pt idx="938">
                  <c:v>0.24</c:v>
                </c:pt>
                <c:pt idx="939">
                  <c:v>0.28000000000000003</c:v>
                </c:pt>
                <c:pt idx="940">
                  <c:v>0.33</c:v>
                </c:pt>
                <c:pt idx="941">
                  <c:v>0.55000000000000004</c:v>
                </c:pt>
                <c:pt idx="942">
                  <c:v>0.59</c:v>
                </c:pt>
                <c:pt idx="943">
                  <c:v>0.64</c:v>
                </c:pt>
                <c:pt idx="944">
                  <c:v>0.69</c:v>
                </c:pt>
                <c:pt idx="945">
                  <c:v>0.69</c:v>
                </c:pt>
                <c:pt idx="946">
                  <c:v>0.86</c:v>
                </c:pt>
                <c:pt idx="947">
                  <c:v>0.8</c:v>
                </c:pt>
                <c:pt idx="948">
                  <c:v>0.8</c:v>
                </c:pt>
                <c:pt idx="949">
                  <c:v>0.74</c:v>
                </c:pt>
                <c:pt idx="950">
                  <c:v>0.74</c:v>
                </c:pt>
                <c:pt idx="951">
                  <c:v>0.93</c:v>
                </c:pt>
                <c:pt idx="952">
                  <c:v>0.8</c:v>
                </c:pt>
                <c:pt idx="953">
                  <c:v>0.86</c:v>
                </c:pt>
                <c:pt idx="954">
                  <c:v>0.64</c:v>
                </c:pt>
                <c:pt idx="955">
                  <c:v>0.41</c:v>
                </c:pt>
                <c:pt idx="956">
                  <c:v>0.28000000000000003</c:v>
                </c:pt>
                <c:pt idx="957">
                  <c:v>0.39</c:v>
                </c:pt>
                <c:pt idx="958">
                  <c:v>0.39</c:v>
                </c:pt>
                <c:pt idx="959">
                  <c:v>0.31</c:v>
                </c:pt>
                <c:pt idx="960">
                  <c:v>0.28999999999999998</c:v>
                </c:pt>
                <c:pt idx="961">
                  <c:v>0.28999999999999998</c:v>
                </c:pt>
                <c:pt idx="962">
                  <c:v>0.31</c:v>
                </c:pt>
                <c:pt idx="963">
                  <c:v>0.38</c:v>
                </c:pt>
                <c:pt idx="964">
                  <c:v>0.38</c:v>
                </c:pt>
                <c:pt idx="965">
                  <c:v>0.41</c:v>
                </c:pt>
                <c:pt idx="966">
                  <c:v>0.41</c:v>
                </c:pt>
                <c:pt idx="967">
                  <c:v>0.44</c:v>
                </c:pt>
                <c:pt idx="968">
                  <c:v>0.51</c:v>
                </c:pt>
                <c:pt idx="969">
                  <c:v>0.64</c:v>
                </c:pt>
                <c:pt idx="970">
                  <c:v>0.59</c:v>
                </c:pt>
                <c:pt idx="971">
                  <c:v>0.75</c:v>
                </c:pt>
                <c:pt idx="972">
                  <c:v>0.69</c:v>
                </c:pt>
                <c:pt idx="973">
                  <c:v>0.69</c:v>
                </c:pt>
                <c:pt idx="974">
                  <c:v>0.69</c:v>
                </c:pt>
                <c:pt idx="975">
                  <c:v>0.55000000000000004</c:v>
                </c:pt>
                <c:pt idx="976">
                  <c:v>0.64</c:v>
                </c:pt>
                <c:pt idx="977">
                  <c:v>0.6</c:v>
                </c:pt>
                <c:pt idx="978">
                  <c:v>0.45</c:v>
                </c:pt>
                <c:pt idx="979">
                  <c:v>0.39</c:v>
                </c:pt>
                <c:pt idx="980">
                  <c:v>0.32</c:v>
                </c:pt>
                <c:pt idx="981">
                  <c:v>0.28999999999999998</c:v>
                </c:pt>
                <c:pt idx="982">
                  <c:v>0.3</c:v>
                </c:pt>
                <c:pt idx="983">
                  <c:v>0.3</c:v>
                </c:pt>
                <c:pt idx="984">
                  <c:v>0.28000000000000003</c:v>
                </c:pt>
                <c:pt idx="985">
                  <c:v>0.28000000000000003</c:v>
                </c:pt>
                <c:pt idx="986">
                  <c:v>0.32</c:v>
                </c:pt>
                <c:pt idx="987">
                  <c:v>0.35</c:v>
                </c:pt>
                <c:pt idx="988">
                  <c:v>0.35</c:v>
                </c:pt>
                <c:pt idx="989">
                  <c:v>0.35</c:v>
                </c:pt>
                <c:pt idx="990">
                  <c:v>0.35</c:v>
                </c:pt>
                <c:pt idx="991">
                  <c:v>0.35</c:v>
                </c:pt>
                <c:pt idx="992">
                  <c:v>0.37</c:v>
                </c:pt>
                <c:pt idx="993">
                  <c:v>0.37</c:v>
                </c:pt>
                <c:pt idx="994">
                  <c:v>0.4</c:v>
                </c:pt>
                <c:pt idx="995">
                  <c:v>0.46</c:v>
                </c:pt>
                <c:pt idx="996">
                  <c:v>0.53</c:v>
                </c:pt>
                <c:pt idx="997">
                  <c:v>0.53</c:v>
                </c:pt>
                <c:pt idx="998">
                  <c:v>0.46</c:v>
                </c:pt>
                <c:pt idx="999">
                  <c:v>0.46</c:v>
                </c:pt>
              </c:numCache>
            </c:numRef>
          </c:xVal>
          <c:yVal>
            <c:numRef>
              <c:f>[1]dataset_1!$P$2:$P$1001</c:f>
              <c:numCache>
                <c:formatCode>General</c:formatCode>
                <c:ptCount val="1000"/>
                <c:pt idx="0">
                  <c:v>16</c:v>
                </c:pt>
                <c:pt idx="1">
                  <c:v>40</c:v>
                </c:pt>
                <c:pt idx="2">
                  <c:v>32</c:v>
                </c:pt>
                <c:pt idx="3">
                  <c:v>13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8</c:v>
                </c:pt>
                <c:pt idx="9">
                  <c:v>14</c:v>
                </c:pt>
                <c:pt idx="10">
                  <c:v>36</c:v>
                </c:pt>
                <c:pt idx="11">
                  <c:v>56</c:v>
                </c:pt>
                <c:pt idx="12">
                  <c:v>84</c:v>
                </c:pt>
                <c:pt idx="13">
                  <c:v>94</c:v>
                </c:pt>
                <c:pt idx="14">
                  <c:v>106</c:v>
                </c:pt>
                <c:pt idx="15">
                  <c:v>110</c:v>
                </c:pt>
                <c:pt idx="16">
                  <c:v>93</c:v>
                </c:pt>
                <c:pt idx="17">
                  <c:v>67</c:v>
                </c:pt>
                <c:pt idx="18">
                  <c:v>35</c:v>
                </c:pt>
                <c:pt idx="19">
                  <c:v>37</c:v>
                </c:pt>
                <c:pt idx="20">
                  <c:v>36</c:v>
                </c:pt>
                <c:pt idx="21">
                  <c:v>34</c:v>
                </c:pt>
                <c:pt idx="22">
                  <c:v>28</c:v>
                </c:pt>
                <c:pt idx="23">
                  <c:v>39</c:v>
                </c:pt>
                <c:pt idx="24">
                  <c:v>17</c:v>
                </c:pt>
                <c:pt idx="25">
                  <c:v>17</c:v>
                </c:pt>
                <c:pt idx="26">
                  <c:v>9</c:v>
                </c:pt>
                <c:pt idx="27">
                  <c:v>6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8</c:v>
                </c:pt>
                <c:pt idx="32">
                  <c:v>20</c:v>
                </c:pt>
                <c:pt idx="33">
                  <c:v>53</c:v>
                </c:pt>
                <c:pt idx="34">
                  <c:v>70</c:v>
                </c:pt>
                <c:pt idx="35">
                  <c:v>93</c:v>
                </c:pt>
                <c:pt idx="36">
                  <c:v>75</c:v>
                </c:pt>
                <c:pt idx="37">
                  <c:v>59</c:v>
                </c:pt>
                <c:pt idx="38">
                  <c:v>74</c:v>
                </c:pt>
                <c:pt idx="39">
                  <c:v>76</c:v>
                </c:pt>
                <c:pt idx="40">
                  <c:v>65</c:v>
                </c:pt>
                <c:pt idx="41">
                  <c:v>53</c:v>
                </c:pt>
                <c:pt idx="42">
                  <c:v>30</c:v>
                </c:pt>
                <c:pt idx="43">
                  <c:v>22</c:v>
                </c:pt>
                <c:pt idx="44">
                  <c:v>31</c:v>
                </c:pt>
                <c:pt idx="45">
                  <c:v>9</c:v>
                </c:pt>
                <c:pt idx="46">
                  <c:v>8</c:v>
                </c:pt>
                <c:pt idx="47">
                  <c:v>5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30</c:v>
                </c:pt>
                <c:pt idx="52">
                  <c:v>64</c:v>
                </c:pt>
                <c:pt idx="53">
                  <c:v>154</c:v>
                </c:pt>
                <c:pt idx="54">
                  <c:v>88</c:v>
                </c:pt>
                <c:pt idx="55">
                  <c:v>44</c:v>
                </c:pt>
                <c:pt idx="56">
                  <c:v>51</c:v>
                </c:pt>
                <c:pt idx="57">
                  <c:v>61</c:v>
                </c:pt>
                <c:pt idx="58">
                  <c:v>61</c:v>
                </c:pt>
                <c:pt idx="59">
                  <c:v>77</c:v>
                </c:pt>
                <c:pt idx="60">
                  <c:v>72</c:v>
                </c:pt>
                <c:pt idx="61">
                  <c:v>76</c:v>
                </c:pt>
                <c:pt idx="62">
                  <c:v>157</c:v>
                </c:pt>
                <c:pt idx="63">
                  <c:v>157</c:v>
                </c:pt>
                <c:pt idx="64">
                  <c:v>110</c:v>
                </c:pt>
                <c:pt idx="65">
                  <c:v>52</c:v>
                </c:pt>
                <c:pt idx="66">
                  <c:v>52</c:v>
                </c:pt>
                <c:pt idx="67">
                  <c:v>20</c:v>
                </c:pt>
                <c:pt idx="68">
                  <c:v>12</c:v>
                </c:pt>
                <c:pt idx="69">
                  <c:v>5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4</c:v>
                </c:pt>
                <c:pt idx="74">
                  <c:v>36</c:v>
                </c:pt>
                <c:pt idx="75">
                  <c:v>94</c:v>
                </c:pt>
                <c:pt idx="76">
                  <c:v>179</c:v>
                </c:pt>
                <c:pt idx="77">
                  <c:v>100</c:v>
                </c:pt>
                <c:pt idx="78">
                  <c:v>42</c:v>
                </c:pt>
                <c:pt idx="79">
                  <c:v>57</c:v>
                </c:pt>
                <c:pt idx="80">
                  <c:v>78</c:v>
                </c:pt>
                <c:pt idx="81">
                  <c:v>97</c:v>
                </c:pt>
                <c:pt idx="82">
                  <c:v>63</c:v>
                </c:pt>
                <c:pt idx="83">
                  <c:v>65</c:v>
                </c:pt>
                <c:pt idx="84">
                  <c:v>83</c:v>
                </c:pt>
                <c:pt idx="85">
                  <c:v>212</c:v>
                </c:pt>
                <c:pt idx="86">
                  <c:v>182</c:v>
                </c:pt>
                <c:pt idx="87">
                  <c:v>112</c:v>
                </c:pt>
                <c:pt idx="88">
                  <c:v>54</c:v>
                </c:pt>
                <c:pt idx="89">
                  <c:v>48</c:v>
                </c:pt>
                <c:pt idx="90">
                  <c:v>35</c:v>
                </c:pt>
                <c:pt idx="91">
                  <c:v>11</c:v>
                </c:pt>
                <c:pt idx="92">
                  <c:v>6</c:v>
                </c:pt>
                <c:pt idx="93">
                  <c:v>6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33</c:v>
                </c:pt>
                <c:pt idx="98">
                  <c:v>88</c:v>
                </c:pt>
                <c:pt idx="99">
                  <c:v>195</c:v>
                </c:pt>
                <c:pt idx="100">
                  <c:v>115</c:v>
                </c:pt>
                <c:pt idx="101">
                  <c:v>57</c:v>
                </c:pt>
                <c:pt idx="102">
                  <c:v>46</c:v>
                </c:pt>
                <c:pt idx="103">
                  <c:v>79</c:v>
                </c:pt>
                <c:pt idx="104">
                  <c:v>71</c:v>
                </c:pt>
                <c:pt idx="105">
                  <c:v>62</c:v>
                </c:pt>
                <c:pt idx="106">
                  <c:v>62</c:v>
                </c:pt>
                <c:pt idx="107">
                  <c:v>89</c:v>
                </c:pt>
                <c:pt idx="108">
                  <c:v>190</c:v>
                </c:pt>
                <c:pt idx="109">
                  <c:v>169</c:v>
                </c:pt>
                <c:pt idx="110">
                  <c:v>132</c:v>
                </c:pt>
                <c:pt idx="111">
                  <c:v>89</c:v>
                </c:pt>
                <c:pt idx="112">
                  <c:v>43</c:v>
                </c:pt>
                <c:pt idx="113">
                  <c:v>42</c:v>
                </c:pt>
                <c:pt idx="114">
                  <c:v>19</c:v>
                </c:pt>
                <c:pt idx="115">
                  <c:v>11</c:v>
                </c:pt>
                <c:pt idx="116">
                  <c:v>4</c:v>
                </c:pt>
                <c:pt idx="117">
                  <c:v>2</c:v>
                </c:pt>
                <c:pt idx="118">
                  <c:v>1</c:v>
                </c:pt>
                <c:pt idx="119">
                  <c:v>4</c:v>
                </c:pt>
                <c:pt idx="120">
                  <c:v>36</c:v>
                </c:pt>
                <c:pt idx="121">
                  <c:v>95</c:v>
                </c:pt>
                <c:pt idx="122">
                  <c:v>219</c:v>
                </c:pt>
                <c:pt idx="123">
                  <c:v>122</c:v>
                </c:pt>
                <c:pt idx="124">
                  <c:v>45</c:v>
                </c:pt>
                <c:pt idx="125">
                  <c:v>59</c:v>
                </c:pt>
                <c:pt idx="126">
                  <c:v>84</c:v>
                </c:pt>
                <c:pt idx="127">
                  <c:v>67</c:v>
                </c:pt>
                <c:pt idx="128">
                  <c:v>70</c:v>
                </c:pt>
                <c:pt idx="129">
                  <c:v>62</c:v>
                </c:pt>
                <c:pt idx="130">
                  <c:v>86</c:v>
                </c:pt>
                <c:pt idx="131">
                  <c:v>172</c:v>
                </c:pt>
                <c:pt idx="132">
                  <c:v>163</c:v>
                </c:pt>
                <c:pt idx="133">
                  <c:v>112</c:v>
                </c:pt>
                <c:pt idx="134">
                  <c:v>69</c:v>
                </c:pt>
                <c:pt idx="135">
                  <c:v>48</c:v>
                </c:pt>
                <c:pt idx="136">
                  <c:v>52</c:v>
                </c:pt>
                <c:pt idx="137">
                  <c:v>23</c:v>
                </c:pt>
                <c:pt idx="138">
                  <c:v>17</c:v>
                </c:pt>
                <c:pt idx="139">
                  <c:v>7</c:v>
                </c:pt>
                <c:pt idx="140">
                  <c:v>1</c:v>
                </c:pt>
                <c:pt idx="141">
                  <c:v>1</c:v>
                </c:pt>
                <c:pt idx="142">
                  <c:v>5</c:v>
                </c:pt>
                <c:pt idx="143">
                  <c:v>34</c:v>
                </c:pt>
                <c:pt idx="144">
                  <c:v>84</c:v>
                </c:pt>
                <c:pt idx="145">
                  <c:v>210</c:v>
                </c:pt>
                <c:pt idx="146">
                  <c:v>134</c:v>
                </c:pt>
                <c:pt idx="147">
                  <c:v>63</c:v>
                </c:pt>
                <c:pt idx="148">
                  <c:v>67</c:v>
                </c:pt>
                <c:pt idx="149">
                  <c:v>59</c:v>
                </c:pt>
                <c:pt idx="150">
                  <c:v>73</c:v>
                </c:pt>
                <c:pt idx="151">
                  <c:v>50</c:v>
                </c:pt>
                <c:pt idx="152">
                  <c:v>72</c:v>
                </c:pt>
                <c:pt idx="153">
                  <c:v>87</c:v>
                </c:pt>
                <c:pt idx="154">
                  <c:v>187</c:v>
                </c:pt>
                <c:pt idx="155">
                  <c:v>123</c:v>
                </c:pt>
                <c:pt idx="156">
                  <c:v>95</c:v>
                </c:pt>
                <c:pt idx="157">
                  <c:v>51</c:v>
                </c:pt>
                <c:pt idx="158">
                  <c:v>39</c:v>
                </c:pt>
                <c:pt idx="159">
                  <c:v>36</c:v>
                </c:pt>
                <c:pt idx="160">
                  <c:v>15</c:v>
                </c:pt>
                <c:pt idx="161">
                  <c:v>25</c:v>
                </c:pt>
                <c:pt idx="162">
                  <c:v>16</c:v>
                </c:pt>
                <c:pt idx="163">
                  <c:v>16</c:v>
                </c:pt>
                <c:pt idx="164">
                  <c:v>7</c:v>
                </c:pt>
                <c:pt idx="165">
                  <c:v>1</c:v>
                </c:pt>
                <c:pt idx="166">
                  <c:v>5</c:v>
                </c:pt>
                <c:pt idx="167">
                  <c:v>2</c:v>
                </c:pt>
                <c:pt idx="168">
                  <c:v>9</c:v>
                </c:pt>
                <c:pt idx="169">
                  <c:v>15</c:v>
                </c:pt>
                <c:pt idx="170">
                  <c:v>20</c:v>
                </c:pt>
                <c:pt idx="171">
                  <c:v>61</c:v>
                </c:pt>
                <c:pt idx="172">
                  <c:v>62</c:v>
                </c:pt>
                <c:pt idx="173">
                  <c:v>98</c:v>
                </c:pt>
                <c:pt idx="174">
                  <c:v>102</c:v>
                </c:pt>
                <c:pt idx="175">
                  <c:v>95</c:v>
                </c:pt>
                <c:pt idx="176">
                  <c:v>74</c:v>
                </c:pt>
                <c:pt idx="177">
                  <c:v>76</c:v>
                </c:pt>
                <c:pt idx="178">
                  <c:v>69</c:v>
                </c:pt>
                <c:pt idx="179">
                  <c:v>55</c:v>
                </c:pt>
                <c:pt idx="180">
                  <c:v>30</c:v>
                </c:pt>
                <c:pt idx="181">
                  <c:v>28</c:v>
                </c:pt>
                <c:pt idx="182">
                  <c:v>37</c:v>
                </c:pt>
                <c:pt idx="183">
                  <c:v>34</c:v>
                </c:pt>
                <c:pt idx="184">
                  <c:v>22</c:v>
                </c:pt>
                <c:pt idx="185">
                  <c:v>25</c:v>
                </c:pt>
                <c:pt idx="186">
                  <c:v>12</c:v>
                </c:pt>
                <c:pt idx="187">
                  <c:v>11</c:v>
                </c:pt>
                <c:pt idx="188">
                  <c:v>4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6</c:v>
                </c:pt>
                <c:pt idx="193">
                  <c:v>10</c:v>
                </c:pt>
                <c:pt idx="194">
                  <c:v>19</c:v>
                </c:pt>
                <c:pt idx="195">
                  <c:v>49</c:v>
                </c:pt>
                <c:pt idx="196">
                  <c:v>49</c:v>
                </c:pt>
                <c:pt idx="197">
                  <c:v>83</c:v>
                </c:pt>
                <c:pt idx="198">
                  <c:v>75</c:v>
                </c:pt>
                <c:pt idx="199">
                  <c:v>72</c:v>
                </c:pt>
                <c:pt idx="200">
                  <c:v>82</c:v>
                </c:pt>
                <c:pt idx="201">
                  <c:v>92</c:v>
                </c:pt>
                <c:pt idx="202">
                  <c:v>62</c:v>
                </c:pt>
                <c:pt idx="203">
                  <c:v>48</c:v>
                </c:pt>
                <c:pt idx="204">
                  <c:v>41</c:v>
                </c:pt>
                <c:pt idx="205">
                  <c:v>38</c:v>
                </c:pt>
                <c:pt idx="206">
                  <c:v>20</c:v>
                </c:pt>
                <c:pt idx="207">
                  <c:v>15</c:v>
                </c:pt>
                <c:pt idx="208">
                  <c:v>6</c:v>
                </c:pt>
                <c:pt idx="209">
                  <c:v>5</c:v>
                </c:pt>
                <c:pt idx="210">
                  <c:v>1</c:v>
                </c:pt>
                <c:pt idx="211">
                  <c:v>3</c:v>
                </c:pt>
                <c:pt idx="212">
                  <c:v>1</c:v>
                </c:pt>
                <c:pt idx="213">
                  <c:v>3</c:v>
                </c:pt>
                <c:pt idx="214">
                  <c:v>3</c:v>
                </c:pt>
                <c:pt idx="215">
                  <c:v>31</c:v>
                </c:pt>
                <c:pt idx="216">
                  <c:v>77</c:v>
                </c:pt>
                <c:pt idx="217">
                  <c:v>188</c:v>
                </c:pt>
                <c:pt idx="218">
                  <c:v>94</c:v>
                </c:pt>
                <c:pt idx="219">
                  <c:v>31</c:v>
                </c:pt>
                <c:pt idx="220">
                  <c:v>30</c:v>
                </c:pt>
                <c:pt idx="221">
                  <c:v>52</c:v>
                </c:pt>
                <c:pt idx="222">
                  <c:v>54</c:v>
                </c:pt>
                <c:pt idx="223">
                  <c:v>47</c:v>
                </c:pt>
                <c:pt idx="224">
                  <c:v>45</c:v>
                </c:pt>
                <c:pt idx="225">
                  <c:v>74</c:v>
                </c:pt>
                <c:pt idx="226">
                  <c:v>178</c:v>
                </c:pt>
                <c:pt idx="227">
                  <c:v>155</c:v>
                </c:pt>
                <c:pt idx="228">
                  <c:v>95</c:v>
                </c:pt>
                <c:pt idx="229">
                  <c:v>74</c:v>
                </c:pt>
                <c:pt idx="230">
                  <c:v>38</c:v>
                </c:pt>
                <c:pt idx="231">
                  <c:v>24</c:v>
                </c:pt>
                <c:pt idx="232">
                  <c:v>18</c:v>
                </c:pt>
                <c:pt idx="233">
                  <c:v>12</c:v>
                </c:pt>
                <c:pt idx="234">
                  <c:v>3</c:v>
                </c:pt>
                <c:pt idx="235">
                  <c:v>3</c:v>
                </c:pt>
                <c:pt idx="236">
                  <c:v>6</c:v>
                </c:pt>
                <c:pt idx="237">
                  <c:v>27</c:v>
                </c:pt>
                <c:pt idx="238">
                  <c:v>99</c:v>
                </c:pt>
                <c:pt idx="239">
                  <c:v>217</c:v>
                </c:pt>
                <c:pt idx="240">
                  <c:v>130</c:v>
                </c:pt>
                <c:pt idx="241">
                  <c:v>54</c:v>
                </c:pt>
                <c:pt idx="242">
                  <c:v>35</c:v>
                </c:pt>
                <c:pt idx="243">
                  <c:v>57</c:v>
                </c:pt>
                <c:pt idx="244">
                  <c:v>52</c:v>
                </c:pt>
                <c:pt idx="245">
                  <c:v>63</c:v>
                </c:pt>
                <c:pt idx="246">
                  <c:v>47</c:v>
                </c:pt>
                <c:pt idx="247">
                  <c:v>76</c:v>
                </c:pt>
                <c:pt idx="248">
                  <c:v>136</c:v>
                </c:pt>
                <c:pt idx="249">
                  <c:v>95</c:v>
                </c:pt>
                <c:pt idx="250">
                  <c:v>51</c:v>
                </c:pt>
                <c:pt idx="251">
                  <c:v>32</c:v>
                </c:pt>
                <c:pt idx="252">
                  <c:v>20</c:v>
                </c:pt>
                <c:pt idx="253">
                  <c:v>29</c:v>
                </c:pt>
                <c:pt idx="254">
                  <c:v>19</c:v>
                </c:pt>
                <c:pt idx="255">
                  <c:v>7</c:v>
                </c:pt>
                <c:pt idx="256">
                  <c:v>6</c:v>
                </c:pt>
                <c:pt idx="257">
                  <c:v>1</c:v>
                </c:pt>
                <c:pt idx="258">
                  <c:v>5</c:v>
                </c:pt>
                <c:pt idx="259">
                  <c:v>16</c:v>
                </c:pt>
                <c:pt idx="260">
                  <c:v>54</c:v>
                </c:pt>
                <c:pt idx="261">
                  <c:v>128</c:v>
                </c:pt>
                <c:pt idx="262">
                  <c:v>81</c:v>
                </c:pt>
                <c:pt idx="263">
                  <c:v>39</c:v>
                </c:pt>
                <c:pt idx="264">
                  <c:v>35</c:v>
                </c:pt>
                <c:pt idx="265">
                  <c:v>55</c:v>
                </c:pt>
                <c:pt idx="266">
                  <c:v>49</c:v>
                </c:pt>
                <c:pt idx="267">
                  <c:v>44</c:v>
                </c:pt>
                <c:pt idx="268">
                  <c:v>49</c:v>
                </c:pt>
                <c:pt idx="269">
                  <c:v>68</c:v>
                </c:pt>
                <c:pt idx="270">
                  <c:v>139</c:v>
                </c:pt>
                <c:pt idx="271">
                  <c:v>137</c:v>
                </c:pt>
                <c:pt idx="272">
                  <c:v>83</c:v>
                </c:pt>
                <c:pt idx="273">
                  <c:v>56</c:v>
                </c:pt>
                <c:pt idx="274">
                  <c:v>57</c:v>
                </c:pt>
                <c:pt idx="275">
                  <c:v>33</c:v>
                </c:pt>
                <c:pt idx="276">
                  <c:v>20</c:v>
                </c:pt>
                <c:pt idx="277">
                  <c:v>7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28</c:v>
                </c:pt>
                <c:pt idx="284">
                  <c:v>72</c:v>
                </c:pt>
                <c:pt idx="285">
                  <c:v>202</c:v>
                </c:pt>
                <c:pt idx="286">
                  <c:v>139</c:v>
                </c:pt>
                <c:pt idx="287">
                  <c:v>38</c:v>
                </c:pt>
                <c:pt idx="288">
                  <c:v>37</c:v>
                </c:pt>
                <c:pt idx="289">
                  <c:v>52</c:v>
                </c:pt>
                <c:pt idx="290">
                  <c:v>83</c:v>
                </c:pt>
                <c:pt idx="291">
                  <c:v>42</c:v>
                </c:pt>
                <c:pt idx="292">
                  <c:v>60</c:v>
                </c:pt>
                <c:pt idx="293">
                  <c:v>78</c:v>
                </c:pt>
                <c:pt idx="294">
                  <c:v>162</c:v>
                </c:pt>
                <c:pt idx="295">
                  <c:v>144</c:v>
                </c:pt>
                <c:pt idx="296">
                  <c:v>99</c:v>
                </c:pt>
                <c:pt idx="297">
                  <c:v>64</c:v>
                </c:pt>
                <c:pt idx="298">
                  <c:v>40</c:v>
                </c:pt>
                <c:pt idx="299">
                  <c:v>30</c:v>
                </c:pt>
                <c:pt idx="300">
                  <c:v>15</c:v>
                </c:pt>
                <c:pt idx="301">
                  <c:v>14</c:v>
                </c:pt>
                <c:pt idx="302">
                  <c:v>5</c:v>
                </c:pt>
                <c:pt idx="303">
                  <c:v>1</c:v>
                </c:pt>
                <c:pt idx="304">
                  <c:v>1</c:v>
                </c:pt>
                <c:pt idx="305">
                  <c:v>8</c:v>
                </c:pt>
                <c:pt idx="306">
                  <c:v>17</c:v>
                </c:pt>
                <c:pt idx="307">
                  <c:v>70</c:v>
                </c:pt>
                <c:pt idx="308">
                  <c:v>158</c:v>
                </c:pt>
                <c:pt idx="309">
                  <c:v>117</c:v>
                </c:pt>
                <c:pt idx="310">
                  <c:v>44</c:v>
                </c:pt>
                <c:pt idx="311">
                  <c:v>53</c:v>
                </c:pt>
                <c:pt idx="312">
                  <c:v>61</c:v>
                </c:pt>
                <c:pt idx="313">
                  <c:v>77</c:v>
                </c:pt>
                <c:pt idx="314">
                  <c:v>64</c:v>
                </c:pt>
                <c:pt idx="315">
                  <c:v>68</c:v>
                </c:pt>
                <c:pt idx="316">
                  <c:v>90</c:v>
                </c:pt>
                <c:pt idx="317">
                  <c:v>159</c:v>
                </c:pt>
                <c:pt idx="318">
                  <c:v>139</c:v>
                </c:pt>
                <c:pt idx="319">
                  <c:v>92</c:v>
                </c:pt>
                <c:pt idx="320">
                  <c:v>68</c:v>
                </c:pt>
                <c:pt idx="321">
                  <c:v>52</c:v>
                </c:pt>
                <c:pt idx="322">
                  <c:v>36</c:v>
                </c:pt>
                <c:pt idx="323">
                  <c:v>27</c:v>
                </c:pt>
                <c:pt idx="324">
                  <c:v>28</c:v>
                </c:pt>
                <c:pt idx="325">
                  <c:v>20</c:v>
                </c:pt>
                <c:pt idx="326">
                  <c:v>12</c:v>
                </c:pt>
                <c:pt idx="327">
                  <c:v>8</c:v>
                </c:pt>
                <c:pt idx="328">
                  <c:v>5</c:v>
                </c:pt>
                <c:pt idx="329">
                  <c:v>1</c:v>
                </c:pt>
                <c:pt idx="330">
                  <c:v>3</c:v>
                </c:pt>
                <c:pt idx="331">
                  <c:v>10</c:v>
                </c:pt>
                <c:pt idx="332">
                  <c:v>23</c:v>
                </c:pt>
                <c:pt idx="333">
                  <c:v>33</c:v>
                </c:pt>
                <c:pt idx="334">
                  <c:v>59</c:v>
                </c:pt>
                <c:pt idx="335">
                  <c:v>72</c:v>
                </c:pt>
                <c:pt idx="336">
                  <c:v>89</c:v>
                </c:pt>
                <c:pt idx="337">
                  <c:v>101</c:v>
                </c:pt>
                <c:pt idx="338">
                  <c:v>118</c:v>
                </c:pt>
                <c:pt idx="339">
                  <c:v>129</c:v>
                </c:pt>
                <c:pt idx="340">
                  <c:v>128</c:v>
                </c:pt>
                <c:pt idx="341">
                  <c:v>83</c:v>
                </c:pt>
                <c:pt idx="342">
                  <c:v>84</c:v>
                </c:pt>
                <c:pt idx="343">
                  <c:v>74</c:v>
                </c:pt>
                <c:pt idx="344">
                  <c:v>41</c:v>
                </c:pt>
                <c:pt idx="345">
                  <c:v>57</c:v>
                </c:pt>
                <c:pt idx="346">
                  <c:v>26</c:v>
                </c:pt>
                <c:pt idx="347">
                  <c:v>44</c:v>
                </c:pt>
                <c:pt idx="348">
                  <c:v>39</c:v>
                </c:pt>
                <c:pt idx="349">
                  <c:v>23</c:v>
                </c:pt>
                <c:pt idx="350">
                  <c:v>16</c:v>
                </c:pt>
                <c:pt idx="351">
                  <c:v>15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3</c:v>
                </c:pt>
                <c:pt idx="356">
                  <c:v>18</c:v>
                </c:pt>
                <c:pt idx="357">
                  <c:v>32</c:v>
                </c:pt>
                <c:pt idx="358">
                  <c:v>79</c:v>
                </c:pt>
                <c:pt idx="359">
                  <c:v>93</c:v>
                </c:pt>
                <c:pt idx="360">
                  <c:v>104</c:v>
                </c:pt>
                <c:pt idx="361">
                  <c:v>118</c:v>
                </c:pt>
                <c:pt idx="362">
                  <c:v>91</c:v>
                </c:pt>
                <c:pt idx="363">
                  <c:v>113</c:v>
                </c:pt>
                <c:pt idx="364">
                  <c:v>99</c:v>
                </c:pt>
                <c:pt idx="365">
                  <c:v>105</c:v>
                </c:pt>
                <c:pt idx="366">
                  <c:v>67</c:v>
                </c:pt>
                <c:pt idx="367">
                  <c:v>61</c:v>
                </c:pt>
                <c:pt idx="368">
                  <c:v>57</c:v>
                </c:pt>
                <c:pt idx="369">
                  <c:v>28</c:v>
                </c:pt>
                <c:pt idx="370">
                  <c:v>21</c:v>
                </c:pt>
                <c:pt idx="371">
                  <c:v>18</c:v>
                </c:pt>
                <c:pt idx="372">
                  <c:v>17</c:v>
                </c:pt>
                <c:pt idx="373">
                  <c:v>16</c:v>
                </c:pt>
                <c:pt idx="374">
                  <c:v>8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13</c:v>
                </c:pt>
                <c:pt idx="380">
                  <c:v>33</c:v>
                </c:pt>
                <c:pt idx="381">
                  <c:v>47</c:v>
                </c:pt>
                <c:pt idx="382">
                  <c:v>57</c:v>
                </c:pt>
                <c:pt idx="383">
                  <c:v>64</c:v>
                </c:pt>
                <c:pt idx="384">
                  <c:v>80</c:v>
                </c:pt>
                <c:pt idx="385">
                  <c:v>93</c:v>
                </c:pt>
                <c:pt idx="386">
                  <c:v>86</c:v>
                </c:pt>
                <c:pt idx="387">
                  <c:v>93</c:v>
                </c:pt>
                <c:pt idx="388">
                  <c:v>82</c:v>
                </c:pt>
                <c:pt idx="389">
                  <c:v>71</c:v>
                </c:pt>
                <c:pt idx="390">
                  <c:v>92</c:v>
                </c:pt>
                <c:pt idx="391">
                  <c:v>60</c:v>
                </c:pt>
                <c:pt idx="392">
                  <c:v>33</c:v>
                </c:pt>
                <c:pt idx="393">
                  <c:v>27</c:v>
                </c:pt>
                <c:pt idx="394">
                  <c:v>13</c:v>
                </c:pt>
                <c:pt idx="395">
                  <c:v>4</c:v>
                </c:pt>
                <c:pt idx="396">
                  <c:v>3</c:v>
                </c:pt>
                <c:pt idx="397">
                  <c:v>22</c:v>
                </c:pt>
                <c:pt idx="398">
                  <c:v>28</c:v>
                </c:pt>
                <c:pt idx="399">
                  <c:v>35</c:v>
                </c:pt>
                <c:pt idx="400">
                  <c:v>61</c:v>
                </c:pt>
                <c:pt idx="401">
                  <c:v>125</c:v>
                </c:pt>
                <c:pt idx="402">
                  <c:v>133</c:v>
                </c:pt>
                <c:pt idx="403">
                  <c:v>99</c:v>
                </c:pt>
                <c:pt idx="404">
                  <c:v>83</c:v>
                </c:pt>
                <c:pt idx="405">
                  <c:v>41</c:v>
                </c:pt>
                <c:pt idx="406">
                  <c:v>33</c:v>
                </c:pt>
                <c:pt idx="407">
                  <c:v>20</c:v>
                </c:pt>
                <c:pt idx="408">
                  <c:v>3</c:v>
                </c:pt>
                <c:pt idx="409">
                  <c:v>7</c:v>
                </c:pt>
                <c:pt idx="410">
                  <c:v>3</c:v>
                </c:pt>
                <c:pt idx="411">
                  <c:v>2</c:v>
                </c:pt>
                <c:pt idx="412">
                  <c:v>7</c:v>
                </c:pt>
                <c:pt idx="413">
                  <c:v>32</c:v>
                </c:pt>
                <c:pt idx="414">
                  <c:v>90</c:v>
                </c:pt>
                <c:pt idx="415">
                  <c:v>197</c:v>
                </c:pt>
                <c:pt idx="416">
                  <c:v>109</c:v>
                </c:pt>
                <c:pt idx="417">
                  <c:v>47</c:v>
                </c:pt>
                <c:pt idx="418">
                  <c:v>52</c:v>
                </c:pt>
                <c:pt idx="419">
                  <c:v>70</c:v>
                </c:pt>
                <c:pt idx="420">
                  <c:v>78</c:v>
                </c:pt>
                <c:pt idx="421">
                  <c:v>75</c:v>
                </c:pt>
                <c:pt idx="422">
                  <c:v>82</c:v>
                </c:pt>
                <c:pt idx="423">
                  <c:v>104</c:v>
                </c:pt>
                <c:pt idx="424">
                  <c:v>197</c:v>
                </c:pt>
                <c:pt idx="425">
                  <c:v>161</c:v>
                </c:pt>
                <c:pt idx="426">
                  <c:v>112</c:v>
                </c:pt>
                <c:pt idx="427">
                  <c:v>76</c:v>
                </c:pt>
                <c:pt idx="428">
                  <c:v>59</c:v>
                </c:pt>
                <c:pt idx="429">
                  <c:v>59</c:v>
                </c:pt>
                <c:pt idx="430">
                  <c:v>28</c:v>
                </c:pt>
                <c:pt idx="431">
                  <c:v>13</c:v>
                </c:pt>
                <c:pt idx="432">
                  <c:v>5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6</c:v>
                </c:pt>
                <c:pt idx="437">
                  <c:v>35</c:v>
                </c:pt>
                <c:pt idx="438">
                  <c:v>101</c:v>
                </c:pt>
                <c:pt idx="439">
                  <c:v>249</c:v>
                </c:pt>
                <c:pt idx="440">
                  <c:v>143</c:v>
                </c:pt>
                <c:pt idx="441">
                  <c:v>57</c:v>
                </c:pt>
                <c:pt idx="442">
                  <c:v>68</c:v>
                </c:pt>
                <c:pt idx="443">
                  <c:v>84</c:v>
                </c:pt>
                <c:pt idx="444">
                  <c:v>98</c:v>
                </c:pt>
                <c:pt idx="445">
                  <c:v>81</c:v>
                </c:pt>
                <c:pt idx="446">
                  <c:v>70</c:v>
                </c:pt>
                <c:pt idx="447">
                  <c:v>91</c:v>
                </c:pt>
                <c:pt idx="448">
                  <c:v>215</c:v>
                </c:pt>
                <c:pt idx="449">
                  <c:v>185</c:v>
                </c:pt>
                <c:pt idx="450">
                  <c:v>152</c:v>
                </c:pt>
                <c:pt idx="451">
                  <c:v>126</c:v>
                </c:pt>
                <c:pt idx="452">
                  <c:v>57</c:v>
                </c:pt>
                <c:pt idx="453">
                  <c:v>56</c:v>
                </c:pt>
                <c:pt idx="454">
                  <c:v>31</c:v>
                </c:pt>
                <c:pt idx="455">
                  <c:v>21</c:v>
                </c:pt>
                <c:pt idx="456">
                  <c:v>6</c:v>
                </c:pt>
                <c:pt idx="457">
                  <c:v>2</c:v>
                </c:pt>
                <c:pt idx="458">
                  <c:v>1</c:v>
                </c:pt>
                <c:pt idx="459">
                  <c:v>1</c:v>
                </c:pt>
                <c:pt idx="460">
                  <c:v>5</c:v>
                </c:pt>
                <c:pt idx="461">
                  <c:v>27</c:v>
                </c:pt>
                <c:pt idx="462">
                  <c:v>68</c:v>
                </c:pt>
                <c:pt idx="463">
                  <c:v>217</c:v>
                </c:pt>
                <c:pt idx="464">
                  <c:v>166</c:v>
                </c:pt>
                <c:pt idx="465">
                  <c:v>63</c:v>
                </c:pt>
                <c:pt idx="466">
                  <c:v>59</c:v>
                </c:pt>
                <c:pt idx="467">
                  <c:v>78</c:v>
                </c:pt>
                <c:pt idx="468">
                  <c:v>73</c:v>
                </c:pt>
                <c:pt idx="469">
                  <c:v>62</c:v>
                </c:pt>
                <c:pt idx="470">
                  <c:v>65</c:v>
                </c:pt>
                <c:pt idx="471">
                  <c:v>97</c:v>
                </c:pt>
                <c:pt idx="472">
                  <c:v>161</c:v>
                </c:pt>
                <c:pt idx="473">
                  <c:v>120</c:v>
                </c:pt>
                <c:pt idx="474">
                  <c:v>96</c:v>
                </c:pt>
                <c:pt idx="475">
                  <c:v>53</c:v>
                </c:pt>
                <c:pt idx="476">
                  <c:v>41</c:v>
                </c:pt>
                <c:pt idx="477">
                  <c:v>34</c:v>
                </c:pt>
                <c:pt idx="478">
                  <c:v>27</c:v>
                </c:pt>
                <c:pt idx="479">
                  <c:v>13</c:v>
                </c:pt>
                <c:pt idx="480">
                  <c:v>12</c:v>
                </c:pt>
                <c:pt idx="481">
                  <c:v>11</c:v>
                </c:pt>
                <c:pt idx="482">
                  <c:v>7</c:v>
                </c:pt>
                <c:pt idx="483">
                  <c:v>3</c:v>
                </c:pt>
                <c:pt idx="484">
                  <c:v>2</c:v>
                </c:pt>
                <c:pt idx="485">
                  <c:v>8</c:v>
                </c:pt>
                <c:pt idx="486">
                  <c:v>27</c:v>
                </c:pt>
                <c:pt idx="487">
                  <c:v>40</c:v>
                </c:pt>
                <c:pt idx="488">
                  <c:v>53</c:v>
                </c:pt>
                <c:pt idx="489">
                  <c:v>63</c:v>
                </c:pt>
                <c:pt idx="490">
                  <c:v>70</c:v>
                </c:pt>
                <c:pt idx="491">
                  <c:v>84</c:v>
                </c:pt>
                <c:pt idx="492">
                  <c:v>75</c:v>
                </c:pt>
                <c:pt idx="493">
                  <c:v>103</c:v>
                </c:pt>
                <c:pt idx="494">
                  <c:v>83</c:v>
                </c:pt>
                <c:pt idx="495">
                  <c:v>67</c:v>
                </c:pt>
                <c:pt idx="496">
                  <c:v>54</c:v>
                </c:pt>
                <c:pt idx="497">
                  <c:v>59</c:v>
                </c:pt>
                <c:pt idx="498">
                  <c:v>45</c:v>
                </c:pt>
                <c:pt idx="499">
                  <c:v>39</c:v>
                </c:pt>
                <c:pt idx="500">
                  <c:v>30</c:v>
                </c:pt>
                <c:pt idx="501">
                  <c:v>33</c:v>
                </c:pt>
                <c:pt idx="502">
                  <c:v>22</c:v>
                </c:pt>
                <c:pt idx="503">
                  <c:v>13</c:v>
                </c:pt>
                <c:pt idx="504">
                  <c:v>18</c:v>
                </c:pt>
                <c:pt idx="505">
                  <c:v>5</c:v>
                </c:pt>
                <c:pt idx="506">
                  <c:v>3</c:v>
                </c:pt>
                <c:pt idx="507">
                  <c:v>1</c:v>
                </c:pt>
                <c:pt idx="508">
                  <c:v>2</c:v>
                </c:pt>
                <c:pt idx="509">
                  <c:v>19</c:v>
                </c:pt>
                <c:pt idx="510">
                  <c:v>28</c:v>
                </c:pt>
                <c:pt idx="511">
                  <c:v>58</c:v>
                </c:pt>
                <c:pt idx="512">
                  <c:v>99</c:v>
                </c:pt>
                <c:pt idx="513">
                  <c:v>116</c:v>
                </c:pt>
                <c:pt idx="514">
                  <c:v>87</c:v>
                </c:pt>
                <c:pt idx="515">
                  <c:v>110</c:v>
                </c:pt>
                <c:pt idx="516">
                  <c:v>77</c:v>
                </c:pt>
                <c:pt idx="517">
                  <c:v>65</c:v>
                </c:pt>
                <c:pt idx="518">
                  <c:v>55</c:v>
                </c:pt>
                <c:pt idx="519">
                  <c:v>49</c:v>
                </c:pt>
                <c:pt idx="520">
                  <c:v>50</c:v>
                </c:pt>
                <c:pt idx="521">
                  <c:v>35</c:v>
                </c:pt>
                <c:pt idx="522">
                  <c:v>25</c:v>
                </c:pt>
                <c:pt idx="523">
                  <c:v>28</c:v>
                </c:pt>
                <c:pt idx="524">
                  <c:v>21</c:v>
                </c:pt>
                <c:pt idx="525">
                  <c:v>7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5</c:v>
                </c:pt>
                <c:pt idx="530">
                  <c:v>15</c:v>
                </c:pt>
                <c:pt idx="531">
                  <c:v>84</c:v>
                </c:pt>
                <c:pt idx="532">
                  <c:v>177</c:v>
                </c:pt>
                <c:pt idx="533">
                  <c:v>102</c:v>
                </c:pt>
                <c:pt idx="534">
                  <c:v>40</c:v>
                </c:pt>
                <c:pt idx="535">
                  <c:v>46</c:v>
                </c:pt>
                <c:pt idx="536">
                  <c:v>63</c:v>
                </c:pt>
                <c:pt idx="537">
                  <c:v>60</c:v>
                </c:pt>
                <c:pt idx="538">
                  <c:v>45</c:v>
                </c:pt>
                <c:pt idx="539">
                  <c:v>57</c:v>
                </c:pt>
                <c:pt idx="540">
                  <c:v>70</c:v>
                </c:pt>
                <c:pt idx="541">
                  <c:v>184</c:v>
                </c:pt>
                <c:pt idx="542">
                  <c:v>153</c:v>
                </c:pt>
                <c:pt idx="543">
                  <c:v>106</c:v>
                </c:pt>
                <c:pt idx="544">
                  <c:v>81</c:v>
                </c:pt>
                <c:pt idx="545">
                  <c:v>59</c:v>
                </c:pt>
                <c:pt idx="546">
                  <c:v>35</c:v>
                </c:pt>
                <c:pt idx="547">
                  <c:v>24</c:v>
                </c:pt>
                <c:pt idx="548">
                  <c:v>9</c:v>
                </c:pt>
                <c:pt idx="549">
                  <c:v>5</c:v>
                </c:pt>
                <c:pt idx="550">
                  <c:v>2</c:v>
                </c:pt>
                <c:pt idx="551">
                  <c:v>1</c:v>
                </c:pt>
                <c:pt idx="552">
                  <c:v>9</c:v>
                </c:pt>
                <c:pt idx="553">
                  <c:v>36</c:v>
                </c:pt>
                <c:pt idx="554">
                  <c:v>108</c:v>
                </c:pt>
                <c:pt idx="555">
                  <c:v>238</c:v>
                </c:pt>
                <c:pt idx="556">
                  <c:v>144</c:v>
                </c:pt>
                <c:pt idx="557">
                  <c:v>55</c:v>
                </c:pt>
                <c:pt idx="558">
                  <c:v>61</c:v>
                </c:pt>
                <c:pt idx="559">
                  <c:v>106</c:v>
                </c:pt>
                <c:pt idx="560">
                  <c:v>93</c:v>
                </c:pt>
                <c:pt idx="561">
                  <c:v>68</c:v>
                </c:pt>
                <c:pt idx="562">
                  <c:v>84</c:v>
                </c:pt>
                <c:pt idx="563">
                  <c:v>116</c:v>
                </c:pt>
                <c:pt idx="564">
                  <c:v>222</c:v>
                </c:pt>
                <c:pt idx="565">
                  <c:v>225</c:v>
                </c:pt>
                <c:pt idx="566">
                  <c:v>146</c:v>
                </c:pt>
                <c:pt idx="567">
                  <c:v>119</c:v>
                </c:pt>
                <c:pt idx="568">
                  <c:v>45</c:v>
                </c:pt>
                <c:pt idx="569">
                  <c:v>53</c:v>
                </c:pt>
                <c:pt idx="570">
                  <c:v>40</c:v>
                </c:pt>
                <c:pt idx="571">
                  <c:v>17</c:v>
                </c:pt>
                <c:pt idx="572">
                  <c:v>5</c:v>
                </c:pt>
                <c:pt idx="573">
                  <c:v>10</c:v>
                </c:pt>
                <c:pt idx="574">
                  <c:v>1</c:v>
                </c:pt>
                <c:pt idx="575">
                  <c:v>8</c:v>
                </c:pt>
                <c:pt idx="576">
                  <c:v>30</c:v>
                </c:pt>
                <c:pt idx="577">
                  <c:v>72</c:v>
                </c:pt>
                <c:pt idx="578">
                  <c:v>58</c:v>
                </c:pt>
                <c:pt idx="579">
                  <c:v>28</c:v>
                </c:pt>
                <c:pt idx="580">
                  <c:v>41</c:v>
                </c:pt>
                <c:pt idx="581">
                  <c:v>48</c:v>
                </c:pt>
                <c:pt idx="582">
                  <c:v>47</c:v>
                </c:pt>
                <c:pt idx="583">
                  <c:v>36</c:v>
                </c:pt>
                <c:pt idx="584">
                  <c:v>43</c:v>
                </c:pt>
                <c:pt idx="585">
                  <c:v>36</c:v>
                </c:pt>
                <c:pt idx="586">
                  <c:v>26</c:v>
                </c:pt>
                <c:pt idx="587">
                  <c:v>24</c:v>
                </c:pt>
                <c:pt idx="588">
                  <c:v>84</c:v>
                </c:pt>
                <c:pt idx="589">
                  <c:v>104</c:v>
                </c:pt>
                <c:pt idx="590">
                  <c:v>79</c:v>
                </c:pt>
                <c:pt idx="591">
                  <c:v>59</c:v>
                </c:pt>
                <c:pt idx="592">
                  <c:v>38</c:v>
                </c:pt>
                <c:pt idx="593">
                  <c:v>27</c:v>
                </c:pt>
                <c:pt idx="594">
                  <c:v>16</c:v>
                </c:pt>
                <c:pt idx="595">
                  <c:v>9</c:v>
                </c:pt>
                <c:pt idx="596">
                  <c:v>3</c:v>
                </c:pt>
                <c:pt idx="597">
                  <c:v>2</c:v>
                </c:pt>
                <c:pt idx="598">
                  <c:v>1</c:v>
                </c:pt>
                <c:pt idx="599">
                  <c:v>4</c:v>
                </c:pt>
                <c:pt idx="600">
                  <c:v>16</c:v>
                </c:pt>
                <c:pt idx="601">
                  <c:v>60</c:v>
                </c:pt>
                <c:pt idx="602">
                  <c:v>157</c:v>
                </c:pt>
                <c:pt idx="603">
                  <c:v>101</c:v>
                </c:pt>
                <c:pt idx="604">
                  <c:v>49</c:v>
                </c:pt>
                <c:pt idx="605">
                  <c:v>30</c:v>
                </c:pt>
                <c:pt idx="606">
                  <c:v>29</c:v>
                </c:pt>
                <c:pt idx="607">
                  <c:v>31</c:v>
                </c:pt>
                <c:pt idx="608">
                  <c:v>38</c:v>
                </c:pt>
                <c:pt idx="609">
                  <c:v>41</c:v>
                </c:pt>
                <c:pt idx="610">
                  <c:v>80</c:v>
                </c:pt>
                <c:pt idx="611">
                  <c:v>149</c:v>
                </c:pt>
                <c:pt idx="612">
                  <c:v>109</c:v>
                </c:pt>
                <c:pt idx="613">
                  <c:v>89</c:v>
                </c:pt>
                <c:pt idx="614">
                  <c:v>62</c:v>
                </c:pt>
                <c:pt idx="615">
                  <c:v>58</c:v>
                </c:pt>
                <c:pt idx="616">
                  <c:v>26</c:v>
                </c:pt>
                <c:pt idx="617">
                  <c:v>23</c:v>
                </c:pt>
                <c:pt idx="618">
                  <c:v>28</c:v>
                </c:pt>
                <c:pt idx="619">
                  <c:v>20</c:v>
                </c:pt>
                <c:pt idx="620">
                  <c:v>15</c:v>
                </c:pt>
                <c:pt idx="621">
                  <c:v>8</c:v>
                </c:pt>
                <c:pt idx="622">
                  <c:v>3</c:v>
                </c:pt>
                <c:pt idx="623">
                  <c:v>2</c:v>
                </c:pt>
                <c:pt idx="624">
                  <c:v>5</c:v>
                </c:pt>
                <c:pt idx="625">
                  <c:v>34</c:v>
                </c:pt>
                <c:pt idx="626">
                  <c:v>34</c:v>
                </c:pt>
                <c:pt idx="627">
                  <c:v>55</c:v>
                </c:pt>
                <c:pt idx="628">
                  <c:v>64</c:v>
                </c:pt>
                <c:pt idx="629">
                  <c:v>78</c:v>
                </c:pt>
                <c:pt idx="630">
                  <c:v>65</c:v>
                </c:pt>
                <c:pt idx="631">
                  <c:v>99</c:v>
                </c:pt>
                <c:pt idx="632">
                  <c:v>120</c:v>
                </c:pt>
                <c:pt idx="633">
                  <c:v>107</c:v>
                </c:pt>
                <c:pt idx="634">
                  <c:v>91</c:v>
                </c:pt>
                <c:pt idx="635">
                  <c:v>68</c:v>
                </c:pt>
                <c:pt idx="636">
                  <c:v>58</c:v>
                </c:pt>
                <c:pt idx="637">
                  <c:v>43</c:v>
                </c:pt>
                <c:pt idx="638">
                  <c:v>36</c:v>
                </c:pt>
                <c:pt idx="639">
                  <c:v>32</c:v>
                </c:pt>
                <c:pt idx="640">
                  <c:v>33</c:v>
                </c:pt>
                <c:pt idx="641">
                  <c:v>33</c:v>
                </c:pt>
                <c:pt idx="642">
                  <c:v>29</c:v>
                </c:pt>
                <c:pt idx="643">
                  <c:v>11</c:v>
                </c:pt>
                <c:pt idx="644">
                  <c:v>8</c:v>
                </c:pt>
                <c:pt idx="645">
                  <c:v>1</c:v>
                </c:pt>
                <c:pt idx="646">
                  <c:v>3</c:v>
                </c:pt>
                <c:pt idx="647">
                  <c:v>3</c:v>
                </c:pt>
                <c:pt idx="648">
                  <c:v>12</c:v>
                </c:pt>
                <c:pt idx="649">
                  <c:v>38</c:v>
                </c:pt>
                <c:pt idx="650">
                  <c:v>64</c:v>
                </c:pt>
                <c:pt idx="651">
                  <c:v>59</c:v>
                </c:pt>
                <c:pt idx="652">
                  <c:v>97</c:v>
                </c:pt>
                <c:pt idx="653">
                  <c:v>84</c:v>
                </c:pt>
                <c:pt idx="654">
                  <c:v>122</c:v>
                </c:pt>
                <c:pt idx="655">
                  <c:v>109</c:v>
                </c:pt>
                <c:pt idx="656">
                  <c:v>123</c:v>
                </c:pt>
                <c:pt idx="657">
                  <c:v>77</c:v>
                </c:pt>
                <c:pt idx="658">
                  <c:v>65</c:v>
                </c:pt>
                <c:pt idx="659">
                  <c:v>55</c:v>
                </c:pt>
                <c:pt idx="660">
                  <c:v>33</c:v>
                </c:pt>
                <c:pt idx="661">
                  <c:v>28</c:v>
                </c:pt>
                <c:pt idx="662">
                  <c:v>21</c:v>
                </c:pt>
                <c:pt idx="663">
                  <c:v>21</c:v>
                </c:pt>
                <c:pt idx="664">
                  <c:v>7</c:v>
                </c:pt>
                <c:pt idx="665">
                  <c:v>7</c:v>
                </c:pt>
                <c:pt idx="666">
                  <c:v>1</c:v>
                </c:pt>
                <c:pt idx="667">
                  <c:v>2</c:v>
                </c:pt>
                <c:pt idx="668">
                  <c:v>2</c:v>
                </c:pt>
                <c:pt idx="669">
                  <c:v>8</c:v>
                </c:pt>
                <c:pt idx="670">
                  <c:v>37</c:v>
                </c:pt>
                <c:pt idx="671">
                  <c:v>72</c:v>
                </c:pt>
                <c:pt idx="672">
                  <c:v>185</c:v>
                </c:pt>
                <c:pt idx="673">
                  <c:v>112</c:v>
                </c:pt>
                <c:pt idx="674">
                  <c:v>69</c:v>
                </c:pt>
                <c:pt idx="675">
                  <c:v>48</c:v>
                </c:pt>
                <c:pt idx="676">
                  <c:v>68</c:v>
                </c:pt>
                <c:pt idx="677">
                  <c:v>54</c:v>
                </c:pt>
                <c:pt idx="678">
                  <c:v>86</c:v>
                </c:pt>
                <c:pt idx="679">
                  <c:v>44</c:v>
                </c:pt>
                <c:pt idx="680">
                  <c:v>86</c:v>
                </c:pt>
                <c:pt idx="681">
                  <c:v>161</c:v>
                </c:pt>
                <c:pt idx="682">
                  <c:v>156</c:v>
                </c:pt>
                <c:pt idx="683">
                  <c:v>111</c:v>
                </c:pt>
                <c:pt idx="684">
                  <c:v>78</c:v>
                </c:pt>
                <c:pt idx="685">
                  <c:v>56</c:v>
                </c:pt>
                <c:pt idx="686">
                  <c:v>34</c:v>
                </c:pt>
                <c:pt idx="687">
                  <c:v>17</c:v>
                </c:pt>
                <c:pt idx="688">
                  <c:v>8</c:v>
                </c:pt>
                <c:pt idx="689">
                  <c:v>3</c:v>
                </c:pt>
                <c:pt idx="690">
                  <c:v>2</c:v>
                </c:pt>
                <c:pt idx="691">
                  <c:v>2</c:v>
                </c:pt>
                <c:pt idx="692">
                  <c:v>3</c:v>
                </c:pt>
                <c:pt idx="693">
                  <c:v>22</c:v>
                </c:pt>
                <c:pt idx="694">
                  <c:v>52</c:v>
                </c:pt>
                <c:pt idx="695">
                  <c:v>135</c:v>
                </c:pt>
                <c:pt idx="696">
                  <c:v>116</c:v>
                </c:pt>
                <c:pt idx="697">
                  <c:v>47</c:v>
                </c:pt>
                <c:pt idx="698">
                  <c:v>51</c:v>
                </c:pt>
                <c:pt idx="699">
                  <c:v>55</c:v>
                </c:pt>
                <c:pt idx="700">
                  <c:v>52</c:v>
                </c:pt>
                <c:pt idx="701">
                  <c:v>54</c:v>
                </c:pt>
                <c:pt idx="702">
                  <c:v>52</c:v>
                </c:pt>
                <c:pt idx="703">
                  <c:v>64</c:v>
                </c:pt>
                <c:pt idx="704">
                  <c:v>176</c:v>
                </c:pt>
                <c:pt idx="705">
                  <c:v>168</c:v>
                </c:pt>
                <c:pt idx="706">
                  <c:v>108</c:v>
                </c:pt>
                <c:pt idx="707">
                  <c:v>74</c:v>
                </c:pt>
                <c:pt idx="708">
                  <c:v>64</c:v>
                </c:pt>
                <c:pt idx="709">
                  <c:v>36</c:v>
                </c:pt>
                <c:pt idx="710">
                  <c:v>16</c:v>
                </c:pt>
                <c:pt idx="711">
                  <c:v>2</c:v>
                </c:pt>
                <c:pt idx="712">
                  <c:v>3</c:v>
                </c:pt>
                <c:pt idx="713">
                  <c:v>4</c:v>
                </c:pt>
                <c:pt idx="714">
                  <c:v>1</c:v>
                </c:pt>
                <c:pt idx="715">
                  <c:v>1</c:v>
                </c:pt>
                <c:pt idx="716">
                  <c:v>3</c:v>
                </c:pt>
                <c:pt idx="717">
                  <c:v>18</c:v>
                </c:pt>
                <c:pt idx="718">
                  <c:v>49</c:v>
                </c:pt>
                <c:pt idx="719">
                  <c:v>155</c:v>
                </c:pt>
                <c:pt idx="720">
                  <c:v>123</c:v>
                </c:pt>
                <c:pt idx="721">
                  <c:v>61</c:v>
                </c:pt>
                <c:pt idx="722">
                  <c:v>52</c:v>
                </c:pt>
                <c:pt idx="723">
                  <c:v>64</c:v>
                </c:pt>
                <c:pt idx="724">
                  <c:v>75</c:v>
                </c:pt>
                <c:pt idx="725">
                  <c:v>63</c:v>
                </c:pt>
                <c:pt idx="726">
                  <c:v>76</c:v>
                </c:pt>
                <c:pt idx="727">
                  <c:v>103</c:v>
                </c:pt>
                <c:pt idx="728">
                  <c:v>190</c:v>
                </c:pt>
                <c:pt idx="729">
                  <c:v>182</c:v>
                </c:pt>
                <c:pt idx="730">
                  <c:v>91</c:v>
                </c:pt>
                <c:pt idx="731">
                  <c:v>75</c:v>
                </c:pt>
                <c:pt idx="732">
                  <c:v>63</c:v>
                </c:pt>
                <c:pt idx="733">
                  <c:v>40</c:v>
                </c:pt>
                <c:pt idx="734">
                  <c:v>32</c:v>
                </c:pt>
                <c:pt idx="735">
                  <c:v>12</c:v>
                </c:pt>
                <c:pt idx="736">
                  <c:v>5</c:v>
                </c:pt>
                <c:pt idx="737">
                  <c:v>2</c:v>
                </c:pt>
                <c:pt idx="738">
                  <c:v>1</c:v>
                </c:pt>
                <c:pt idx="739">
                  <c:v>2</c:v>
                </c:pt>
                <c:pt idx="740">
                  <c:v>39</c:v>
                </c:pt>
                <c:pt idx="741">
                  <c:v>87</c:v>
                </c:pt>
                <c:pt idx="742">
                  <c:v>188</c:v>
                </c:pt>
                <c:pt idx="743">
                  <c:v>133</c:v>
                </c:pt>
                <c:pt idx="744">
                  <c:v>52</c:v>
                </c:pt>
                <c:pt idx="745">
                  <c:v>64</c:v>
                </c:pt>
                <c:pt idx="746">
                  <c:v>69</c:v>
                </c:pt>
                <c:pt idx="747">
                  <c:v>51</c:v>
                </c:pt>
                <c:pt idx="748">
                  <c:v>47</c:v>
                </c:pt>
                <c:pt idx="749">
                  <c:v>60</c:v>
                </c:pt>
                <c:pt idx="750">
                  <c:v>78</c:v>
                </c:pt>
                <c:pt idx="751">
                  <c:v>175</c:v>
                </c:pt>
                <c:pt idx="752">
                  <c:v>147</c:v>
                </c:pt>
                <c:pt idx="753">
                  <c:v>96</c:v>
                </c:pt>
                <c:pt idx="754">
                  <c:v>109</c:v>
                </c:pt>
                <c:pt idx="755">
                  <c:v>54</c:v>
                </c:pt>
                <c:pt idx="756">
                  <c:v>41</c:v>
                </c:pt>
                <c:pt idx="757">
                  <c:v>38</c:v>
                </c:pt>
                <c:pt idx="758">
                  <c:v>13</c:v>
                </c:pt>
                <c:pt idx="759">
                  <c:v>7</c:v>
                </c:pt>
                <c:pt idx="760">
                  <c:v>1</c:v>
                </c:pt>
                <c:pt idx="761">
                  <c:v>1</c:v>
                </c:pt>
                <c:pt idx="762">
                  <c:v>7</c:v>
                </c:pt>
                <c:pt idx="763">
                  <c:v>28</c:v>
                </c:pt>
                <c:pt idx="764">
                  <c:v>87</c:v>
                </c:pt>
                <c:pt idx="765">
                  <c:v>220</c:v>
                </c:pt>
                <c:pt idx="766">
                  <c:v>127</c:v>
                </c:pt>
                <c:pt idx="767">
                  <c:v>51</c:v>
                </c:pt>
                <c:pt idx="768">
                  <c:v>64</c:v>
                </c:pt>
                <c:pt idx="769">
                  <c:v>86</c:v>
                </c:pt>
                <c:pt idx="770">
                  <c:v>82</c:v>
                </c:pt>
                <c:pt idx="771">
                  <c:v>91</c:v>
                </c:pt>
                <c:pt idx="772">
                  <c:v>90</c:v>
                </c:pt>
                <c:pt idx="773">
                  <c:v>99</c:v>
                </c:pt>
                <c:pt idx="774">
                  <c:v>205</c:v>
                </c:pt>
                <c:pt idx="775">
                  <c:v>155</c:v>
                </c:pt>
                <c:pt idx="776">
                  <c:v>103</c:v>
                </c:pt>
                <c:pt idx="777">
                  <c:v>71</c:v>
                </c:pt>
                <c:pt idx="778">
                  <c:v>43</c:v>
                </c:pt>
                <c:pt idx="779">
                  <c:v>46</c:v>
                </c:pt>
                <c:pt idx="780">
                  <c:v>31</c:v>
                </c:pt>
                <c:pt idx="781">
                  <c:v>39</c:v>
                </c:pt>
                <c:pt idx="782">
                  <c:v>18</c:v>
                </c:pt>
                <c:pt idx="783">
                  <c:v>17</c:v>
                </c:pt>
                <c:pt idx="784">
                  <c:v>11</c:v>
                </c:pt>
                <c:pt idx="785">
                  <c:v>8</c:v>
                </c:pt>
                <c:pt idx="786">
                  <c:v>9</c:v>
                </c:pt>
                <c:pt idx="787">
                  <c:v>4</c:v>
                </c:pt>
                <c:pt idx="788">
                  <c:v>4</c:v>
                </c:pt>
                <c:pt idx="789">
                  <c:v>10</c:v>
                </c:pt>
                <c:pt idx="790">
                  <c:v>20</c:v>
                </c:pt>
                <c:pt idx="791">
                  <c:v>34</c:v>
                </c:pt>
                <c:pt idx="792">
                  <c:v>47</c:v>
                </c:pt>
                <c:pt idx="793">
                  <c:v>52</c:v>
                </c:pt>
                <c:pt idx="794">
                  <c:v>72</c:v>
                </c:pt>
                <c:pt idx="795">
                  <c:v>55</c:v>
                </c:pt>
                <c:pt idx="796">
                  <c:v>60</c:v>
                </c:pt>
                <c:pt idx="797">
                  <c:v>71</c:v>
                </c:pt>
                <c:pt idx="798">
                  <c:v>78</c:v>
                </c:pt>
                <c:pt idx="799">
                  <c:v>83</c:v>
                </c:pt>
                <c:pt idx="800">
                  <c:v>84</c:v>
                </c:pt>
                <c:pt idx="801">
                  <c:v>69</c:v>
                </c:pt>
                <c:pt idx="802">
                  <c:v>56</c:v>
                </c:pt>
                <c:pt idx="803">
                  <c:v>45</c:v>
                </c:pt>
                <c:pt idx="804">
                  <c:v>59</c:v>
                </c:pt>
                <c:pt idx="805">
                  <c:v>39</c:v>
                </c:pt>
                <c:pt idx="806">
                  <c:v>44</c:v>
                </c:pt>
                <c:pt idx="807">
                  <c:v>20</c:v>
                </c:pt>
                <c:pt idx="808">
                  <c:v>13</c:v>
                </c:pt>
                <c:pt idx="809">
                  <c:v>2</c:v>
                </c:pt>
                <c:pt idx="810">
                  <c:v>1</c:v>
                </c:pt>
                <c:pt idx="811">
                  <c:v>1</c:v>
                </c:pt>
                <c:pt idx="812">
                  <c:v>8</c:v>
                </c:pt>
                <c:pt idx="813">
                  <c:v>23</c:v>
                </c:pt>
                <c:pt idx="814">
                  <c:v>45</c:v>
                </c:pt>
                <c:pt idx="815">
                  <c:v>89</c:v>
                </c:pt>
                <c:pt idx="816">
                  <c:v>117</c:v>
                </c:pt>
                <c:pt idx="817">
                  <c:v>174</c:v>
                </c:pt>
                <c:pt idx="818">
                  <c:v>182</c:v>
                </c:pt>
                <c:pt idx="819">
                  <c:v>161</c:v>
                </c:pt>
                <c:pt idx="820">
                  <c:v>182</c:v>
                </c:pt>
                <c:pt idx="821">
                  <c:v>157</c:v>
                </c:pt>
                <c:pt idx="822">
                  <c:v>121</c:v>
                </c:pt>
                <c:pt idx="823">
                  <c:v>78</c:v>
                </c:pt>
                <c:pt idx="824">
                  <c:v>21</c:v>
                </c:pt>
                <c:pt idx="825">
                  <c:v>26</c:v>
                </c:pt>
                <c:pt idx="826">
                  <c:v>27</c:v>
                </c:pt>
                <c:pt idx="827">
                  <c:v>62</c:v>
                </c:pt>
                <c:pt idx="828">
                  <c:v>30</c:v>
                </c:pt>
                <c:pt idx="829">
                  <c:v>15</c:v>
                </c:pt>
                <c:pt idx="830">
                  <c:v>5</c:v>
                </c:pt>
                <c:pt idx="831">
                  <c:v>3</c:v>
                </c:pt>
                <c:pt idx="832">
                  <c:v>1</c:v>
                </c:pt>
                <c:pt idx="833">
                  <c:v>2</c:v>
                </c:pt>
                <c:pt idx="834">
                  <c:v>10</c:v>
                </c:pt>
                <c:pt idx="835">
                  <c:v>30</c:v>
                </c:pt>
                <c:pt idx="836">
                  <c:v>95</c:v>
                </c:pt>
                <c:pt idx="837">
                  <c:v>230</c:v>
                </c:pt>
                <c:pt idx="838">
                  <c:v>118</c:v>
                </c:pt>
                <c:pt idx="839">
                  <c:v>55</c:v>
                </c:pt>
                <c:pt idx="840">
                  <c:v>47</c:v>
                </c:pt>
                <c:pt idx="841">
                  <c:v>66</c:v>
                </c:pt>
                <c:pt idx="842">
                  <c:v>64</c:v>
                </c:pt>
                <c:pt idx="843">
                  <c:v>60</c:v>
                </c:pt>
                <c:pt idx="844">
                  <c:v>50</c:v>
                </c:pt>
                <c:pt idx="845">
                  <c:v>114</c:v>
                </c:pt>
                <c:pt idx="846">
                  <c:v>216</c:v>
                </c:pt>
                <c:pt idx="847">
                  <c:v>175</c:v>
                </c:pt>
                <c:pt idx="848">
                  <c:v>128</c:v>
                </c:pt>
                <c:pt idx="849">
                  <c:v>88</c:v>
                </c:pt>
                <c:pt idx="850">
                  <c:v>78</c:v>
                </c:pt>
                <c:pt idx="851">
                  <c:v>37</c:v>
                </c:pt>
                <c:pt idx="852">
                  <c:v>25</c:v>
                </c:pt>
                <c:pt idx="853">
                  <c:v>10</c:v>
                </c:pt>
                <c:pt idx="854">
                  <c:v>4</c:v>
                </c:pt>
                <c:pt idx="855">
                  <c:v>2</c:v>
                </c:pt>
                <c:pt idx="856">
                  <c:v>1</c:v>
                </c:pt>
                <c:pt idx="857">
                  <c:v>3</c:v>
                </c:pt>
                <c:pt idx="858">
                  <c:v>2</c:v>
                </c:pt>
                <c:pt idx="859">
                  <c:v>39</c:v>
                </c:pt>
                <c:pt idx="860">
                  <c:v>100</c:v>
                </c:pt>
                <c:pt idx="861">
                  <c:v>243</c:v>
                </c:pt>
                <c:pt idx="862">
                  <c:v>135</c:v>
                </c:pt>
                <c:pt idx="863">
                  <c:v>48</c:v>
                </c:pt>
                <c:pt idx="864">
                  <c:v>50</c:v>
                </c:pt>
                <c:pt idx="865">
                  <c:v>65</c:v>
                </c:pt>
                <c:pt idx="866">
                  <c:v>50</c:v>
                </c:pt>
                <c:pt idx="867">
                  <c:v>64</c:v>
                </c:pt>
                <c:pt idx="868">
                  <c:v>51</c:v>
                </c:pt>
                <c:pt idx="869">
                  <c:v>83</c:v>
                </c:pt>
                <c:pt idx="870">
                  <c:v>176</c:v>
                </c:pt>
                <c:pt idx="871">
                  <c:v>152</c:v>
                </c:pt>
                <c:pt idx="872">
                  <c:v>101</c:v>
                </c:pt>
                <c:pt idx="873">
                  <c:v>56</c:v>
                </c:pt>
                <c:pt idx="874">
                  <c:v>54</c:v>
                </c:pt>
                <c:pt idx="875">
                  <c:v>29</c:v>
                </c:pt>
                <c:pt idx="876">
                  <c:v>12</c:v>
                </c:pt>
                <c:pt idx="877">
                  <c:v>17</c:v>
                </c:pt>
                <c:pt idx="878">
                  <c:v>7</c:v>
                </c:pt>
                <c:pt idx="879">
                  <c:v>3</c:v>
                </c:pt>
                <c:pt idx="880">
                  <c:v>2</c:v>
                </c:pt>
                <c:pt idx="881">
                  <c:v>7</c:v>
                </c:pt>
                <c:pt idx="882">
                  <c:v>43</c:v>
                </c:pt>
                <c:pt idx="883">
                  <c:v>99</c:v>
                </c:pt>
                <c:pt idx="884">
                  <c:v>199</c:v>
                </c:pt>
                <c:pt idx="885">
                  <c:v>123</c:v>
                </c:pt>
                <c:pt idx="886">
                  <c:v>59</c:v>
                </c:pt>
                <c:pt idx="887">
                  <c:v>41</c:v>
                </c:pt>
                <c:pt idx="888">
                  <c:v>61</c:v>
                </c:pt>
                <c:pt idx="889">
                  <c:v>69</c:v>
                </c:pt>
                <c:pt idx="890">
                  <c:v>58</c:v>
                </c:pt>
                <c:pt idx="891">
                  <c:v>64</c:v>
                </c:pt>
                <c:pt idx="892">
                  <c:v>79</c:v>
                </c:pt>
                <c:pt idx="893">
                  <c:v>166</c:v>
                </c:pt>
                <c:pt idx="894">
                  <c:v>170</c:v>
                </c:pt>
                <c:pt idx="895">
                  <c:v>88</c:v>
                </c:pt>
                <c:pt idx="896">
                  <c:v>84</c:v>
                </c:pt>
                <c:pt idx="897">
                  <c:v>83</c:v>
                </c:pt>
                <c:pt idx="898">
                  <c:v>46</c:v>
                </c:pt>
                <c:pt idx="899">
                  <c:v>37</c:v>
                </c:pt>
                <c:pt idx="900">
                  <c:v>16</c:v>
                </c:pt>
                <c:pt idx="901">
                  <c:v>7</c:v>
                </c:pt>
                <c:pt idx="902">
                  <c:v>3</c:v>
                </c:pt>
                <c:pt idx="903">
                  <c:v>1</c:v>
                </c:pt>
                <c:pt idx="904">
                  <c:v>6</c:v>
                </c:pt>
                <c:pt idx="905">
                  <c:v>26</c:v>
                </c:pt>
                <c:pt idx="906">
                  <c:v>99</c:v>
                </c:pt>
                <c:pt idx="907">
                  <c:v>178</c:v>
                </c:pt>
                <c:pt idx="908">
                  <c:v>122</c:v>
                </c:pt>
                <c:pt idx="909">
                  <c:v>35</c:v>
                </c:pt>
                <c:pt idx="910">
                  <c:v>45</c:v>
                </c:pt>
                <c:pt idx="911">
                  <c:v>69</c:v>
                </c:pt>
                <c:pt idx="912">
                  <c:v>62</c:v>
                </c:pt>
                <c:pt idx="913">
                  <c:v>48</c:v>
                </c:pt>
                <c:pt idx="914">
                  <c:v>50</c:v>
                </c:pt>
                <c:pt idx="915">
                  <c:v>80</c:v>
                </c:pt>
                <c:pt idx="916">
                  <c:v>165</c:v>
                </c:pt>
                <c:pt idx="917">
                  <c:v>160</c:v>
                </c:pt>
                <c:pt idx="918">
                  <c:v>112</c:v>
                </c:pt>
                <c:pt idx="919">
                  <c:v>97</c:v>
                </c:pt>
                <c:pt idx="920">
                  <c:v>72</c:v>
                </c:pt>
                <c:pt idx="921">
                  <c:v>51</c:v>
                </c:pt>
                <c:pt idx="922">
                  <c:v>34</c:v>
                </c:pt>
                <c:pt idx="923">
                  <c:v>14</c:v>
                </c:pt>
                <c:pt idx="924">
                  <c:v>7</c:v>
                </c:pt>
                <c:pt idx="925">
                  <c:v>3</c:v>
                </c:pt>
                <c:pt idx="926">
                  <c:v>4</c:v>
                </c:pt>
                <c:pt idx="927">
                  <c:v>24</c:v>
                </c:pt>
                <c:pt idx="928">
                  <c:v>74</c:v>
                </c:pt>
                <c:pt idx="929">
                  <c:v>216</c:v>
                </c:pt>
                <c:pt idx="930">
                  <c:v>140</c:v>
                </c:pt>
                <c:pt idx="931">
                  <c:v>44</c:v>
                </c:pt>
                <c:pt idx="932">
                  <c:v>64</c:v>
                </c:pt>
                <c:pt idx="933">
                  <c:v>71</c:v>
                </c:pt>
                <c:pt idx="934">
                  <c:v>110</c:v>
                </c:pt>
                <c:pt idx="935">
                  <c:v>84</c:v>
                </c:pt>
                <c:pt idx="936">
                  <c:v>74</c:v>
                </c:pt>
                <c:pt idx="937">
                  <c:v>125</c:v>
                </c:pt>
                <c:pt idx="938">
                  <c:v>211</c:v>
                </c:pt>
                <c:pt idx="939">
                  <c:v>174</c:v>
                </c:pt>
                <c:pt idx="940">
                  <c:v>101</c:v>
                </c:pt>
                <c:pt idx="941">
                  <c:v>63</c:v>
                </c:pt>
                <c:pt idx="942">
                  <c:v>47</c:v>
                </c:pt>
                <c:pt idx="943">
                  <c:v>43</c:v>
                </c:pt>
                <c:pt idx="944">
                  <c:v>53</c:v>
                </c:pt>
                <c:pt idx="945">
                  <c:v>30</c:v>
                </c:pt>
                <c:pt idx="946">
                  <c:v>24</c:v>
                </c:pt>
                <c:pt idx="947">
                  <c:v>15</c:v>
                </c:pt>
                <c:pt idx="948">
                  <c:v>10</c:v>
                </c:pt>
                <c:pt idx="949">
                  <c:v>4</c:v>
                </c:pt>
                <c:pt idx="950">
                  <c:v>1</c:v>
                </c:pt>
                <c:pt idx="951">
                  <c:v>2</c:v>
                </c:pt>
                <c:pt idx="952">
                  <c:v>11</c:v>
                </c:pt>
                <c:pt idx="953">
                  <c:v>30</c:v>
                </c:pt>
                <c:pt idx="954">
                  <c:v>43</c:v>
                </c:pt>
                <c:pt idx="955">
                  <c:v>84</c:v>
                </c:pt>
                <c:pt idx="956">
                  <c:v>114</c:v>
                </c:pt>
                <c:pt idx="957">
                  <c:v>120</c:v>
                </c:pt>
                <c:pt idx="958">
                  <c:v>135</c:v>
                </c:pt>
                <c:pt idx="959">
                  <c:v>120</c:v>
                </c:pt>
                <c:pt idx="960">
                  <c:v>174</c:v>
                </c:pt>
                <c:pt idx="961">
                  <c:v>145</c:v>
                </c:pt>
                <c:pt idx="962">
                  <c:v>137</c:v>
                </c:pt>
                <c:pt idx="963">
                  <c:v>64</c:v>
                </c:pt>
                <c:pt idx="964">
                  <c:v>41</c:v>
                </c:pt>
                <c:pt idx="965">
                  <c:v>40</c:v>
                </c:pt>
                <c:pt idx="966">
                  <c:v>51</c:v>
                </c:pt>
                <c:pt idx="967">
                  <c:v>45</c:v>
                </c:pt>
                <c:pt idx="968">
                  <c:v>32</c:v>
                </c:pt>
                <c:pt idx="969">
                  <c:v>39</c:v>
                </c:pt>
                <c:pt idx="970">
                  <c:v>24</c:v>
                </c:pt>
                <c:pt idx="971">
                  <c:v>20</c:v>
                </c:pt>
                <c:pt idx="972">
                  <c:v>12</c:v>
                </c:pt>
                <c:pt idx="973">
                  <c:v>2</c:v>
                </c:pt>
                <c:pt idx="974">
                  <c:v>5</c:v>
                </c:pt>
                <c:pt idx="975">
                  <c:v>3</c:v>
                </c:pt>
                <c:pt idx="976">
                  <c:v>12</c:v>
                </c:pt>
                <c:pt idx="977">
                  <c:v>47</c:v>
                </c:pt>
                <c:pt idx="978">
                  <c:v>105</c:v>
                </c:pt>
                <c:pt idx="979">
                  <c:v>112</c:v>
                </c:pt>
                <c:pt idx="980">
                  <c:v>152</c:v>
                </c:pt>
                <c:pt idx="981">
                  <c:v>154</c:v>
                </c:pt>
                <c:pt idx="982">
                  <c:v>161</c:v>
                </c:pt>
                <c:pt idx="983">
                  <c:v>162</c:v>
                </c:pt>
                <c:pt idx="984">
                  <c:v>134</c:v>
                </c:pt>
                <c:pt idx="985">
                  <c:v>125</c:v>
                </c:pt>
                <c:pt idx="986">
                  <c:v>95</c:v>
                </c:pt>
                <c:pt idx="987">
                  <c:v>61</c:v>
                </c:pt>
                <c:pt idx="988">
                  <c:v>47</c:v>
                </c:pt>
                <c:pt idx="989">
                  <c:v>51</c:v>
                </c:pt>
                <c:pt idx="990">
                  <c:v>36</c:v>
                </c:pt>
                <c:pt idx="991">
                  <c:v>30</c:v>
                </c:pt>
                <c:pt idx="992">
                  <c:v>11</c:v>
                </c:pt>
                <c:pt idx="993">
                  <c:v>7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3</c:v>
                </c:pt>
                <c:pt idx="998">
                  <c:v>26</c:v>
                </c:pt>
                <c:pt idx="999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97-4147-B275-71E94D30E98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78049664"/>
        <c:axId val="78051200"/>
      </c:scatterChart>
      <c:valAx>
        <c:axId val="7804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1200"/>
        <c:crosses val="autoZero"/>
        <c:crossBetween val="midCat"/>
      </c:valAx>
      <c:valAx>
        <c:axId val="7805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9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[1]dataset_1!$P$1</c:f>
              <c:strCache>
                <c:ptCount val="1"/>
                <c:pt idx="0">
                  <c:v>cnt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3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[1]dataset_1!$J$2:$J$1001</c:f>
              <c:numCache>
                <c:formatCode>General</c:formatCode>
                <c:ptCount val="1000"/>
                <c:pt idx="0">
                  <c:v>0.24</c:v>
                </c:pt>
                <c:pt idx="1">
                  <c:v>0.22</c:v>
                </c:pt>
                <c:pt idx="2">
                  <c:v>0.22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0.22</c:v>
                </c:pt>
                <c:pt idx="7">
                  <c:v>0.2</c:v>
                </c:pt>
                <c:pt idx="8">
                  <c:v>0.24</c:v>
                </c:pt>
                <c:pt idx="9">
                  <c:v>0.32</c:v>
                </c:pt>
                <c:pt idx="10">
                  <c:v>0.38</c:v>
                </c:pt>
                <c:pt idx="11">
                  <c:v>0.36</c:v>
                </c:pt>
                <c:pt idx="12">
                  <c:v>0.42</c:v>
                </c:pt>
                <c:pt idx="13">
                  <c:v>0.46</c:v>
                </c:pt>
                <c:pt idx="14">
                  <c:v>0.46</c:v>
                </c:pt>
                <c:pt idx="15">
                  <c:v>0.44</c:v>
                </c:pt>
                <c:pt idx="16">
                  <c:v>0.42</c:v>
                </c:pt>
                <c:pt idx="17">
                  <c:v>0.44</c:v>
                </c:pt>
                <c:pt idx="18">
                  <c:v>0.42</c:v>
                </c:pt>
                <c:pt idx="19">
                  <c:v>0.42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0.46</c:v>
                </c:pt>
                <c:pt idx="24">
                  <c:v>0.46</c:v>
                </c:pt>
                <c:pt idx="25">
                  <c:v>0.44</c:v>
                </c:pt>
                <c:pt idx="26">
                  <c:v>0.42</c:v>
                </c:pt>
                <c:pt idx="27">
                  <c:v>0.46</c:v>
                </c:pt>
                <c:pt idx="28">
                  <c:v>0.46</c:v>
                </c:pt>
                <c:pt idx="29">
                  <c:v>0.42</c:v>
                </c:pt>
                <c:pt idx="30">
                  <c:v>0.4</c:v>
                </c:pt>
                <c:pt idx="31">
                  <c:v>0.4</c:v>
                </c:pt>
                <c:pt idx="32">
                  <c:v>0.38</c:v>
                </c:pt>
                <c:pt idx="33">
                  <c:v>0.36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0.36</c:v>
                </c:pt>
                <c:pt idx="38">
                  <c:v>0.34</c:v>
                </c:pt>
                <c:pt idx="39">
                  <c:v>0.34</c:v>
                </c:pt>
                <c:pt idx="40">
                  <c:v>0.34</c:v>
                </c:pt>
                <c:pt idx="41">
                  <c:v>0.36</c:v>
                </c:pt>
                <c:pt idx="42">
                  <c:v>0.32</c:v>
                </c:pt>
                <c:pt idx="43">
                  <c:v>0.3</c:v>
                </c:pt>
                <c:pt idx="44">
                  <c:v>0.26</c:v>
                </c:pt>
                <c:pt idx="45">
                  <c:v>0.24</c:v>
                </c:pt>
                <c:pt idx="46">
                  <c:v>0.22</c:v>
                </c:pt>
                <c:pt idx="47">
                  <c:v>0.22</c:v>
                </c:pt>
                <c:pt idx="48">
                  <c:v>0.2</c:v>
                </c:pt>
                <c:pt idx="49">
                  <c:v>0.16</c:v>
                </c:pt>
                <c:pt idx="50">
                  <c:v>0.16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0.16</c:v>
                </c:pt>
                <c:pt idx="55">
                  <c:v>0.18</c:v>
                </c:pt>
                <c:pt idx="56">
                  <c:v>0.2</c:v>
                </c:pt>
                <c:pt idx="57">
                  <c:v>0.22</c:v>
                </c:pt>
                <c:pt idx="58">
                  <c:v>0.24</c:v>
                </c:pt>
                <c:pt idx="59">
                  <c:v>0.26</c:v>
                </c:pt>
                <c:pt idx="60">
                  <c:v>0.26</c:v>
                </c:pt>
                <c:pt idx="61">
                  <c:v>0.26</c:v>
                </c:pt>
                <c:pt idx="62">
                  <c:v>0.24</c:v>
                </c:pt>
                <c:pt idx="63">
                  <c:v>0.24</c:v>
                </c:pt>
                <c:pt idx="64">
                  <c:v>0.2</c:v>
                </c:pt>
                <c:pt idx="65">
                  <c:v>0.2</c:v>
                </c:pt>
                <c:pt idx="66">
                  <c:v>0.18</c:v>
                </c:pt>
                <c:pt idx="67">
                  <c:v>0.14000000000000001</c:v>
                </c:pt>
                <c:pt idx="68">
                  <c:v>0.18</c:v>
                </c:pt>
                <c:pt idx="69">
                  <c:v>0.16</c:v>
                </c:pt>
                <c:pt idx="70">
                  <c:v>0.16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0.14000000000000001</c:v>
                </c:pt>
                <c:pt idx="77">
                  <c:v>0.16</c:v>
                </c:pt>
                <c:pt idx="78">
                  <c:v>0.16</c:v>
                </c:pt>
                <c:pt idx="79">
                  <c:v>0.22</c:v>
                </c:pt>
                <c:pt idx="80">
                  <c:v>0.22</c:v>
                </c:pt>
                <c:pt idx="81">
                  <c:v>0.24</c:v>
                </c:pt>
                <c:pt idx="82">
                  <c:v>0.26</c:v>
                </c:pt>
                <c:pt idx="83">
                  <c:v>0.28000000000000003</c:v>
                </c:pt>
                <c:pt idx="84">
                  <c:v>0.3</c:v>
                </c:pt>
                <c:pt idx="85">
                  <c:v>0.28000000000000003</c:v>
                </c:pt>
                <c:pt idx="86">
                  <c:v>0.26</c:v>
                </c:pt>
                <c:pt idx="87">
                  <c:v>0.24</c:v>
                </c:pt>
                <c:pt idx="88">
                  <c:v>0.24</c:v>
                </c:pt>
                <c:pt idx="89">
                  <c:v>0.22</c:v>
                </c:pt>
                <c:pt idx="90">
                  <c:v>0.22</c:v>
                </c:pt>
                <c:pt idx="91">
                  <c:v>0.2</c:v>
                </c:pt>
                <c:pt idx="92">
                  <c:v>0.2</c:v>
                </c:pt>
                <c:pt idx="93">
                  <c:v>0.16</c:v>
                </c:pt>
                <c:pt idx="94">
                  <c:v>0.16</c:v>
                </c:pt>
                <c:pt idx="95">
                  <c:v>0.24</c:v>
                </c:pt>
                <c:pt idx="96">
                  <c:v>0.22</c:v>
                </c:pt>
                <c:pt idx="97">
                  <c:v>0.2</c:v>
                </c:pt>
                <c:pt idx="98">
                  <c:v>0.18</c:v>
                </c:pt>
                <c:pt idx="99">
                  <c:v>0.2</c:v>
                </c:pt>
                <c:pt idx="100">
                  <c:v>0.22</c:v>
                </c:pt>
                <c:pt idx="101">
                  <c:v>0.22</c:v>
                </c:pt>
                <c:pt idx="102">
                  <c:v>0.26</c:v>
                </c:pt>
                <c:pt idx="103">
                  <c:v>0.26</c:v>
                </c:pt>
                <c:pt idx="104">
                  <c:v>0.28000000000000003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0.22</c:v>
                </c:pt>
                <c:pt idx="112">
                  <c:v>0.2</c:v>
                </c:pt>
                <c:pt idx="113">
                  <c:v>0.18</c:v>
                </c:pt>
                <c:pt idx="114">
                  <c:v>0.2</c:v>
                </c:pt>
                <c:pt idx="115">
                  <c:v>0.18</c:v>
                </c:pt>
                <c:pt idx="116">
                  <c:v>0.16</c:v>
                </c:pt>
                <c:pt idx="117">
                  <c:v>0.16</c:v>
                </c:pt>
                <c:pt idx="118">
                  <c:v>0.16</c:v>
                </c:pt>
                <c:pt idx="119">
                  <c:v>0.14000000000000001</c:v>
                </c:pt>
                <c:pt idx="120">
                  <c:v>0.14000000000000001</c:v>
                </c:pt>
                <c:pt idx="121">
                  <c:v>0.16</c:v>
                </c:pt>
                <c:pt idx="122">
                  <c:v>0.16</c:v>
                </c:pt>
                <c:pt idx="123">
                  <c:v>0.18</c:v>
                </c:pt>
                <c:pt idx="124">
                  <c:v>0.2</c:v>
                </c:pt>
                <c:pt idx="125">
                  <c:v>0.22</c:v>
                </c:pt>
                <c:pt idx="126">
                  <c:v>0.26</c:v>
                </c:pt>
                <c:pt idx="127">
                  <c:v>0.26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0.26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</c:v>
                </c:pt>
                <c:pt idx="135">
                  <c:v>0.22</c:v>
                </c:pt>
                <c:pt idx="136">
                  <c:v>0.22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0.22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0.2</c:v>
                </c:pt>
                <c:pt idx="147">
                  <c:v>0.22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0.16</c:v>
                </c:pt>
                <c:pt idx="157">
                  <c:v>0.18</c:v>
                </c:pt>
                <c:pt idx="158">
                  <c:v>0.18</c:v>
                </c:pt>
                <c:pt idx="159">
                  <c:v>0.18</c:v>
                </c:pt>
                <c:pt idx="160">
                  <c:v>0.18</c:v>
                </c:pt>
                <c:pt idx="161">
                  <c:v>0.18</c:v>
                </c:pt>
                <c:pt idx="162">
                  <c:v>0.18</c:v>
                </c:pt>
                <c:pt idx="163">
                  <c:v>0.18</c:v>
                </c:pt>
                <c:pt idx="164">
                  <c:v>0.18</c:v>
                </c:pt>
                <c:pt idx="165">
                  <c:v>0.18</c:v>
                </c:pt>
                <c:pt idx="166">
                  <c:v>0.16</c:v>
                </c:pt>
                <c:pt idx="167">
                  <c:v>0.16</c:v>
                </c:pt>
                <c:pt idx="168">
                  <c:v>0.16</c:v>
                </c:pt>
                <c:pt idx="169">
                  <c:v>0.16</c:v>
                </c:pt>
                <c:pt idx="170">
                  <c:v>0.16</c:v>
                </c:pt>
                <c:pt idx="171">
                  <c:v>0.18</c:v>
                </c:pt>
                <c:pt idx="172">
                  <c:v>0.2</c:v>
                </c:pt>
                <c:pt idx="173">
                  <c:v>0.2</c:v>
                </c:pt>
                <c:pt idx="174">
                  <c:v>0.2</c:v>
                </c:pt>
                <c:pt idx="175">
                  <c:v>0.2</c:v>
                </c:pt>
                <c:pt idx="176">
                  <c:v>0.2</c:v>
                </c:pt>
                <c:pt idx="177">
                  <c:v>0.18</c:v>
                </c:pt>
                <c:pt idx="178">
                  <c:v>0.16</c:v>
                </c:pt>
                <c:pt idx="179">
                  <c:v>0.14000000000000001</c:v>
                </c:pt>
                <c:pt idx="180">
                  <c:v>0.14000000000000001</c:v>
                </c:pt>
                <c:pt idx="181">
                  <c:v>0.12</c:v>
                </c:pt>
                <c:pt idx="182">
                  <c:v>0.12</c:v>
                </c:pt>
                <c:pt idx="183">
                  <c:v>0.12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0.08</c:v>
                </c:pt>
                <c:pt idx="190">
                  <c:v>0.08</c:v>
                </c:pt>
                <c:pt idx="191">
                  <c:v>0.1</c:v>
                </c:pt>
                <c:pt idx="192">
                  <c:v>0.08</c:v>
                </c:pt>
                <c:pt idx="193">
                  <c:v>0.1</c:v>
                </c:pt>
                <c:pt idx="194">
                  <c:v>0.12</c:v>
                </c:pt>
                <c:pt idx="195">
                  <c:v>0.14000000000000001</c:v>
                </c:pt>
                <c:pt idx="196">
                  <c:v>0.16</c:v>
                </c:pt>
                <c:pt idx="197">
                  <c:v>0.18</c:v>
                </c:pt>
                <c:pt idx="198">
                  <c:v>0.2</c:v>
                </c:pt>
                <c:pt idx="199">
                  <c:v>0.22</c:v>
                </c:pt>
                <c:pt idx="200">
                  <c:v>0.22</c:v>
                </c:pt>
                <c:pt idx="201">
                  <c:v>0.2</c:v>
                </c:pt>
                <c:pt idx="202">
                  <c:v>0.18</c:v>
                </c:pt>
                <c:pt idx="203">
                  <c:v>0.16</c:v>
                </c:pt>
                <c:pt idx="204">
                  <c:v>0.16</c:v>
                </c:pt>
                <c:pt idx="205">
                  <c:v>0.14000000000000001</c:v>
                </c:pt>
                <c:pt idx="206">
                  <c:v>0.14000000000000001</c:v>
                </c:pt>
                <c:pt idx="207">
                  <c:v>0.14000000000000001</c:v>
                </c:pt>
                <c:pt idx="208">
                  <c:v>0.12</c:v>
                </c:pt>
                <c:pt idx="209">
                  <c:v>0.12</c:v>
                </c:pt>
                <c:pt idx="210">
                  <c:v>0.12</c:v>
                </c:pt>
                <c:pt idx="211">
                  <c:v>0.12</c:v>
                </c:pt>
                <c:pt idx="212">
                  <c:v>0.12</c:v>
                </c:pt>
                <c:pt idx="213">
                  <c:v>0.1</c:v>
                </c:pt>
                <c:pt idx="214">
                  <c:v>0.1</c:v>
                </c:pt>
                <c:pt idx="215">
                  <c:v>0.12</c:v>
                </c:pt>
                <c:pt idx="216">
                  <c:v>0.12</c:v>
                </c:pt>
                <c:pt idx="217">
                  <c:v>0.12</c:v>
                </c:pt>
                <c:pt idx="218">
                  <c:v>0.14000000000000001</c:v>
                </c:pt>
                <c:pt idx="219">
                  <c:v>0.14000000000000001</c:v>
                </c:pt>
                <c:pt idx="220">
                  <c:v>0.16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0.2</c:v>
                </c:pt>
                <c:pt idx="225">
                  <c:v>0.2</c:v>
                </c:pt>
                <c:pt idx="226">
                  <c:v>0.2</c:v>
                </c:pt>
                <c:pt idx="227">
                  <c:v>0.2</c:v>
                </c:pt>
                <c:pt idx="228">
                  <c:v>0.16</c:v>
                </c:pt>
                <c:pt idx="229">
                  <c:v>0.16</c:v>
                </c:pt>
                <c:pt idx="230">
                  <c:v>0.14000000000000001</c:v>
                </c:pt>
                <c:pt idx="231">
                  <c:v>0.14000000000000001</c:v>
                </c:pt>
                <c:pt idx="232">
                  <c:v>0.14000000000000001</c:v>
                </c:pt>
                <c:pt idx="233">
                  <c:v>0.14000000000000001</c:v>
                </c:pt>
                <c:pt idx="234">
                  <c:v>0.14000000000000001</c:v>
                </c:pt>
                <c:pt idx="235">
                  <c:v>0.16</c:v>
                </c:pt>
                <c:pt idx="236">
                  <c:v>0.16</c:v>
                </c:pt>
                <c:pt idx="237">
                  <c:v>0.16</c:v>
                </c:pt>
                <c:pt idx="238">
                  <c:v>0.16</c:v>
                </c:pt>
                <c:pt idx="239">
                  <c:v>0.18</c:v>
                </c:pt>
                <c:pt idx="240">
                  <c:v>0.18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0.2</c:v>
                </c:pt>
                <c:pt idx="245">
                  <c:v>0.2</c:v>
                </c:pt>
                <c:pt idx="246">
                  <c:v>0.16</c:v>
                </c:pt>
                <c:pt idx="247">
                  <c:v>0.16</c:v>
                </c:pt>
                <c:pt idx="248">
                  <c:v>0.16</c:v>
                </c:pt>
                <c:pt idx="249">
                  <c:v>0.16</c:v>
                </c:pt>
                <c:pt idx="250">
                  <c:v>0.16</c:v>
                </c:pt>
                <c:pt idx="251">
                  <c:v>0.16</c:v>
                </c:pt>
                <c:pt idx="252">
                  <c:v>0.16</c:v>
                </c:pt>
                <c:pt idx="253">
                  <c:v>0.16</c:v>
                </c:pt>
                <c:pt idx="254">
                  <c:v>0.16</c:v>
                </c:pt>
                <c:pt idx="255">
                  <c:v>0.16</c:v>
                </c:pt>
                <c:pt idx="256">
                  <c:v>0.16</c:v>
                </c:pt>
                <c:pt idx="257">
                  <c:v>0.14000000000000001</c:v>
                </c:pt>
                <c:pt idx="258">
                  <c:v>0.14000000000000001</c:v>
                </c:pt>
                <c:pt idx="259">
                  <c:v>0.12</c:v>
                </c:pt>
                <c:pt idx="260">
                  <c:v>0.14000000000000001</c:v>
                </c:pt>
                <c:pt idx="261">
                  <c:v>0.16</c:v>
                </c:pt>
                <c:pt idx="262">
                  <c:v>0.16</c:v>
                </c:pt>
                <c:pt idx="263">
                  <c:v>0.18</c:v>
                </c:pt>
                <c:pt idx="264">
                  <c:v>0.2</c:v>
                </c:pt>
                <c:pt idx="265">
                  <c:v>0.2</c:v>
                </c:pt>
                <c:pt idx="266">
                  <c:v>0.22</c:v>
                </c:pt>
                <c:pt idx="267">
                  <c:v>0.2</c:v>
                </c:pt>
                <c:pt idx="268">
                  <c:v>0.2</c:v>
                </c:pt>
                <c:pt idx="269">
                  <c:v>0.22</c:v>
                </c:pt>
                <c:pt idx="270">
                  <c:v>0.2</c:v>
                </c:pt>
                <c:pt idx="271">
                  <c:v>0.2</c:v>
                </c:pt>
                <c:pt idx="272">
                  <c:v>0.18</c:v>
                </c:pt>
                <c:pt idx="273">
                  <c:v>0.16</c:v>
                </c:pt>
                <c:pt idx="274">
                  <c:v>0.16</c:v>
                </c:pt>
                <c:pt idx="275">
                  <c:v>0.16</c:v>
                </c:pt>
                <c:pt idx="276">
                  <c:v>0.14000000000000001</c:v>
                </c:pt>
                <c:pt idx="277">
                  <c:v>0.14000000000000001</c:v>
                </c:pt>
                <c:pt idx="278">
                  <c:v>0.14000000000000001</c:v>
                </c:pt>
                <c:pt idx="279">
                  <c:v>0.14000000000000001</c:v>
                </c:pt>
                <c:pt idx="280">
                  <c:v>0.14000000000000001</c:v>
                </c:pt>
                <c:pt idx="281">
                  <c:v>0.14000000000000001</c:v>
                </c:pt>
                <c:pt idx="282">
                  <c:v>0.14000000000000001</c:v>
                </c:pt>
                <c:pt idx="283">
                  <c:v>0.12</c:v>
                </c:pt>
                <c:pt idx="284">
                  <c:v>0.12</c:v>
                </c:pt>
                <c:pt idx="285">
                  <c:v>0.14000000000000001</c:v>
                </c:pt>
                <c:pt idx="286">
                  <c:v>0.14000000000000001</c:v>
                </c:pt>
                <c:pt idx="287">
                  <c:v>0.16</c:v>
                </c:pt>
                <c:pt idx="288">
                  <c:v>0.2</c:v>
                </c:pt>
                <c:pt idx="289">
                  <c:v>0.2</c:v>
                </c:pt>
                <c:pt idx="290">
                  <c:v>0.22</c:v>
                </c:pt>
                <c:pt idx="291">
                  <c:v>0.22</c:v>
                </c:pt>
                <c:pt idx="292">
                  <c:v>0.24</c:v>
                </c:pt>
                <c:pt idx="293">
                  <c:v>0.24</c:v>
                </c:pt>
                <c:pt idx="294">
                  <c:v>0.2</c:v>
                </c:pt>
                <c:pt idx="295">
                  <c:v>0.2</c:v>
                </c:pt>
                <c:pt idx="296">
                  <c:v>0.16</c:v>
                </c:pt>
                <c:pt idx="297">
                  <c:v>0.16</c:v>
                </c:pt>
                <c:pt idx="298">
                  <c:v>0.14000000000000001</c:v>
                </c:pt>
                <c:pt idx="299">
                  <c:v>0.14000000000000001</c:v>
                </c:pt>
                <c:pt idx="300">
                  <c:v>0.12</c:v>
                </c:pt>
                <c:pt idx="301">
                  <c:v>0.12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0.12</c:v>
                </c:pt>
                <c:pt idx="309">
                  <c:v>0.14000000000000001</c:v>
                </c:pt>
                <c:pt idx="310">
                  <c:v>0.18</c:v>
                </c:pt>
                <c:pt idx="311">
                  <c:v>0.18</c:v>
                </c:pt>
                <c:pt idx="312">
                  <c:v>0.2</c:v>
                </c:pt>
                <c:pt idx="313">
                  <c:v>0.22</c:v>
                </c:pt>
                <c:pt idx="314">
                  <c:v>0.22</c:v>
                </c:pt>
                <c:pt idx="315">
                  <c:v>0.24</c:v>
                </c:pt>
                <c:pt idx="316">
                  <c:v>0.22</c:v>
                </c:pt>
                <c:pt idx="317">
                  <c:v>0.22</c:v>
                </c:pt>
                <c:pt idx="318">
                  <c:v>0.2</c:v>
                </c:pt>
                <c:pt idx="319">
                  <c:v>0.16</c:v>
                </c:pt>
                <c:pt idx="320">
                  <c:v>0.18</c:v>
                </c:pt>
                <c:pt idx="321">
                  <c:v>0.16</c:v>
                </c:pt>
                <c:pt idx="322">
                  <c:v>0.16</c:v>
                </c:pt>
                <c:pt idx="323">
                  <c:v>0.18</c:v>
                </c:pt>
                <c:pt idx="324">
                  <c:v>0.18</c:v>
                </c:pt>
                <c:pt idx="325">
                  <c:v>0.16</c:v>
                </c:pt>
                <c:pt idx="326">
                  <c:v>0.16</c:v>
                </c:pt>
                <c:pt idx="327">
                  <c:v>0.16</c:v>
                </c:pt>
                <c:pt idx="328">
                  <c:v>0.16</c:v>
                </c:pt>
                <c:pt idx="329">
                  <c:v>0.16</c:v>
                </c:pt>
                <c:pt idx="330">
                  <c:v>0.14000000000000001</c:v>
                </c:pt>
                <c:pt idx="331">
                  <c:v>0.14000000000000001</c:v>
                </c:pt>
                <c:pt idx="332">
                  <c:v>0.14000000000000001</c:v>
                </c:pt>
                <c:pt idx="333">
                  <c:v>0.16</c:v>
                </c:pt>
                <c:pt idx="334">
                  <c:v>0.18</c:v>
                </c:pt>
                <c:pt idx="335">
                  <c:v>0.2</c:v>
                </c:pt>
                <c:pt idx="336">
                  <c:v>0.24</c:v>
                </c:pt>
                <c:pt idx="337">
                  <c:v>0.28000000000000003</c:v>
                </c:pt>
                <c:pt idx="338">
                  <c:v>0.3</c:v>
                </c:pt>
                <c:pt idx="339">
                  <c:v>0.32</c:v>
                </c:pt>
                <c:pt idx="340">
                  <c:v>0.34</c:v>
                </c:pt>
                <c:pt idx="341">
                  <c:v>0.32</c:v>
                </c:pt>
                <c:pt idx="342">
                  <c:v>0.3</c:v>
                </c:pt>
                <c:pt idx="343">
                  <c:v>0.32</c:v>
                </c:pt>
                <c:pt idx="344">
                  <c:v>0.32</c:v>
                </c:pt>
                <c:pt idx="345">
                  <c:v>0.32</c:v>
                </c:pt>
                <c:pt idx="346">
                  <c:v>0.3</c:v>
                </c:pt>
                <c:pt idx="347">
                  <c:v>0.3</c:v>
                </c:pt>
                <c:pt idx="348">
                  <c:v>0.26</c:v>
                </c:pt>
                <c:pt idx="349">
                  <c:v>0.26</c:v>
                </c:pt>
                <c:pt idx="350">
                  <c:v>0.26</c:v>
                </c:pt>
                <c:pt idx="351">
                  <c:v>0.22</c:v>
                </c:pt>
                <c:pt idx="352">
                  <c:v>0.26</c:v>
                </c:pt>
                <c:pt idx="353">
                  <c:v>0.26</c:v>
                </c:pt>
                <c:pt idx="354">
                  <c:v>0.26</c:v>
                </c:pt>
                <c:pt idx="355">
                  <c:v>0.24</c:v>
                </c:pt>
                <c:pt idx="356">
                  <c:v>0.22</c:v>
                </c:pt>
                <c:pt idx="357">
                  <c:v>0.22</c:v>
                </c:pt>
                <c:pt idx="358">
                  <c:v>0.22</c:v>
                </c:pt>
                <c:pt idx="359">
                  <c:v>0.24</c:v>
                </c:pt>
                <c:pt idx="360">
                  <c:v>0.24</c:v>
                </c:pt>
                <c:pt idx="361">
                  <c:v>0.26</c:v>
                </c:pt>
                <c:pt idx="362">
                  <c:v>0.28000000000000003</c:v>
                </c:pt>
                <c:pt idx="363">
                  <c:v>0.26</c:v>
                </c:pt>
                <c:pt idx="364">
                  <c:v>0.24</c:v>
                </c:pt>
                <c:pt idx="365">
                  <c:v>0.22</c:v>
                </c:pt>
                <c:pt idx="366">
                  <c:v>0.2</c:v>
                </c:pt>
                <c:pt idx="367">
                  <c:v>0.18</c:v>
                </c:pt>
                <c:pt idx="368">
                  <c:v>0.18</c:v>
                </c:pt>
                <c:pt idx="369">
                  <c:v>0.18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0.18</c:v>
                </c:pt>
                <c:pt idx="375">
                  <c:v>0.18</c:v>
                </c:pt>
                <c:pt idx="376">
                  <c:v>0.18</c:v>
                </c:pt>
                <c:pt idx="377">
                  <c:v>0.18</c:v>
                </c:pt>
                <c:pt idx="378">
                  <c:v>0.18</c:v>
                </c:pt>
                <c:pt idx="379">
                  <c:v>0.16</c:v>
                </c:pt>
                <c:pt idx="380">
                  <c:v>0.16</c:v>
                </c:pt>
                <c:pt idx="381">
                  <c:v>0.16</c:v>
                </c:pt>
                <c:pt idx="382">
                  <c:v>0.16</c:v>
                </c:pt>
                <c:pt idx="383">
                  <c:v>0.16</c:v>
                </c:pt>
                <c:pt idx="384">
                  <c:v>0.18</c:v>
                </c:pt>
                <c:pt idx="385">
                  <c:v>0.18</c:v>
                </c:pt>
                <c:pt idx="386">
                  <c:v>0.18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0.18</c:v>
                </c:pt>
                <c:pt idx="391">
                  <c:v>0.18</c:v>
                </c:pt>
                <c:pt idx="392">
                  <c:v>0.16</c:v>
                </c:pt>
                <c:pt idx="393">
                  <c:v>0.16</c:v>
                </c:pt>
                <c:pt idx="394">
                  <c:v>0.14000000000000001</c:v>
                </c:pt>
                <c:pt idx="395">
                  <c:v>0.16</c:v>
                </c:pt>
                <c:pt idx="396">
                  <c:v>0.2</c:v>
                </c:pt>
                <c:pt idx="397">
                  <c:v>0.2</c:v>
                </c:pt>
                <c:pt idx="398">
                  <c:v>0.22</c:v>
                </c:pt>
                <c:pt idx="399">
                  <c:v>0.22</c:v>
                </c:pt>
                <c:pt idx="400">
                  <c:v>0.22</c:v>
                </c:pt>
                <c:pt idx="401">
                  <c:v>0.22</c:v>
                </c:pt>
                <c:pt idx="402">
                  <c:v>0.22</c:v>
                </c:pt>
                <c:pt idx="403">
                  <c:v>0.22</c:v>
                </c:pt>
                <c:pt idx="404">
                  <c:v>0.22</c:v>
                </c:pt>
                <c:pt idx="405">
                  <c:v>0.22</c:v>
                </c:pt>
                <c:pt idx="406">
                  <c:v>0.22</c:v>
                </c:pt>
                <c:pt idx="407">
                  <c:v>0.22</c:v>
                </c:pt>
                <c:pt idx="408">
                  <c:v>0.22</c:v>
                </c:pt>
                <c:pt idx="409">
                  <c:v>0.22</c:v>
                </c:pt>
                <c:pt idx="410">
                  <c:v>0.22</c:v>
                </c:pt>
                <c:pt idx="411">
                  <c:v>0.22</c:v>
                </c:pt>
                <c:pt idx="412">
                  <c:v>0.22</c:v>
                </c:pt>
                <c:pt idx="413">
                  <c:v>0.22</c:v>
                </c:pt>
                <c:pt idx="414">
                  <c:v>0.24</c:v>
                </c:pt>
                <c:pt idx="415">
                  <c:v>0.24</c:v>
                </c:pt>
                <c:pt idx="416">
                  <c:v>0.24</c:v>
                </c:pt>
                <c:pt idx="417">
                  <c:v>0.26</c:v>
                </c:pt>
                <c:pt idx="418">
                  <c:v>0.28000000000000003</c:v>
                </c:pt>
                <c:pt idx="419">
                  <c:v>0.3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0.38</c:v>
                </c:pt>
                <c:pt idx="424">
                  <c:v>0.36</c:v>
                </c:pt>
                <c:pt idx="425">
                  <c:v>0.34</c:v>
                </c:pt>
                <c:pt idx="426">
                  <c:v>0.32</c:v>
                </c:pt>
                <c:pt idx="427">
                  <c:v>0.32</c:v>
                </c:pt>
                <c:pt idx="428">
                  <c:v>0.32</c:v>
                </c:pt>
                <c:pt idx="429">
                  <c:v>0.3</c:v>
                </c:pt>
                <c:pt idx="430">
                  <c:v>0.3</c:v>
                </c:pt>
                <c:pt idx="431">
                  <c:v>0.26</c:v>
                </c:pt>
                <c:pt idx="432">
                  <c:v>0.26</c:v>
                </c:pt>
                <c:pt idx="433">
                  <c:v>0.26</c:v>
                </c:pt>
                <c:pt idx="434">
                  <c:v>0.26</c:v>
                </c:pt>
                <c:pt idx="435">
                  <c:v>0.26</c:v>
                </c:pt>
                <c:pt idx="436">
                  <c:v>0.24</c:v>
                </c:pt>
                <c:pt idx="437">
                  <c:v>0.22</c:v>
                </c:pt>
                <c:pt idx="438">
                  <c:v>0.22</c:v>
                </c:pt>
                <c:pt idx="439">
                  <c:v>0.22</c:v>
                </c:pt>
                <c:pt idx="440">
                  <c:v>0.24</c:v>
                </c:pt>
                <c:pt idx="441">
                  <c:v>0.26</c:v>
                </c:pt>
                <c:pt idx="442">
                  <c:v>0.28000000000000003</c:v>
                </c:pt>
                <c:pt idx="443">
                  <c:v>0.3</c:v>
                </c:pt>
                <c:pt idx="444">
                  <c:v>0.28000000000000003</c:v>
                </c:pt>
                <c:pt idx="445">
                  <c:v>0.3</c:v>
                </c:pt>
                <c:pt idx="446">
                  <c:v>0.32</c:v>
                </c:pt>
                <c:pt idx="447">
                  <c:v>0.3</c:v>
                </c:pt>
                <c:pt idx="448">
                  <c:v>0.3</c:v>
                </c:pt>
                <c:pt idx="449">
                  <c:v>0.26</c:v>
                </c:pt>
                <c:pt idx="450">
                  <c:v>0.26</c:v>
                </c:pt>
                <c:pt idx="451">
                  <c:v>0.26</c:v>
                </c:pt>
                <c:pt idx="452">
                  <c:v>0.24</c:v>
                </c:pt>
                <c:pt idx="453">
                  <c:v>0.24</c:v>
                </c:pt>
                <c:pt idx="454">
                  <c:v>0.24</c:v>
                </c:pt>
                <c:pt idx="455">
                  <c:v>0.24</c:v>
                </c:pt>
                <c:pt idx="456">
                  <c:v>0.24</c:v>
                </c:pt>
                <c:pt idx="457">
                  <c:v>0.24</c:v>
                </c:pt>
                <c:pt idx="458">
                  <c:v>0.22</c:v>
                </c:pt>
                <c:pt idx="459">
                  <c:v>0.22</c:v>
                </c:pt>
                <c:pt idx="460">
                  <c:v>0.24</c:v>
                </c:pt>
                <c:pt idx="461">
                  <c:v>0.22</c:v>
                </c:pt>
                <c:pt idx="462">
                  <c:v>0.2</c:v>
                </c:pt>
                <c:pt idx="463">
                  <c:v>0.2</c:v>
                </c:pt>
                <c:pt idx="464">
                  <c:v>0.2</c:v>
                </c:pt>
                <c:pt idx="465">
                  <c:v>0.2</c:v>
                </c:pt>
                <c:pt idx="466">
                  <c:v>0.22</c:v>
                </c:pt>
                <c:pt idx="467">
                  <c:v>0.22</c:v>
                </c:pt>
                <c:pt idx="468">
                  <c:v>0.2</c:v>
                </c:pt>
                <c:pt idx="469">
                  <c:v>0.2</c:v>
                </c:pt>
                <c:pt idx="470">
                  <c:v>0.16</c:v>
                </c:pt>
                <c:pt idx="471">
                  <c:v>0.16</c:v>
                </c:pt>
                <c:pt idx="472">
                  <c:v>0.14000000000000001</c:v>
                </c:pt>
                <c:pt idx="473">
                  <c:v>0.12</c:v>
                </c:pt>
                <c:pt idx="474">
                  <c:v>0.12</c:v>
                </c:pt>
                <c:pt idx="475">
                  <c:v>0.1</c:v>
                </c:pt>
                <c:pt idx="476">
                  <c:v>0.08</c:v>
                </c:pt>
                <c:pt idx="477">
                  <c:v>0.06</c:v>
                </c:pt>
                <c:pt idx="478">
                  <c:v>0.06</c:v>
                </c:pt>
                <c:pt idx="479">
                  <c:v>0.04</c:v>
                </c:pt>
                <c:pt idx="480">
                  <c:v>0.04</c:v>
                </c:pt>
                <c:pt idx="481">
                  <c:v>0.04</c:v>
                </c:pt>
                <c:pt idx="482">
                  <c:v>0.04</c:v>
                </c:pt>
                <c:pt idx="483">
                  <c:v>0.02</c:v>
                </c:pt>
                <c:pt idx="484">
                  <c:v>0.02</c:v>
                </c:pt>
                <c:pt idx="485">
                  <c:v>0.02</c:v>
                </c:pt>
                <c:pt idx="486">
                  <c:v>0.02</c:v>
                </c:pt>
                <c:pt idx="487">
                  <c:v>0.04</c:v>
                </c:pt>
                <c:pt idx="488">
                  <c:v>0.04</c:v>
                </c:pt>
                <c:pt idx="489">
                  <c:v>0.06</c:v>
                </c:pt>
                <c:pt idx="490">
                  <c:v>0.06</c:v>
                </c:pt>
                <c:pt idx="491">
                  <c:v>0.08</c:v>
                </c:pt>
                <c:pt idx="492">
                  <c:v>0.1</c:v>
                </c:pt>
                <c:pt idx="493">
                  <c:v>0.12</c:v>
                </c:pt>
                <c:pt idx="494">
                  <c:v>0.12</c:v>
                </c:pt>
                <c:pt idx="495">
                  <c:v>0.12</c:v>
                </c:pt>
                <c:pt idx="496">
                  <c:v>0.08</c:v>
                </c:pt>
                <c:pt idx="497">
                  <c:v>0.08</c:v>
                </c:pt>
                <c:pt idx="498">
                  <c:v>0.06</c:v>
                </c:pt>
                <c:pt idx="499">
                  <c:v>0.06</c:v>
                </c:pt>
                <c:pt idx="500">
                  <c:v>0.06</c:v>
                </c:pt>
                <c:pt idx="501">
                  <c:v>0.04</c:v>
                </c:pt>
                <c:pt idx="502">
                  <c:v>0.04</c:v>
                </c:pt>
                <c:pt idx="503">
                  <c:v>0.04</c:v>
                </c:pt>
                <c:pt idx="504">
                  <c:v>0.02</c:v>
                </c:pt>
                <c:pt idx="505">
                  <c:v>0.02</c:v>
                </c:pt>
                <c:pt idx="506">
                  <c:v>0.04</c:v>
                </c:pt>
                <c:pt idx="507">
                  <c:v>0.04</c:v>
                </c:pt>
                <c:pt idx="508">
                  <c:v>0.08</c:v>
                </c:pt>
                <c:pt idx="509">
                  <c:v>0.06</c:v>
                </c:pt>
                <c:pt idx="510">
                  <c:v>0.1</c:v>
                </c:pt>
                <c:pt idx="511">
                  <c:v>0.14000000000000001</c:v>
                </c:pt>
                <c:pt idx="512">
                  <c:v>0.14000000000000001</c:v>
                </c:pt>
                <c:pt idx="513">
                  <c:v>0.16</c:v>
                </c:pt>
                <c:pt idx="514">
                  <c:v>0.14000000000000001</c:v>
                </c:pt>
                <c:pt idx="515">
                  <c:v>0.16</c:v>
                </c:pt>
                <c:pt idx="516">
                  <c:v>0.16</c:v>
                </c:pt>
                <c:pt idx="517">
                  <c:v>0.16</c:v>
                </c:pt>
                <c:pt idx="518">
                  <c:v>0.14000000000000001</c:v>
                </c:pt>
                <c:pt idx="519">
                  <c:v>0.12</c:v>
                </c:pt>
                <c:pt idx="520">
                  <c:v>0.12</c:v>
                </c:pt>
                <c:pt idx="521">
                  <c:v>0.1</c:v>
                </c:pt>
                <c:pt idx="522">
                  <c:v>0.1</c:v>
                </c:pt>
                <c:pt idx="523">
                  <c:v>0.08</c:v>
                </c:pt>
                <c:pt idx="524">
                  <c:v>0.06</c:v>
                </c:pt>
                <c:pt idx="525">
                  <c:v>0.06</c:v>
                </c:pt>
                <c:pt idx="526">
                  <c:v>0.04</c:v>
                </c:pt>
                <c:pt idx="527">
                  <c:v>0.04</c:v>
                </c:pt>
                <c:pt idx="528">
                  <c:v>0.02</c:v>
                </c:pt>
                <c:pt idx="529">
                  <c:v>0.02</c:v>
                </c:pt>
                <c:pt idx="530">
                  <c:v>0.02</c:v>
                </c:pt>
                <c:pt idx="531">
                  <c:v>0.02</c:v>
                </c:pt>
                <c:pt idx="532">
                  <c:v>0.04</c:v>
                </c:pt>
                <c:pt idx="533">
                  <c:v>0.06</c:v>
                </c:pt>
                <c:pt idx="534">
                  <c:v>0.1</c:v>
                </c:pt>
                <c:pt idx="535">
                  <c:v>0.1</c:v>
                </c:pt>
                <c:pt idx="536">
                  <c:v>0.12</c:v>
                </c:pt>
                <c:pt idx="537">
                  <c:v>0.14000000000000001</c:v>
                </c:pt>
                <c:pt idx="538">
                  <c:v>0.14000000000000001</c:v>
                </c:pt>
                <c:pt idx="539">
                  <c:v>0.16</c:v>
                </c:pt>
                <c:pt idx="540">
                  <c:v>0.16</c:v>
                </c:pt>
                <c:pt idx="541">
                  <c:v>0.14000000000000001</c:v>
                </c:pt>
                <c:pt idx="542">
                  <c:v>0.14000000000000001</c:v>
                </c:pt>
                <c:pt idx="543">
                  <c:v>0.14000000000000001</c:v>
                </c:pt>
                <c:pt idx="544">
                  <c:v>0.14000000000000001</c:v>
                </c:pt>
                <c:pt idx="545">
                  <c:v>0.14000000000000001</c:v>
                </c:pt>
                <c:pt idx="546">
                  <c:v>0.14000000000000001</c:v>
                </c:pt>
                <c:pt idx="547">
                  <c:v>0.16</c:v>
                </c:pt>
                <c:pt idx="548">
                  <c:v>0.16</c:v>
                </c:pt>
                <c:pt idx="549">
                  <c:v>0.16</c:v>
                </c:pt>
                <c:pt idx="550">
                  <c:v>0.16</c:v>
                </c:pt>
                <c:pt idx="551">
                  <c:v>0.14000000000000001</c:v>
                </c:pt>
                <c:pt idx="552">
                  <c:v>0.14000000000000001</c:v>
                </c:pt>
                <c:pt idx="553">
                  <c:v>0.16</c:v>
                </c:pt>
                <c:pt idx="554">
                  <c:v>0.16</c:v>
                </c:pt>
                <c:pt idx="555">
                  <c:v>0.16</c:v>
                </c:pt>
                <c:pt idx="556">
                  <c:v>0.2</c:v>
                </c:pt>
                <c:pt idx="557">
                  <c:v>0.22</c:v>
                </c:pt>
                <c:pt idx="558">
                  <c:v>0.24</c:v>
                </c:pt>
                <c:pt idx="559">
                  <c:v>0.26</c:v>
                </c:pt>
                <c:pt idx="560">
                  <c:v>0.26</c:v>
                </c:pt>
                <c:pt idx="561">
                  <c:v>0.3</c:v>
                </c:pt>
                <c:pt idx="562">
                  <c:v>0.32</c:v>
                </c:pt>
                <c:pt idx="563">
                  <c:v>0.32</c:v>
                </c:pt>
                <c:pt idx="564">
                  <c:v>0.3</c:v>
                </c:pt>
                <c:pt idx="565">
                  <c:v>0.3</c:v>
                </c:pt>
                <c:pt idx="566">
                  <c:v>0.26</c:v>
                </c:pt>
                <c:pt idx="567">
                  <c:v>0.24</c:v>
                </c:pt>
                <c:pt idx="568">
                  <c:v>0.24</c:v>
                </c:pt>
                <c:pt idx="569">
                  <c:v>0.22</c:v>
                </c:pt>
                <c:pt idx="570">
                  <c:v>0.22</c:v>
                </c:pt>
                <c:pt idx="571">
                  <c:v>0.22</c:v>
                </c:pt>
                <c:pt idx="572">
                  <c:v>0.24</c:v>
                </c:pt>
                <c:pt idx="573">
                  <c:v>0.22</c:v>
                </c:pt>
                <c:pt idx="574">
                  <c:v>0.2</c:v>
                </c:pt>
                <c:pt idx="575">
                  <c:v>0.2</c:v>
                </c:pt>
                <c:pt idx="576">
                  <c:v>0.22</c:v>
                </c:pt>
                <c:pt idx="577">
                  <c:v>0.22</c:v>
                </c:pt>
                <c:pt idx="578">
                  <c:v>0.22</c:v>
                </c:pt>
                <c:pt idx="579">
                  <c:v>0.22</c:v>
                </c:pt>
                <c:pt idx="580">
                  <c:v>0.22</c:v>
                </c:pt>
                <c:pt idx="581">
                  <c:v>0.22</c:v>
                </c:pt>
                <c:pt idx="582">
                  <c:v>0.22</c:v>
                </c:pt>
                <c:pt idx="583">
                  <c:v>0.22</c:v>
                </c:pt>
                <c:pt idx="584">
                  <c:v>0.22</c:v>
                </c:pt>
                <c:pt idx="585">
                  <c:v>0.22</c:v>
                </c:pt>
                <c:pt idx="586">
                  <c:v>0.2</c:v>
                </c:pt>
                <c:pt idx="587">
                  <c:v>0.22</c:v>
                </c:pt>
                <c:pt idx="588">
                  <c:v>0.22</c:v>
                </c:pt>
                <c:pt idx="589">
                  <c:v>0.2</c:v>
                </c:pt>
                <c:pt idx="590">
                  <c:v>0.2</c:v>
                </c:pt>
                <c:pt idx="591">
                  <c:v>0.18</c:v>
                </c:pt>
                <c:pt idx="592">
                  <c:v>0.18</c:v>
                </c:pt>
                <c:pt idx="593">
                  <c:v>0.18</c:v>
                </c:pt>
                <c:pt idx="594">
                  <c:v>0.18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0.18</c:v>
                </c:pt>
                <c:pt idx="600">
                  <c:v>0.18</c:v>
                </c:pt>
                <c:pt idx="601">
                  <c:v>0.16</c:v>
                </c:pt>
                <c:pt idx="602">
                  <c:v>0.16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0.22</c:v>
                </c:pt>
                <c:pt idx="609">
                  <c:v>0.2</c:v>
                </c:pt>
                <c:pt idx="610">
                  <c:v>0.22</c:v>
                </c:pt>
                <c:pt idx="611">
                  <c:v>0.24</c:v>
                </c:pt>
                <c:pt idx="612">
                  <c:v>0.24</c:v>
                </c:pt>
                <c:pt idx="613">
                  <c:v>0.24</c:v>
                </c:pt>
                <c:pt idx="614">
                  <c:v>0.24</c:v>
                </c:pt>
                <c:pt idx="615">
                  <c:v>0.22</c:v>
                </c:pt>
                <c:pt idx="616">
                  <c:v>0.24</c:v>
                </c:pt>
                <c:pt idx="617">
                  <c:v>0.24</c:v>
                </c:pt>
                <c:pt idx="618">
                  <c:v>0.22</c:v>
                </c:pt>
                <c:pt idx="619">
                  <c:v>0.22</c:v>
                </c:pt>
                <c:pt idx="620">
                  <c:v>0.22</c:v>
                </c:pt>
                <c:pt idx="621">
                  <c:v>0.2</c:v>
                </c:pt>
                <c:pt idx="622">
                  <c:v>0.16</c:v>
                </c:pt>
                <c:pt idx="623">
                  <c:v>0.16</c:v>
                </c:pt>
                <c:pt idx="624">
                  <c:v>0.16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0.2</c:v>
                </c:pt>
                <c:pt idx="630">
                  <c:v>0.22</c:v>
                </c:pt>
                <c:pt idx="631">
                  <c:v>0.22</c:v>
                </c:pt>
                <c:pt idx="632">
                  <c:v>0.22</c:v>
                </c:pt>
                <c:pt idx="633">
                  <c:v>0.24</c:v>
                </c:pt>
                <c:pt idx="634">
                  <c:v>0.24</c:v>
                </c:pt>
                <c:pt idx="635">
                  <c:v>0.22</c:v>
                </c:pt>
                <c:pt idx="636">
                  <c:v>0.22</c:v>
                </c:pt>
                <c:pt idx="637">
                  <c:v>0.18</c:v>
                </c:pt>
                <c:pt idx="638">
                  <c:v>0.18</c:v>
                </c:pt>
                <c:pt idx="639">
                  <c:v>0.16</c:v>
                </c:pt>
                <c:pt idx="640">
                  <c:v>0.16</c:v>
                </c:pt>
                <c:pt idx="641">
                  <c:v>0.16</c:v>
                </c:pt>
                <c:pt idx="642">
                  <c:v>0.14000000000000001</c:v>
                </c:pt>
                <c:pt idx="643">
                  <c:v>0.16</c:v>
                </c:pt>
                <c:pt idx="644">
                  <c:v>0.14000000000000001</c:v>
                </c:pt>
                <c:pt idx="645">
                  <c:v>0.14000000000000001</c:v>
                </c:pt>
                <c:pt idx="646">
                  <c:v>0.14000000000000001</c:v>
                </c:pt>
                <c:pt idx="647">
                  <c:v>0.14000000000000001</c:v>
                </c:pt>
                <c:pt idx="648">
                  <c:v>0.14000000000000001</c:v>
                </c:pt>
                <c:pt idx="649">
                  <c:v>0.16</c:v>
                </c:pt>
                <c:pt idx="650">
                  <c:v>0.18</c:v>
                </c:pt>
                <c:pt idx="651">
                  <c:v>0.22</c:v>
                </c:pt>
                <c:pt idx="652">
                  <c:v>0.3</c:v>
                </c:pt>
                <c:pt idx="653">
                  <c:v>0.28000000000000003</c:v>
                </c:pt>
                <c:pt idx="654">
                  <c:v>0.28000000000000003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0.26</c:v>
                </c:pt>
                <c:pt idx="659">
                  <c:v>0.26</c:v>
                </c:pt>
                <c:pt idx="660">
                  <c:v>0.26</c:v>
                </c:pt>
                <c:pt idx="661">
                  <c:v>0.24</c:v>
                </c:pt>
                <c:pt idx="662">
                  <c:v>0.24</c:v>
                </c:pt>
                <c:pt idx="663">
                  <c:v>0.24</c:v>
                </c:pt>
                <c:pt idx="664">
                  <c:v>0.24</c:v>
                </c:pt>
                <c:pt idx="665">
                  <c:v>0.22</c:v>
                </c:pt>
                <c:pt idx="666">
                  <c:v>0.22</c:v>
                </c:pt>
                <c:pt idx="667">
                  <c:v>0.22</c:v>
                </c:pt>
                <c:pt idx="668">
                  <c:v>0.2</c:v>
                </c:pt>
                <c:pt idx="669">
                  <c:v>0.18</c:v>
                </c:pt>
                <c:pt idx="670">
                  <c:v>0.16</c:v>
                </c:pt>
                <c:pt idx="671">
                  <c:v>0.16</c:v>
                </c:pt>
                <c:pt idx="672">
                  <c:v>0.16</c:v>
                </c:pt>
                <c:pt idx="673">
                  <c:v>0.16</c:v>
                </c:pt>
                <c:pt idx="674">
                  <c:v>0.16</c:v>
                </c:pt>
                <c:pt idx="675">
                  <c:v>0.16</c:v>
                </c:pt>
                <c:pt idx="676">
                  <c:v>0.18</c:v>
                </c:pt>
                <c:pt idx="677">
                  <c:v>0.16</c:v>
                </c:pt>
                <c:pt idx="678">
                  <c:v>0.18</c:v>
                </c:pt>
                <c:pt idx="679">
                  <c:v>0.16</c:v>
                </c:pt>
                <c:pt idx="680">
                  <c:v>0.16</c:v>
                </c:pt>
                <c:pt idx="681">
                  <c:v>0.16</c:v>
                </c:pt>
                <c:pt idx="682">
                  <c:v>0.16</c:v>
                </c:pt>
                <c:pt idx="683">
                  <c:v>0.3</c:v>
                </c:pt>
                <c:pt idx="684">
                  <c:v>0.16</c:v>
                </c:pt>
                <c:pt idx="685">
                  <c:v>0.16</c:v>
                </c:pt>
                <c:pt idx="686">
                  <c:v>0.16</c:v>
                </c:pt>
                <c:pt idx="687">
                  <c:v>0.16</c:v>
                </c:pt>
                <c:pt idx="688">
                  <c:v>0.16</c:v>
                </c:pt>
                <c:pt idx="689">
                  <c:v>0.16</c:v>
                </c:pt>
                <c:pt idx="690">
                  <c:v>0.16</c:v>
                </c:pt>
                <c:pt idx="691">
                  <c:v>0.16</c:v>
                </c:pt>
                <c:pt idx="692">
                  <c:v>0.14000000000000001</c:v>
                </c:pt>
                <c:pt idx="693">
                  <c:v>0.14000000000000001</c:v>
                </c:pt>
                <c:pt idx="694">
                  <c:v>0.16</c:v>
                </c:pt>
                <c:pt idx="695">
                  <c:v>0.16</c:v>
                </c:pt>
                <c:pt idx="696">
                  <c:v>0.16</c:v>
                </c:pt>
                <c:pt idx="697">
                  <c:v>0.16</c:v>
                </c:pt>
                <c:pt idx="698">
                  <c:v>0.18</c:v>
                </c:pt>
                <c:pt idx="699">
                  <c:v>0.2</c:v>
                </c:pt>
                <c:pt idx="700">
                  <c:v>0.2</c:v>
                </c:pt>
                <c:pt idx="701">
                  <c:v>0.22</c:v>
                </c:pt>
                <c:pt idx="702">
                  <c:v>0.24</c:v>
                </c:pt>
                <c:pt idx="703">
                  <c:v>0.24</c:v>
                </c:pt>
                <c:pt idx="704">
                  <c:v>0.24</c:v>
                </c:pt>
                <c:pt idx="705">
                  <c:v>0.24</c:v>
                </c:pt>
                <c:pt idx="706">
                  <c:v>0.24</c:v>
                </c:pt>
                <c:pt idx="707">
                  <c:v>0.22</c:v>
                </c:pt>
                <c:pt idx="708">
                  <c:v>0.22</c:v>
                </c:pt>
                <c:pt idx="709">
                  <c:v>0.22</c:v>
                </c:pt>
                <c:pt idx="710">
                  <c:v>0.2</c:v>
                </c:pt>
                <c:pt idx="711">
                  <c:v>0.22</c:v>
                </c:pt>
                <c:pt idx="712">
                  <c:v>0.22</c:v>
                </c:pt>
                <c:pt idx="713">
                  <c:v>0.22</c:v>
                </c:pt>
                <c:pt idx="714">
                  <c:v>0.22</c:v>
                </c:pt>
                <c:pt idx="715">
                  <c:v>0.22</c:v>
                </c:pt>
                <c:pt idx="716">
                  <c:v>0.22</c:v>
                </c:pt>
                <c:pt idx="717">
                  <c:v>0.22</c:v>
                </c:pt>
                <c:pt idx="718">
                  <c:v>0.22</c:v>
                </c:pt>
                <c:pt idx="719">
                  <c:v>0.22</c:v>
                </c:pt>
                <c:pt idx="720">
                  <c:v>0.24</c:v>
                </c:pt>
                <c:pt idx="721">
                  <c:v>0.22</c:v>
                </c:pt>
                <c:pt idx="722">
                  <c:v>0.24</c:v>
                </c:pt>
                <c:pt idx="723">
                  <c:v>0.24</c:v>
                </c:pt>
                <c:pt idx="724">
                  <c:v>0.34</c:v>
                </c:pt>
                <c:pt idx="725">
                  <c:v>0.38</c:v>
                </c:pt>
                <c:pt idx="726">
                  <c:v>0.38</c:v>
                </c:pt>
                <c:pt idx="727">
                  <c:v>0.36</c:v>
                </c:pt>
                <c:pt idx="728">
                  <c:v>0.36</c:v>
                </c:pt>
                <c:pt idx="729">
                  <c:v>0.34</c:v>
                </c:pt>
                <c:pt idx="730">
                  <c:v>0.28000000000000003</c:v>
                </c:pt>
                <c:pt idx="731">
                  <c:v>0.24</c:v>
                </c:pt>
                <c:pt idx="732">
                  <c:v>0.22</c:v>
                </c:pt>
                <c:pt idx="733">
                  <c:v>0.22</c:v>
                </c:pt>
                <c:pt idx="734">
                  <c:v>0.2</c:v>
                </c:pt>
                <c:pt idx="735">
                  <c:v>0.2</c:v>
                </c:pt>
                <c:pt idx="736">
                  <c:v>0.2</c:v>
                </c:pt>
                <c:pt idx="737">
                  <c:v>0.18</c:v>
                </c:pt>
                <c:pt idx="738">
                  <c:v>0.18</c:v>
                </c:pt>
                <c:pt idx="739">
                  <c:v>0.16</c:v>
                </c:pt>
                <c:pt idx="740">
                  <c:v>0.16</c:v>
                </c:pt>
                <c:pt idx="741">
                  <c:v>0.14000000000000001</c:v>
                </c:pt>
                <c:pt idx="742">
                  <c:v>0.14000000000000001</c:v>
                </c:pt>
                <c:pt idx="743">
                  <c:v>0.16</c:v>
                </c:pt>
                <c:pt idx="744">
                  <c:v>0.18</c:v>
                </c:pt>
                <c:pt idx="745">
                  <c:v>0.18</c:v>
                </c:pt>
                <c:pt idx="746">
                  <c:v>0.2</c:v>
                </c:pt>
                <c:pt idx="747">
                  <c:v>0.2</c:v>
                </c:pt>
                <c:pt idx="748">
                  <c:v>0.22</c:v>
                </c:pt>
                <c:pt idx="749">
                  <c:v>0.22</c:v>
                </c:pt>
                <c:pt idx="750">
                  <c:v>0.22</c:v>
                </c:pt>
                <c:pt idx="751">
                  <c:v>0.2</c:v>
                </c:pt>
                <c:pt idx="752">
                  <c:v>0.2</c:v>
                </c:pt>
                <c:pt idx="753">
                  <c:v>0.2</c:v>
                </c:pt>
                <c:pt idx="754">
                  <c:v>0.2</c:v>
                </c:pt>
                <c:pt idx="755">
                  <c:v>0.18</c:v>
                </c:pt>
                <c:pt idx="756">
                  <c:v>0.18</c:v>
                </c:pt>
                <c:pt idx="757">
                  <c:v>0.2</c:v>
                </c:pt>
                <c:pt idx="758">
                  <c:v>0.2</c:v>
                </c:pt>
                <c:pt idx="759">
                  <c:v>0.16</c:v>
                </c:pt>
                <c:pt idx="760">
                  <c:v>0.14000000000000001</c:v>
                </c:pt>
                <c:pt idx="761">
                  <c:v>0.14000000000000001</c:v>
                </c:pt>
                <c:pt idx="762">
                  <c:v>0.14000000000000001</c:v>
                </c:pt>
                <c:pt idx="763">
                  <c:v>0.16</c:v>
                </c:pt>
                <c:pt idx="764">
                  <c:v>0.14000000000000001</c:v>
                </c:pt>
                <c:pt idx="765">
                  <c:v>0.14000000000000001</c:v>
                </c:pt>
                <c:pt idx="766">
                  <c:v>0.16</c:v>
                </c:pt>
                <c:pt idx="767">
                  <c:v>0.2</c:v>
                </c:pt>
                <c:pt idx="768">
                  <c:v>0.22</c:v>
                </c:pt>
                <c:pt idx="769">
                  <c:v>0.24</c:v>
                </c:pt>
                <c:pt idx="770">
                  <c:v>0.26</c:v>
                </c:pt>
                <c:pt idx="771">
                  <c:v>0.28000000000000003</c:v>
                </c:pt>
                <c:pt idx="772">
                  <c:v>0.28000000000000003</c:v>
                </c:pt>
                <c:pt idx="773">
                  <c:v>0.3</c:v>
                </c:pt>
                <c:pt idx="774">
                  <c:v>0.26</c:v>
                </c:pt>
                <c:pt idx="775">
                  <c:v>0.24</c:v>
                </c:pt>
                <c:pt idx="776">
                  <c:v>0.24</c:v>
                </c:pt>
                <c:pt idx="777">
                  <c:v>0.24</c:v>
                </c:pt>
                <c:pt idx="778">
                  <c:v>0.24</c:v>
                </c:pt>
                <c:pt idx="779">
                  <c:v>0.24</c:v>
                </c:pt>
                <c:pt idx="780">
                  <c:v>0.24</c:v>
                </c:pt>
                <c:pt idx="781">
                  <c:v>0.24</c:v>
                </c:pt>
                <c:pt idx="782">
                  <c:v>0.24</c:v>
                </c:pt>
                <c:pt idx="783">
                  <c:v>0.24</c:v>
                </c:pt>
                <c:pt idx="784">
                  <c:v>0.24</c:v>
                </c:pt>
                <c:pt idx="785">
                  <c:v>0.22</c:v>
                </c:pt>
                <c:pt idx="786">
                  <c:v>0.2</c:v>
                </c:pt>
                <c:pt idx="787">
                  <c:v>0.2</c:v>
                </c:pt>
                <c:pt idx="788">
                  <c:v>0.22</c:v>
                </c:pt>
                <c:pt idx="789">
                  <c:v>0.2</c:v>
                </c:pt>
                <c:pt idx="790">
                  <c:v>0.2</c:v>
                </c:pt>
                <c:pt idx="791">
                  <c:v>0.2</c:v>
                </c:pt>
                <c:pt idx="792">
                  <c:v>0.22</c:v>
                </c:pt>
                <c:pt idx="793">
                  <c:v>0.22</c:v>
                </c:pt>
                <c:pt idx="794">
                  <c:v>0.22</c:v>
                </c:pt>
                <c:pt idx="795">
                  <c:v>0.22</c:v>
                </c:pt>
                <c:pt idx="796">
                  <c:v>0.22</c:v>
                </c:pt>
                <c:pt idx="797">
                  <c:v>0.22</c:v>
                </c:pt>
                <c:pt idx="798">
                  <c:v>0.24</c:v>
                </c:pt>
                <c:pt idx="799">
                  <c:v>0.28000000000000003</c:v>
                </c:pt>
                <c:pt idx="800">
                  <c:v>0.28000000000000003</c:v>
                </c:pt>
                <c:pt idx="801">
                  <c:v>0.3</c:v>
                </c:pt>
                <c:pt idx="802">
                  <c:v>0.26</c:v>
                </c:pt>
                <c:pt idx="803">
                  <c:v>0.26</c:v>
                </c:pt>
                <c:pt idx="804">
                  <c:v>0.26</c:v>
                </c:pt>
                <c:pt idx="805">
                  <c:v>0.26</c:v>
                </c:pt>
                <c:pt idx="806">
                  <c:v>0.26</c:v>
                </c:pt>
                <c:pt idx="807">
                  <c:v>0.26</c:v>
                </c:pt>
                <c:pt idx="808">
                  <c:v>0.26</c:v>
                </c:pt>
                <c:pt idx="809">
                  <c:v>0.26</c:v>
                </c:pt>
                <c:pt idx="810">
                  <c:v>0.26</c:v>
                </c:pt>
                <c:pt idx="811">
                  <c:v>0.26</c:v>
                </c:pt>
                <c:pt idx="812">
                  <c:v>0.24</c:v>
                </c:pt>
                <c:pt idx="813">
                  <c:v>0.24</c:v>
                </c:pt>
                <c:pt idx="814">
                  <c:v>0.28000000000000003</c:v>
                </c:pt>
                <c:pt idx="815">
                  <c:v>0.3</c:v>
                </c:pt>
                <c:pt idx="816">
                  <c:v>0.32</c:v>
                </c:pt>
                <c:pt idx="817">
                  <c:v>0.34</c:v>
                </c:pt>
                <c:pt idx="818">
                  <c:v>0.34</c:v>
                </c:pt>
                <c:pt idx="819">
                  <c:v>0.34</c:v>
                </c:pt>
                <c:pt idx="820">
                  <c:v>0.34</c:v>
                </c:pt>
                <c:pt idx="821">
                  <c:v>0.34</c:v>
                </c:pt>
                <c:pt idx="822">
                  <c:v>0.34</c:v>
                </c:pt>
                <c:pt idx="823">
                  <c:v>0.3</c:v>
                </c:pt>
                <c:pt idx="824">
                  <c:v>0.28000000000000003</c:v>
                </c:pt>
                <c:pt idx="825">
                  <c:v>0.28000000000000003</c:v>
                </c:pt>
                <c:pt idx="826">
                  <c:v>0.26</c:v>
                </c:pt>
                <c:pt idx="827">
                  <c:v>0.26</c:v>
                </c:pt>
                <c:pt idx="828">
                  <c:v>0.24</c:v>
                </c:pt>
                <c:pt idx="829">
                  <c:v>0.24</c:v>
                </c:pt>
                <c:pt idx="830">
                  <c:v>0.22</c:v>
                </c:pt>
                <c:pt idx="831">
                  <c:v>0.2</c:v>
                </c:pt>
                <c:pt idx="832">
                  <c:v>0.2</c:v>
                </c:pt>
                <c:pt idx="833">
                  <c:v>0.2</c:v>
                </c:pt>
                <c:pt idx="834">
                  <c:v>0.2</c:v>
                </c:pt>
                <c:pt idx="835">
                  <c:v>0.18</c:v>
                </c:pt>
                <c:pt idx="836">
                  <c:v>0.18</c:v>
                </c:pt>
                <c:pt idx="837">
                  <c:v>0.16</c:v>
                </c:pt>
                <c:pt idx="838">
                  <c:v>0.22</c:v>
                </c:pt>
                <c:pt idx="839">
                  <c:v>0.24</c:v>
                </c:pt>
                <c:pt idx="840">
                  <c:v>0.3</c:v>
                </c:pt>
                <c:pt idx="841">
                  <c:v>0.32</c:v>
                </c:pt>
                <c:pt idx="842">
                  <c:v>0.36</c:v>
                </c:pt>
                <c:pt idx="843">
                  <c:v>0.36</c:v>
                </c:pt>
                <c:pt idx="844">
                  <c:v>0.38</c:v>
                </c:pt>
                <c:pt idx="845">
                  <c:v>0.36</c:v>
                </c:pt>
                <c:pt idx="846">
                  <c:v>0.32</c:v>
                </c:pt>
                <c:pt idx="847">
                  <c:v>0.34</c:v>
                </c:pt>
                <c:pt idx="848">
                  <c:v>0.32</c:v>
                </c:pt>
                <c:pt idx="849">
                  <c:v>0.32</c:v>
                </c:pt>
                <c:pt idx="850">
                  <c:v>0.32</c:v>
                </c:pt>
                <c:pt idx="851">
                  <c:v>0.28000000000000003</c:v>
                </c:pt>
                <c:pt idx="852">
                  <c:v>0.3</c:v>
                </c:pt>
                <c:pt idx="853">
                  <c:v>0.28000000000000003</c:v>
                </c:pt>
                <c:pt idx="854">
                  <c:v>0.28000000000000003</c:v>
                </c:pt>
                <c:pt idx="855">
                  <c:v>0.26</c:v>
                </c:pt>
                <c:pt idx="856">
                  <c:v>0.28000000000000003</c:v>
                </c:pt>
                <c:pt idx="857">
                  <c:v>0.26</c:v>
                </c:pt>
                <c:pt idx="858">
                  <c:v>0.26</c:v>
                </c:pt>
                <c:pt idx="859">
                  <c:v>0.26</c:v>
                </c:pt>
                <c:pt idx="860">
                  <c:v>0.24</c:v>
                </c:pt>
                <c:pt idx="861">
                  <c:v>0.24</c:v>
                </c:pt>
                <c:pt idx="862">
                  <c:v>0.24</c:v>
                </c:pt>
                <c:pt idx="863">
                  <c:v>0.22</c:v>
                </c:pt>
                <c:pt idx="864">
                  <c:v>0.22</c:v>
                </c:pt>
                <c:pt idx="865">
                  <c:v>0.24</c:v>
                </c:pt>
                <c:pt idx="866">
                  <c:v>0.24</c:v>
                </c:pt>
                <c:pt idx="867">
                  <c:v>0.22</c:v>
                </c:pt>
                <c:pt idx="868">
                  <c:v>0.22</c:v>
                </c:pt>
                <c:pt idx="869">
                  <c:v>0.22</c:v>
                </c:pt>
                <c:pt idx="870">
                  <c:v>0.22</c:v>
                </c:pt>
                <c:pt idx="871">
                  <c:v>0.2</c:v>
                </c:pt>
                <c:pt idx="872">
                  <c:v>0.16</c:v>
                </c:pt>
                <c:pt idx="873">
                  <c:v>0.16</c:v>
                </c:pt>
                <c:pt idx="874">
                  <c:v>0.14000000000000001</c:v>
                </c:pt>
                <c:pt idx="875">
                  <c:v>0.12</c:v>
                </c:pt>
                <c:pt idx="876">
                  <c:v>0.12</c:v>
                </c:pt>
                <c:pt idx="877">
                  <c:v>0.1</c:v>
                </c:pt>
                <c:pt idx="878">
                  <c:v>0.1</c:v>
                </c:pt>
                <c:pt idx="879">
                  <c:v>0.08</c:v>
                </c:pt>
                <c:pt idx="880">
                  <c:v>0.06</c:v>
                </c:pt>
                <c:pt idx="881">
                  <c:v>0.06</c:v>
                </c:pt>
                <c:pt idx="882">
                  <c:v>0.06</c:v>
                </c:pt>
                <c:pt idx="883">
                  <c:v>0.06</c:v>
                </c:pt>
                <c:pt idx="884">
                  <c:v>0.1</c:v>
                </c:pt>
                <c:pt idx="885">
                  <c:v>0.12</c:v>
                </c:pt>
                <c:pt idx="886">
                  <c:v>0.14000000000000001</c:v>
                </c:pt>
                <c:pt idx="887">
                  <c:v>0.14000000000000001</c:v>
                </c:pt>
                <c:pt idx="888">
                  <c:v>0.18</c:v>
                </c:pt>
                <c:pt idx="889">
                  <c:v>0.18</c:v>
                </c:pt>
                <c:pt idx="890">
                  <c:v>0.2</c:v>
                </c:pt>
                <c:pt idx="891">
                  <c:v>0.2</c:v>
                </c:pt>
                <c:pt idx="892">
                  <c:v>0.2</c:v>
                </c:pt>
                <c:pt idx="893">
                  <c:v>0.2</c:v>
                </c:pt>
                <c:pt idx="894">
                  <c:v>0.18</c:v>
                </c:pt>
                <c:pt idx="895">
                  <c:v>0.14000000000000001</c:v>
                </c:pt>
                <c:pt idx="896">
                  <c:v>0.14000000000000001</c:v>
                </c:pt>
                <c:pt idx="897">
                  <c:v>0.14000000000000001</c:v>
                </c:pt>
                <c:pt idx="898">
                  <c:v>0.16</c:v>
                </c:pt>
                <c:pt idx="899">
                  <c:v>0.16</c:v>
                </c:pt>
                <c:pt idx="900">
                  <c:v>0.14000000000000001</c:v>
                </c:pt>
                <c:pt idx="901">
                  <c:v>0.14000000000000001</c:v>
                </c:pt>
                <c:pt idx="902">
                  <c:v>0.14000000000000001</c:v>
                </c:pt>
                <c:pt idx="903">
                  <c:v>0.14000000000000001</c:v>
                </c:pt>
                <c:pt idx="904">
                  <c:v>0.12</c:v>
                </c:pt>
                <c:pt idx="905">
                  <c:v>0.12</c:v>
                </c:pt>
                <c:pt idx="906">
                  <c:v>0.1</c:v>
                </c:pt>
                <c:pt idx="907">
                  <c:v>0.1</c:v>
                </c:pt>
                <c:pt idx="908">
                  <c:v>0.12</c:v>
                </c:pt>
                <c:pt idx="909">
                  <c:v>0.12</c:v>
                </c:pt>
                <c:pt idx="910">
                  <c:v>0.14000000000000001</c:v>
                </c:pt>
                <c:pt idx="911">
                  <c:v>0.16</c:v>
                </c:pt>
                <c:pt idx="912">
                  <c:v>0.18</c:v>
                </c:pt>
                <c:pt idx="913">
                  <c:v>0.2</c:v>
                </c:pt>
                <c:pt idx="914">
                  <c:v>0.2</c:v>
                </c:pt>
                <c:pt idx="915">
                  <c:v>0.2</c:v>
                </c:pt>
                <c:pt idx="916">
                  <c:v>0.18</c:v>
                </c:pt>
                <c:pt idx="917">
                  <c:v>0.16</c:v>
                </c:pt>
                <c:pt idx="918">
                  <c:v>0.14000000000000001</c:v>
                </c:pt>
                <c:pt idx="919">
                  <c:v>0.14000000000000001</c:v>
                </c:pt>
                <c:pt idx="920">
                  <c:v>0.14000000000000001</c:v>
                </c:pt>
                <c:pt idx="921">
                  <c:v>0.12</c:v>
                </c:pt>
                <c:pt idx="922">
                  <c:v>0.12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0.08</c:v>
                </c:pt>
                <c:pt idx="927">
                  <c:v>0.1</c:v>
                </c:pt>
                <c:pt idx="928">
                  <c:v>0.08</c:v>
                </c:pt>
                <c:pt idx="929">
                  <c:v>0.1</c:v>
                </c:pt>
                <c:pt idx="930">
                  <c:v>0.12</c:v>
                </c:pt>
                <c:pt idx="931">
                  <c:v>0.14000000000000001</c:v>
                </c:pt>
                <c:pt idx="932">
                  <c:v>0.22</c:v>
                </c:pt>
                <c:pt idx="933">
                  <c:v>0.22</c:v>
                </c:pt>
                <c:pt idx="934">
                  <c:v>0.24</c:v>
                </c:pt>
                <c:pt idx="935">
                  <c:v>0.3</c:v>
                </c:pt>
                <c:pt idx="936">
                  <c:v>0.32</c:v>
                </c:pt>
                <c:pt idx="937">
                  <c:v>0.3</c:v>
                </c:pt>
                <c:pt idx="938">
                  <c:v>0.3</c:v>
                </c:pt>
                <c:pt idx="939">
                  <c:v>0.28000000000000003</c:v>
                </c:pt>
                <c:pt idx="940">
                  <c:v>0.26</c:v>
                </c:pt>
                <c:pt idx="941">
                  <c:v>0.22</c:v>
                </c:pt>
                <c:pt idx="942">
                  <c:v>0.2</c:v>
                </c:pt>
                <c:pt idx="943">
                  <c:v>0.2</c:v>
                </c:pt>
                <c:pt idx="944">
                  <c:v>0.18</c:v>
                </c:pt>
                <c:pt idx="945">
                  <c:v>0.16</c:v>
                </c:pt>
                <c:pt idx="946">
                  <c:v>0.14000000000000001</c:v>
                </c:pt>
                <c:pt idx="947">
                  <c:v>0.14000000000000001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0.14000000000000001</c:v>
                </c:pt>
                <c:pt idx="954">
                  <c:v>0.16</c:v>
                </c:pt>
                <c:pt idx="955">
                  <c:v>0.22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0.34</c:v>
                </c:pt>
                <c:pt idx="960">
                  <c:v>0.34</c:v>
                </c:pt>
                <c:pt idx="961">
                  <c:v>0.34</c:v>
                </c:pt>
                <c:pt idx="962">
                  <c:v>0.32</c:v>
                </c:pt>
                <c:pt idx="963">
                  <c:v>0.28000000000000003</c:v>
                </c:pt>
                <c:pt idx="964">
                  <c:v>0.28000000000000003</c:v>
                </c:pt>
                <c:pt idx="965">
                  <c:v>0.26</c:v>
                </c:pt>
                <c:pt idx="966">
                  <c:v>0.26</c:v>
                </c:pt>
                <c:pt idx="967">
                  <c:v>0.24</c:v>
                </c:pt>
                <c:pt idx="968">
                  <c:v>0.22</c:v>
                </c:pt>
                <c:pt idx="969">
                  <c:v>0.2</c:v>
                </c:pt>
                <c:pt idx="970">
                  <c:v>0.2</c:v>
                </c:pt>
                <c:pt idx="971">
                  <c:v>0.2</c:v>
                </c:pt>
                <c:pt idx="972">
                  <c:v>0.2</c:v>
                </c:pt>
                <c:pt idx="973">
                  <c:v>0.2</c:v>
                </c:pt>
                <c:pt idx="974">
                  <c:v>0.2</c:v>
                </c:pt>
                <c:pt idx="975">
                  <c:v>0.22</c:v>
                </c:pt>
                <c:pt idx="976">
                  <c:v>0.22</c:v>
                </c:pt>
                <c:pt idx="977">
                  <c:v>0.24</c:v>
                </c:pt>
                <c:pt idx="978">
                  <c:v>0.3</c:v>
                </c:pt>
                <c:pt idx="979">
                  <c:v>0.32</c:v>
                </c:pt>
                <c:pt idx="980">
                  <c:v>0.36</c:v>
                </c:pt>
                <c:pt idx="981">
                  <c:v>0.38</c:v>
                </c:pt>
                <c:pt idx="982">
                  <c:v>0.4</c:v>
                </c:pt>
                <c:pt idx="983">
                  <c:v>0.4</c:v>
                </c:pt>
                <c:pt idx="984">
                  <c:v>0.42</c:v>
                </c:pt>
                <c:pt idx="985">
                  <c:v>0.42</c:v>
                </c:pt>
                <c:pt idx="986">
                  <c:v>0.4</c:v>
                </c:pt>
                <c:pt idx="987">
                  <c:v>0.4</c:v>
                </c:pt>
                <c:pt idx="988">
                  <c:v>0.4</c:v>
                </c:pt>
                <c:pt idx="989">
                  <c:v>0.4</c:v>
                </c:pt>
                <c:pt idx="990">
                  <c:v>0.4</c:v>
                </c:pt>
                <c:pt idx="991">
                  <c:v>0.4</c:v>
                </c:pt>
                <c:pt idx="992">
                  <c:v>0.38</c:v>
                </c:pt>
                <c:pt idx="993">
                  <c:v>0.38</c:v>
                </c:pt>
                <c:pt idx="994">
                  <c:v>0.36</c:v>
                </c:pt>
                <c:pt idx="995">
                  <c:v>0.34</c:v>
                </c:pt>
                <c:pt idx="996">
                  <c:v>0.32</c:v>
                </c:pt>
                <c:pt idx="997">
                  <c:v>0.32</c:v>
                </c:pt>
                <c:pt idx="998">
                  <c:v>0.34</c:v>
                </c:pt>
                <c:pt idx="999">
                  <c:v>0.34</c:v>
                </c:pt>
              </c:numCache>
            </c:numRef>
          </c:xVal>
          <c:yVal>
            <c:numRef>
              <c:f>[1]dataset_1!$P$2:$P$1001</c:f>
              <c:numCache>
                <c:formatCode>General</c:formatCode>
                <c:ptCount val="1000"/>
                <c:pt idx="0">
                  <c:v>16</c:v>
                </c:pt>
                <c:pt idx="1">
                  <c:v>40</c:v>
                </c:pt>
                <c:pt idx="2">
                  <c:v>32</c:v>
                </c:pt>
                <c:pt idx="3">
                  <c:v>13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8</c:v>
                </c:pt>
                <c:pt idx="9">
                  <c:v>14</c:v>
                </c:pt>
                <c:pt idx="10">
                  <c:v>36</c:v>
                </c:pt>
                <c:pt idx="11">
                  <c:v>56</c:v>
                </c:pt>
                <c:pt idx="12">
                  <c:v>84</c:v>
                </c:pt>
                <c:pt idx="13">
                  <c:v>94</c:v>
                </c:pt>
                <c:pt idx="14">
                  <c:v>106</c:v>
                </c:pt>
                <c:pt idx="15">
                  <c:v>110</c:v>
                </c:pt>
                <c:pt idx="16">
                  <c:v>93</c:v>
                </c:pt>
                <c:pt idx="17">
                  <c:v>67</c:v>
                </c:pt>
                <c:pt idx="18">
                  <c:v>35</c:v>
                </c:pt>
                <c:pt idx="19">
                  <c:v>37</c:v>
                </c:pt>
                <c:pt idx="20">
                  <c:v>36</c:v>
                </c:pt>
                <c:pt idx="21">
                  <c:v>34</c:v>
                </c:pt>
                <c:pt idx="22">
                  <c:v>28</c:v>
                </c:pt>
                <c:pt idx="23">
                  <c:v>39</c:v>
                </c:pt>
                <c:pt idx="24">
                  <c:v>17</c:v>
                </c:pt>
                <c:pt idx="25">
                  <c:v>17</c:v>
                </c:pt>
                <c:pt idx="26">
                  <c:v>9</c:v>
                </c:pt>
                <c:pt idx="27">
                  <c:v>6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8</c:v>
                </c:pt>
                <c:pt idx="32">
                  <c:v>20</c:v>
                </c:pt>
                <c:pt idx="33">
                  <c:v>53</c:v>
                </c:pt>
                <c:pt idx="34">
                  <c:v>70</c:v>
                </c:pt>
                <c:pt idx="35">
                  <c:v>93</c:v>
                </c:pt>
                <c:pt idx="36">
                  <c:v>75</c:v>
                </c:pt>
                <c:pt idx="37">
                  <c:v>59</c:v>
                </c:pt>
                <c:pt idx="38">
                  <c:v>74</c:v>
                </c:pt>
                <c:pt idx="39">
                  <c:v>76</c:v>
                </c:pt>
                <c:pt idx="40">
                  <c:v>65</c:v>
                </c:pt>
                <c:pt idx="41">
                  <c:v>53</c:v>
                </c:pt>
                <c:pt idx="42">
                  <c:v>30</c:v>
                </c:pt>
                <c:pt idx="43">
                  <c:v>22</c:v>
                </c:pt>
                <c:pt idx="44">
                  <c:v>31</c:v>
                </c:pt>
                <c:pt idx="45">
                  <c:v>9</c:v>
                </c:pt>
                <c:pt idx="46">
                  <c:v>8</c:v>
                </c:pt>
                <c:pt idx="47">
                  <c:v>5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30</c:v>
                </c:pt>
                <c:pt idx="52">
                  <c:v>64</c:v>
                </c:pt>
                <c:pt idx="53">
                  <c:v>154</c:v>
                </c:pt>
                <c:pt idx="54">
                  <c:v>88</c:v>
                </c:pt>
                <c:pt idx="55">
                  <c:v>44</c:v>
                </c:pt>
                <c:pt idx="56">
                  <c:v>51</c:v>
                </c:pt>
                <c:pt idx="57">
                  <c:v>61</c:v>
                </c:pt>
                <c:pt idx="58">
                  <c:v>61</c:v>
                </c:pt>
                <c:pt idx="59">
                  <c:v>77</c:v>
                </c:pt>
                <c:pt idx="60">
                  <c:v>72</c:v>
                </c:pt>
                <c:pt idx="61">
                  <c:v>76</c:v>
                </c:pt>
                <c:pt idx="62">
                  <c:v>157</c:v>
                </c:pt>
                <c:pt idx="63">
                  <c:v>157</c:v>
                </c:pt>
                <c:pt idx="64">
                  <c:v>110</c:v>
                </c:pt>
                <c:pt idx="65">
                  <c:v>52</c:v>
                </c:pt>
                <c:pt idx="66">
                  <c:v>52</c:v>
                </c:pt>
                <c:pt idx="67">
                  <c:v>20</c:v>
                </c:pt>
                <c:pt idx="68">
                  <c:v>12</c:v>
                </c:pt>
                <c:pt idx="69">
                  <c:v>5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4</c:v>
                </c:pt>
                <c:pt idx="74">
                  <c:v>36</c:v>
                </c:pt>
                <c:pt idx="75">
                  <c:v>94</c:v>
                </c:pt>
                <c:pt idx="76">
                  <c:v>179</c:v>
                </c:pt>
                <c:pt idx="77">
                  <c:v>100</c:v>
                </c:pt>
                <c:pt idx="78">
                  <c:v>42</c:v>
                </c:pt>
                <c:pt idx="79">
                  <c:v>57</c:v>
                </c:pt>
                <c:pt idx="80">
                  <c:v>78</c:v>
                </c:pt>
                <c:pt idx="81">
                  <c:v>97</c:v>
                </c:pt>
                <c:pt idx="82">
                  <c:v>63</c:v>
                </c:pt>
                <c:pt idx="83">
                  <c:v>65</c:v>
                </c:pt>
                <c:pt idx="84">
                  <c:v>83</c:v>
                </c:pt>
                <c:pt idx="85">
                  <c:v>212</c:v>
                </c:pt>
                <c:pt idx="86">
                  <c:v>182</c:v>
                </c:pt>
                <c:pt idx="87">
                  <c:v>112</c:v>
                </c:pt>
                <c:pt idx="88">
                  <c:v>54</c:v>
                </c:pt>
                <c:pt idx="89">
                  <c:v>48</c:v>
                </c:pt>
                <c:pt idx="90">
                  <c:v>35</c:v>
                </c:pt>
                <c:pt idx="91">
                  <c:v>11</c:v>
                </c:pt>
                <c:pt idx="92">
                  <c:v>6</c:v>
                </c:pt>
                <c:pt idx="93">
                  <c:v>6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33</c:v>
                </c:pt>
                <c:pt idx="98">
                  <c:v>88</c:v>
                </c:pt>
                <c:pt idx="99">
                  <c:v>195</c:v>
                </c:pt>
                <c:pt idx="100">
                  <c:v>115</c:v>
                </c:pt>
                <c:pt idx="101">
                  <c:v>57</c:v>
                </c:pt>
                <c:pt idx="102">
                  <c:v>46</c:v>
                </c:pt>
                <c:pt idx="103">
                  <c:v>79</c:v>
                </c:pt>
                <c:pt idx="104">
                  <c:v>71</c:v>
                </c:pt>
                <c:pt idx="105">
                  <c:v>62</c:v>
                </c:pt>
                <c:pt idx="106">
                  <c:v>62</c:v>
                </c:pt>
                <c:pt idx="107">
                  <c:v>89</c:v>
                </c:pt>
                <c:pt idx="108">
                  <c:v>190</c:v>
                </c:pt>
                <c:pt idx="109">
                  <c:v>169</c:v>
                </c:pt>
                <c:pt idx="110">
                  <c:v>132</c:v>
                </c:pt>
                <c:pt idx="111">
                  <c:v>89</c:v>
                </c:pt>
                <c:pt idx="112">
                  <c:v>43</c:v>
                </c:pt>
                <c:pt idx="113">
                  <c:v>42</c:v>
                </c:pt>
                <c:pt idx="114">
                  <c:v>19</c:v>
                </c:pt>
                <c:pt idx="115">
                  <c:v>11</c:v>
                </c:pt>
                <c:pt idx="116">
                  <c:v>4</c:v>
                </c:pt>
                <c:pt idx="117">
                  <c:v>2</c:v>
                </c:pt>
                <c:pt idx="118">
                  <c:v>1</c:v>
                </c:pt>
                <c:pt idx="119">
                  <c:v>4</c:v>
                </c:pt>
                <c:pt idx="120">
                  <c:v>36</c:v>
                </c:pt>
                <c:pt idx="121">
                  <c:v>95</c:v>
                </c:pt>
                <c:pt idx="122">
                  <c:v>219</c:v>
                </c:pt>
                <c:pt idx="123">
                  <c:v>122</c:v>
                </c:pt>
                <c:pt idx="124">
                  <c:v>45</c:v>
                </c:pt>
                <c:pt idx="125">
                  <c:v>59</c:v>
                </c:pt>
                <c:pt idx="126">
                  <c:v>84</c:v>
                </c:pt>
                <c:pt idx="127">
                  <c:v>67</c:v>
                </c:pt>
                <c:pt idx="128">
                  <c:v>70</c:v>
                </c:pt>
                <c:pt idx="129">
                  <c:v>62</c:v>
                </c:pt>
                <c:pt idx="130">
                  <c:v>86</c:v>
                </c:pt>
                <c:pt idx="131">
                  <c:v>172</c:v>
                </c:pt>
                <c:pt idx="132">
                  <c:v>163</c:v>
                </c:pt>
                <c:pt idx="133">
                  <c:v>112</c:v>
                </c:pt>
                <c:pt idx="134">
                  <c:v>69</c:v>
                </c:pt>
                <c:pt idx="135">
                  <c:v>48</c:v>
                </c:pt>
                <c:pt idx="136">
                  <c:v>52</c:v>
                </c:pt>
                <c:pt idx="137">
                  <c:v>23</c:v>
                </c:pt>
                <c:pt idx="138">
                  <c:v>17</c:v>
                </c:pt>
                <c:pt idx="139">
                  <c:v>7</c:v>
                </c:pt>
                <c:pt idx="140">
                  <c:v>1</c:v>
                </c:pt>
                <c:pt idx="141">
                  <c:v>1</c:v>
                </c:pt>
                <c:pt idx="142">
                  <c:v>5</c:v>
                </c:pt>
                <c:pt idx="143">
                  <c:v>34</c:v>
                </c:pt>
                <c:pt idx="144">
                  <c:v>84</c:v>
                </c:pt>
                <c:pt idx="145">
                  <c:v>210</c:v>
                </c:pt>
                <c:pt idx="146">
                  <c:v>134</c:v>
                </c:pt>
                <c:pt idx="147">
                  <c:v>63</c:v>
                </c:pt>
                <c:pt idx="148">
                  <c:v>67</c:v>
                </c:pt>
                <c:pt idx="149">
                  <c:v>59</c:v>
                </c:pt>
                <c:pt idx="150">
                  <c:v>73</c:v>
                </c:pt>
                <c:pt idx="151">
                  <c:v>50</c:v>
                </c:pt>
                <c:pt idx="152">
                  <c:v>72</c:v>
                </c:pt>
                <c:pt idx="153">
                  <c:v>87</c:v>
                </c:pt>
                <c:pt idx="154">
                  <c:v>187</c:v>
                </c:pt>
                <c:pt idx="155">
                  <c:v>123</c:v>
                </c:pt>
                <c:pt idx="156">
                  <c:v>95</c:v>
                </c:pt>
                <c:pt idx="157">
                  <c:v>51</c:v>
                </c:pt>
                <c:pt idx="158">
                  <c:v>39</c:v>
                </c:pt>
                <c:pt idx="159">
                  <c:v>36</c:v>
                </c:pt>
                <c:pt idx="160">
                  <c:v>15</c:v>
                </c:pt>
                <c:pt idx="161">
                  <c:v>25</c:v>
                </c:pt>
                <c:pt idx="162">
                  <c:v>16</c:v>
                </c:pt>
                <c:pt idx="163">
                  <c:v>16</c:v>
                </c:pt>
                <c:pt idx="164">
                  <c:v>7</c:v>
                </c:pt>
                <c:pt idx="165">
                  <c:v>1</c:v>
                </c:pt>
                <c:pt idx="166">
                  <c:v>5</c:v>
                </c:pt>
                <c:pt idx="167">
                  <c:v>2</c:v>
                </c:pt>
                <c:pt idx="168">
                  <c:v>9</c:v>
                </c:pt>
                <c:pt idx="169">
                  <c:v>15</c:v>
                </c:pt>
                <c:pt idx="170">
                  <c:v>20</c:v>
                </c:pt>
                <c:pt idx="171">
                  <c:v>61</c:v>
                </c:pt>
                <c:pt idx="172">
                  <c:v>62</c:v>
                </c:pt>
                <c:pt idx="173">
                  <c:v>98</c:v>
                </c:pt>
                <c:pt idx="174">
                  <c:v>102</c:v>
                </c:pt>
                <c:pt idx="175">
                  <c:v>95</c:v>
                </c:pt>
                <c:pt idx="176">
                  <c:v>74</c:v>
                </c:pt>
                <c:pt idx="177">
                  <c:v>76</c:v>
                </c:pt>
                <c:pt idx="178">
                  <c:v>69</c:v>
                </c:pt>
                <c:pt idx="179">
                  <c:v>55</c:v>
                </c:pt>
                <c:pt idx="180">
                  <c:v>30</c:v>
                </c:pt>
                <c:pt idx="181">
                  <c:v>28</c:v>
                </c:pt>
                <c:pt idx="182">
                  <c:v>37</c:v>
                </c:pt>
                <c:pt idx="183">
                  <c:v>34</c:v>
                </c:pt>
                <c:pt idx="184">
                  <c:v>22</c:v>
                </c:pt>
                <c:pt idx="185">
                  <c:v>25</c:v>
                </c:pt>
                <c:pt idx="186">
                  <c:v>12</c:v>
                </c:pt>
                <c:pt idx="187">
                  <c:v>11</c:v>
                </c:pt>
                <c:pt idx="188">
                  <c:v>4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6</c:v>
                </c:pt>
                <c:pt idx="193">
                  <c:v>10</c:v>
                </c:pt>
                <c:pt idx="194">
                  <c:v>19</c:v>
                </c:pt>
                <c:pt idx="195">
                  <c:v>49</c:v>
                </c:pt>
                <c:pt idx="196">
                  <c:v>49</c:v>
                </c:pt>
                <c:pt idx="197">
                  <c:v>83</c:v>
                </c:pt>
                <c:pt idx="198">
                  <c:v>75</c:v>
                </c:pt>
                <c:pt idx="199">
                  <c:v>72</c:v>
                </c:pt>
                <c:pt idx="200">
                  <c:v>82</c:v>
                </c:pt>
                <c:pt idx="201">
                  <c:v>92</c:v>
                </c:pt>
                <c:pt idx="202">
                  <c:v>62</c:v>
                </c:pt>
                <c:pt idx="203">
                  <c:v>48</c:v>
                </c:pt>
                <c:pt idx="204">
                  <c:v>41</c:v>
                </c:pt>
                <c:pt idx="205">
                  <c:v>38</c:v>
                </c:pt>
                <c:pt idx="206">
                  <c:v>20</c:v>
                </c:pt>
                <c:pt idx="207">
                  <c:v>15</c:v>
                </c:pt>
                <c:pt idx="208">
                  <c:v>6</c:v>
                </c:pt>
                <c:pt idx="209">
                  <c:v>5</c:v>
                </c:pt>
                <c:pt idx="210">
                  <c:v>1</c:v>
                </c:pt>
                <c:pt idx="211">
                  <c:v>3</c:v>
                </c:pt>
                <c:pt idx="212">
                  <c:v>1</c:v>
                </c:pt>
                <c:pt idx="213">
                  <c:v>3</c:v>
                </c:pt>
                <c:pt idx="214">
                  <c:v>3</c:v>
                </c:pt>
                <c:pt idx="215">
                  <c:v>31</c:v>
                </c:pt>
                <c:pt idx="216">
                  <c:v>77</c:v>
                </c:pt>
                <c:pt idx="217">
                  <c:v>188</c:v>
                </c:pt>
                <c:pt idx="218">
                  <c:v>94</c:v>
                </c:pt>
                <c:pt idx="219">
                  <c:v>31</c:v>
                </c:pt>
                <c:pt idx="220">
                  <c:v>30</c:v>
                </c:pt>
                <c:pt idx="221">
                  <c:v>52</c:v>
                </c:pt>
                <c:pt idx="222">
                  <c:v>54</c:v>
                </c:pt>
                <c:pt idx="223">
                  <c:v>47</c:v>
                </c:pt>
                <c:pt idx="224">
                  <c:v>45</c:v>
                </c:pt>
                <c:pt idx="225">
                  <c:v>74</c:v>
                </c:pt>
                <c:pt idx="226">
                  <c:v>178</c:v>
                </c:pt>
                <c:pt idx="227">
                  <c:v>155</c:v>
                </c:pt>
                <c:pt idx="228">
                  <c:v>95</c:v>
                </c:pt>
                <c:pt idx="229">
                  <c:v>74</c:v>
                </c:pt>
                <c:pt idx="230">
                  <c:v>38</c:v>
                </c:pt>
                <c:pt idx="231">
                  <c:v>24</c:v>
                </c:pt>
                <c:pt idx="232">
                  <c:v>18</c:v>
                </c:pt>
                <c:pt idx="233">
                  <c:v>12</c:v>
                </c:pt>
                <c:pt idx="234">
                  <c:v>3</c:v>
                </c:pt>
                <c:pt idx="235">
                  <c:v>3</c:v>
                </c:pt>
                <c:pt idx="236">
                  <c:v>6</c:v>
                </c:pt>
                <c:pt idx="237">
                  <c:v>27</c:v>
                </c:pt>
                <c:pt idx="238">
                  <c:v>99</c:v>
                </c:pt>
                <c:pt idx="239">
                  <c:v>217</c:v>
                </c:pt>
                <c:pt idx="240">
                  <c:v>130</c:v>
                </c:pt>
                <c:pt idx="241">
                  <c:v>54</c:v>
                </c:pt>
                <c:pt idx="242">
                  <c:v>35</c:v>
                </c:pt>
                <c:pt idx="243">
                  <c:v>57</c:v>
                </c:pt>
                <c:pt idx="244">
                  <c:v>52</c:v>
                </c:pt>
                <c:pt idx="245">
                  <c:v>63</c:v>
                </c:pt>
                <c:pt idx="246">
                  <c:v>47</c:v>
                </c:pt>
                <c:pt idx="247">
                  <c:v>76</c:v>
                </c:pt>
                <c:pt idx="248">
                  <c:v>136</c:v>
                </c:pt>
                <c:pt idx="249">
                  <c:v>95</c:v>
                </c:pt>
                <c:pt idx="250">
                  <c:v>51</c:v>
                </c:pt>
                <c:pt idx="251">
                  <c:v>32</c:v>
                </c:pt>
                <c:pt idx="252">
                  <c:v>20</c:v>
                </c:pt>
                <c:pt idx="253">
                  <c:v>29</c:v>
                </c:pt>
                <c:pt idx="254">
                  <c:v>19</c:v>
                </c:pt>
                <c:pt idx="255">
                  <c:v>7</c:v>
                </c:pt>
                <c:pt idx="256">
                  <c:v>6</c:v>
                </c:pt>
                <c:pt idx="257">
                  <c:v>1</c:v>
                </c:pt>
                <c:pt idx="258">
                  <c:v>5</c:v>
                </c:pt>
                <c:pt idx="259">
                  <c:v>16</c:v>
                </c:pt>
                <c:pt idx="260">
                  <c:v>54</c:v>
                </c:pt>
                <c:pt idx="261">
                  <c:v>128</c:v>
                </c:pt>
                <c:pt idx="262">
                  <c:v>81</c:v>
                </c:pt>
                <c:pt idx="263">
                  <c:v>39</c:v>
                </c:pt>
                <c:pt idx="264">
                  <c:v>35</c:v>
                </c:pt>
                <c:pt idx="265">
                  <c:v>55</c:v>
                </c:pt>
                <c:pt idx="266">
                  <c:v>49</c:v>
                </c:pt>
                <c:pt idx="267">
                  <c:v>44</c:v>
                </c:pt>
                <c:pt idx="268">
                  <c:v>49</c:v>
                </c:pt>
                <c:pt idx="269">
                  <c:v>68</c:v>
                </c:pt>
                <c:pt idx="270">
                  <c:v>139</c:v>
                </c:pt>
                <c:pt idx="271">
                  <c:v>137</c:v>
                </c:pt>
                <c:pt idx="272">
                  <c:v>83</c:v>
                </c:pt>
                <c:pt idx="273">
                  <c:v>56</c:v>
                </c:pt>
                <c:pt idx="274">
                  <c:v>57</c:v>
                </c:pt>
                <c:pt idx="275">
                  <c:v>33</c:v>
                </c:pt>
                <c:pt idx="276">
                  <c:v>20</c:v>
                </c:pt>
                <c:pt idx="277">
                  <c:v>7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28</c:v>
                </c:pt>
                <c:pt idx="284">
                  <c:v>72</c:v>
                </c:pt>
                <c:pt idx="285">
                  <c:v>202</c:v>
                </c:pt>
                <c:pt idx="286">
                  <c:v>139</c:v>
                </c:pt>
                <c:pt idx="287">
                  <c:v>38</c:v>
                </c:pt>
                <c:pt idx="288">
                  <c:v>37</c:v>
                </c:pt>
                <c:pt idx="289">
                  <c:v>52</c:v>
                </c:pt>
                <c:pt idx="290">
                  <c:v>83</c:v>
                </c:pt>
                <c:pt idx="291">
                  <c:v>42</c:v>
                </c:pt>
                <c:pt idx="292">
                  <c:v>60</c:v>
                </c:pt>
                <c:pt idx="293">
                  <c:v>78</c:v>
                </c:pt>
                <c:pt idx="294">
                  <c:v>162</c:v>
                </c:pt>
                <c:pt idx="295">
                  <c:v>144</c:v>
                </c:pt>
                <c:pt idx="296">
                  <c:v>99</c:v>
                </c:pt>
                <c:pt idx="297">
                  <c:v>64</c:v>
                </c:pt>
                <c:pt idx="298">
                  <c:v>40</c:v>
                </c:pt>
                <c:pt idx="299">
                  <c:v>30</c:v>
                </c:pt>
                <c:pt idx="300">
                  <c:v>15</c:v>
                </c:pt>
                <c:pt idx="301">
                  <c:v>14</c:v>
                </c:pt>
                <c:pt idx="302">
                  <c:v>5</c:v>
                </c:pt>
                <c:pt idx="303">
                  <c:v>1</c:v>
                </c:pt>
                <c:pt idx="304">
                  <c:v>1</c:v>
                </c:pt>
                <c:pt idx="305">
                  <c:v>8</c:v>
                </c:pt>
                <c:pt idx="306">
                  <c:v>17</c:v>
                </c:pt>
                <c:pt idx="307">
                  <c:v>70</c:v>
                </c:pt>
                <c:pt idx="308">
                  <c:v>158</c:v>
                </c:pt>
                <c:pt idx="309">
                  <c:v>117</c:v>
                </c:pt>
                <c:pt idx="310">
                  <c:v>44</c:v>
                </c:pt>
                <c:pt idx="311">
                  <c:v>53</c:v>
                </c:pt>
                <c:pt idx="312">
                  <c:v>61</c:v>
                </c:pt>
                <c:pt idx="313">
                  <c:v>77</c:v>
                </c:pt>
                <c:pt idx="314">
                  <c:v>64</c:v>
                </c:pt>
                <c:pt idx="315">
                  <c:v>68</c:v>
                </c:pt>
                <c:pt idx="316">
                  <c:v>90</c:v>
                </c:pt>
                <c:pt idx="317">
                  <c:v>159</c:v>
                </c:pt>
                <c:pt idx="318">
                  <c:v>139</c:v>
                </c:pt>
                <c:pt idx="319">
                  <c:v>92</c:v>
                </c:pt>
                <c:pt idx="320">
                  <c:v>68</c:v>
                </c:pt>
                <c:pt idx="321">
                  <c:v>52</c:v>
                </c:pt>
                <c:pt idx="322">
                  <c:v>36</c:v>
                </c:pt>
                <c:pt idx="323">
                  <c:v>27</c:v>
                </c:pt>
                <c:pt idx="324">
                  <c:v>28</c:v>
                </c:pt>
                <c:pt idx="325">
                  <c:v>20</c:v>
                </c:pt>
                <c:pt idx="326">
                  <c:v>12</c:v>
                </c:pt>
                <c:pt idx="327">
                  <c:v>8</c:v>
                </c:pt>
                <c:pt idx="328">
                  <c:v>5</c:v>
                </c:pt>
                <c:pt idx="329">
                  <c:v>1</c:v>
                </c:pt>
                <c:pt idx="330">
                  <c:v>3</c:v>
                </c:pt>
                <c:pt idx="331">
                  <c:v>10</c:v>
                </c:pt>
                <c:pt idx="332">
                  <c:v>23</c:v>
                </c:pt>
                <c:pt idx="333">
                  <c:v>33</c:v>
                </c:pt>
                <c:pt idx="334">
                  <c:v>59</c:v>
                </c:pt>
                <c:pt idx="335">
                  <c:v>72</c:v>
                </c:pt>
                <c:pt idx="336">
                  <c:v>89</c:v>
                </c:pt>
                <c:pt idx="337">
                  <c:v>101</c:v>
                </c:pt>
                <c:pt idx="338">
                  <c:v>118</c:v>
                </c:pt>
                <c:pt idx="339">
                  <c:v>129</c:v>
                </c:pt>
                <c:pt idx="340">
                  <c:v>128</c:v>
                </c:pt>
                <c:pt idx="341">
                  <c:v>83</c:v>
                </c:pt>
                <c:pt idx="342">
                  <c:v>84</c:v>
                </c:pt>
                <c:pt idx="343">
                  <c:v>74</c:v>
                </c:pt>
                <c:pt idx="344">
                  <c:v>41</c:v>
                </c:pt>
                <c:pt idx="345">
                  <c:v>57</c:v>
                </c:pt>
                <c:pt idx="346">
                  <c:v>26</c:v>
                </c:pt>
                <c:pt idx="347">
                  <c:v>44</c:v>
                </c:pt>
                <c:pt idx="348">
                  <c:v>39</c:v>
                </c:pt>
                <c:pt idx="349">
                  <c:v>23</c:v>
                </c:pt>
                <c:pt idx="350">
                  <c:v>16</c:v>
                </c:pt>
                <c:pt idx="351">
                  <c:v>15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3</c:v>
                </c:pt>
                <c:pt idx="356">
                  <c:v>18</c:v>
                </c:pt>
                <c:pt idx="357">
                  <c:v>32</c:v>
                </c:pt>
                <c:pt idx="358">
                  <c:v>79</c:v>
                </c:pt>
                <c:pt idx="359">
                  <c:v>93</c:v>
                </c:pt>
                <c:pt idx="360">
                  <c:v>104</c:v>
                </c:pt>
                <c:pt idx="361">
                  <c:v>118</c:v>
                </c:pt>
                <c:pt idx="362">
                  <c:v>91</c:v>
                </c:pt>
                <c:pt idx="363">
                  <c:v>113</c:v>
                </c:pt>
                <c:pt idx="364">
                  <c:v>99</c:v>
                </c:pt>
                <c:pt idx="365">
                  <c:v>105</c:v>
                </c:pt>
                <c:pt idx="366">
                  <c:v>67</c:v>
                </c:pt>
                <c:pt idx="367">
                  <c:v>61</c:v>
                </c:pt>
                <c:pt idx="368">
                  <c:v>57</c:v>
                </c:pt>
                <c:pt idx="369">
                  <c:v>28</c:v>
                </c:pt>
                <c:pt idx="370">
                  <c:v>21</c:v>
                </c:pt>
                <c:pt idx="371">
                  <c:v>18</c:v>
                </c:pt>
                <c:pt idx="372">
                  <c:v>17</c:v>
                </c:pt>
                <c:pt idx="373">
                  <c:v>16</c:v>
                </c:pt>
                <c:pt idx="374">
                  <c:v>8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13</c:v>
                </c:pt>
                <c:pt idx="380">
                  <c:v>33</c:v>
                </c:pt>
                <c:pt idx="381">
                  <c:v>47</c:v>
                </c:pt>
                <c:pt idx="382">
                  <c:v>57</c:v>
                </c:pt>
                <c:pt idx="383">
                  <c:v>64</c:v>
                </c:pt>
                <c:pt idx="384">
                  <c:v>80</c:v>
                </c:pt>
                <c:pt idx="385">
                  <c:v>93</c:v>
                </c:pt>
                <c:pt idx="386">
                  <c:v>86</c:v>
                </c:pt>
                <c:pt idx="387">
                  <c:v>93</c:v>
                </c:pt>
                <c:pt idx="388">
                  <c:v>82</c:v>
                </c:pt>
                <c:pt idx="389">
                  <c:v>71</c:v>
                </c:pt>
                <c:pt idx="390">
                  <c:v>92</c:v>
                </c:pt>
                <c:pt idx="391">
                  <c:v>60</c:v>
                </c:pt>
                <c:pt idx="392">
                  <c:v>33</c:v>
                </c:pt>
                <c:pt idx="393">
                  <c:v>27</c:v>
                </c:pt>
                <c:pt idx="394">
                  <c:v>13</c:v>
                </c:pt>
                <c:pt idx="395">
                  <c:v>4</c:v>
                </c:pt>
                <c:pt idx="396">
                  <c:v>3</c:v>
                </c:pt>
                <c:pt idx="397">
                  <c:v>22</c:v>
                </c:pt>
                <c:pt idx="398">
                  <c:v>28</c:v>
                </c:pt>
                <c:pt idx="399">
                  <c:v>35</c:v>
                </c:pt>
                <c:pt idx="400">
                  <c:v>61</c:v>
                </c:pt>
                <c:pt idx="401">
                  <c:v>125</c:v>
                </c:pt>
                <c:pt idx="402">
                  <c:v>133</c:v>
                </c:pt>
                <c:pt idx="403">
                  <c:v>99</c:v>
                </c:pt>
                <c:pt idx="404">
                  <c:v>83</c:v>
                </c:pt>
                <c:pt idx="405">
                  <c:v>41</c:v>
                </c:pt>
                <c:pt idx="406">
                  <c:v>33</c:v>
                </c:pt>
                <c:pt idx="407">
                  <c:v>20</c:v>
                </c:pt>
                <c:pt idx="408">
                  <c:v>3</c:v>
                </c:pt>
                <c:pt idx="409">
                  <c:v>7</c:v>
                </c:pt>
                <c:pt idx="410">
                  <c:v>3</c:v>
                </c:pt>
                <c:pt idx="411">
                  <c:v>2</c:v>
                </c:pt>
                <c:pt idx="412">
                  <c:v>7</c:v>
                </c:pt>
                <c:pt idx="413">
                  <c:v>32</c:v>
                </c:pt>
                <c:pt idx="414">
                  <c:v>90</c:v>
                </c:pt>
                <c:pt idx="415">
                  <c:v>197</c:v>
                </c:pt>
                <c:pt idx="416">
                  <c:v>109</c:v>
                </c:pt>
                <c:pt idx="417">
                  <c:v>47</c:v>
                </c:pt>
                <c:pt idx="418">
                  <c:v>52</c:v>
                </c:pt>
                <c:pt idx="419">
                  <c:v>70</c:v>
                </c:pt>
                <c:pt idx="420">
                  <c:v>78</c:v>
                </c:pt>
                <c:pt idx="421">
                  <c:v>75</c:v>
                </c:pt>
                <c:pt idx="422">
                  <c:v>82</c:v>
                </c:pt>
                <c:pt idx="423">
                  <c:v>104</c:v>
                </c:pt>
                <c:pt idx="424">
                  <c:v>197</c:v>
                </c:pt>
                <c:pt idx="425">
                  <c:v>161</c:v>
                </c:pt>
                <c:pt idx="426">
                  <c:v>112</c:v>
                </c:pt>
                <c:pt idx="427">
                  <c:v>76</c:v>
                </c:pt>
                <c:pt idx="428">
                  <c:v>59</c:v>
                </c:pt>
                <c:pt idx="429">
                  <c:v>59</c:v>
                </c:pt>
                <c:pt idx="430">
                  <c:v>28</c:v>
                </c:pt>
                <c:pt idx="431">
                  <c:v>13</c:v>
                </c:pt>
                <c:pt idx="432">
                  <c:v>5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6</c:v>
                </c:pt>
                <c:pt idx="437">
                  <c:v>35</c:v>
                </c:pt>
                <c:pt idx="438">
                  <c:v>101</c:v>
                </c:pt>
                <c:pt idx="439">
                  <c:v>249</c:v>
                </c:pt>
                <c:pt idx="440">
                  <c:v>143</c:v>
                </c:pt>
                <c:pt idx="441">
                  <c:v>57</c:v>
                </c:pt>
                <c:pt idx="442">
                  <c:v>68</c:v>
                </c:pt>
                <c:pt idx="443">
                  <c:v>84</c:v>
                </c:pt>
                <c:pt idx="444">
                  <c:v>98</c:v>
                </c:pt>
                <c:pt idx="445">
                  <c:v>81</c:v>
                </c:pt>
                <c:pt idx="446">
                  <c:v>70</c:v>
                </c:pt>
                <c:pt idx="447">
                  <c:v>91</c:v>
                </c:pt>
                <c:pt idx="448">
                  <c:v>215</c:v>
                </c:pt>
                <c:pt idx="449">
                  <c:v>185</c:v>
                </c:pt>
                <c:pt idx="450">
                  <c:v>152</c:v>
                </c:pt>
                <c:pt idx="451">
                  <c:v>126</c:v>
                </c:pt>
                <c:pt idx="452">
                  <c:v>57</c:v>
                </c:pt>
                <c:pt idx="453">
                  <c:v>56</c:v>
                </c:pt>
                <c:pt idx="454">
                  <c:v>31</c:v>
                </c:pt>
                <c:pt idx="455">
                  <c:v>21</c:v>
                </c:pt>
                <c:pt idx="456">
                  <c:v>6</c:v>
                </c:pt>
                <c:pt idx="457">
                  <c:v>2</c:v>
                </c:pt>
                <c:pt idx="458">
                  <c:v>1</c:v>
                </c:pt>
                <c:pt idx="459">
                  <c:v>1</c:v>
                </c:pt>
                <c:pt idx="460">
                  <c:v>5</c:v>
                </c:pt>
                <c:pt idx="461">
                  <c:v>27</c:v>
                </c:pt>
                <c:pt idx="462">
                  <c:v>68</c:v>
                </c:pt>
                <c:pt idx="463">
                  <c:v>217</c:v>
                </c:pt>
                <c:pt idx="464">
                  <c:v>166</c:v>
                </c:pt>
                <c:pt idx="465">
                  <c:v>63</c:v>
                </c:pt>
                <c:pt idx="466">
                  <c:v>59</c:v>
                </c:pt>
                <c:pt idx="467">
                  <c:v>78</c:v>
                </c:pt>
                <c:pt idx="468">
                  <c:v>73</c:v>
                </c:pt>
                <c:pt idx="469">
                  <c:v>62</c:v>
                </c:pt>
                <c:pt idx="470">
                  <c:v>65</c:v>
                </c:pt>
                <c:pt idx="471">
                  <c:v>97</c:v>
                </c:pt>
                <c:pt idx="472">
                  <c:v>161</c:v>
                </c:pt>
                <c:pt idx="473">
                  <c:v>120</c:v>
                </c:pt>
                <c:pt idx="474">
                  <c:v>96</c:v>
                </c:pt>
                <c:pt idx="475">
                  <c:v>53</c:v>
                </c:pt>
                <c:pt idx="476">
                  <c:v>41</c:v>
                </c:pt>
                <c:pt idx="477">
                  <c:v>34</c:v>
                </c:pt>
                <c:pt idx="478">
                  <c:v>27</c:v>
                </c:pt>
                <c:pt idx="479">
                  <c:v>13</c:v>
                </c:pt>
                <c:pt idx="480">
                  <c:v>12</c:v>
                </c:pt>
                <c:pt idx="481">
                  <c:v>11</c:v>
                </c:pt>
                <c:pt idx="482">
                  <c:v>7</c:v>
                </c:pt>
                <c:pt idx="483">
                  <c:v>3</c:v>
                </c:pt>
                <c:pt idx="484">
                  <c:v>2</c:v>
                </c:pt>
                <c:pt idx="485">
                  <c:v>8</c:v>
                </c:pt>
                <c:pt idx="486">
                  <c:v>27</c:v>
                </c:pt>
                <c:pt idx="487">
                  <c:v>40</c:v>
                </c:pt>
                <c:pt idx="488">
                  <c:v>53</c:v>
                </c:pt>
                <c:pt idx="489">
                  <c:v>63</c:v>
                </c:pt>
                <c:pt idx="490">
                  <c:v>70</c:v>
                </c:pt>
                <c:pt idx="491">
                  <c:v>84</c:v>
                </c:pt>
                <c:pt idx="492">
                  <c:v>75</c:v>
                </c:pt>
                <c:pt idx="493">
                  <c:v>103</c:v>
                </c:pt>
                <c:pt idx="494">
                  <c:v>83</c:v>
                </c:pt>
                <c:pt idx="495">
                  <c:v>67</c:v>
                </c:pt>
                <c:pt idx="496">
                  <c:v>54</c:v>
                </c:pt>
                <c:pt idx="497">
                  <c:v>59</c:v>
                </c:pt>
                <c:pt idx="498">
                  <c:v>45</c:v>
                </c:pt>
                <c:pt idx="499">
                  <c:v>39</c:v>
                </c:pt>
                <c:pt idx="500">
                  <c:v>30</c:v>
                </c:pt>
                <c:pt idx="501">
                  <c:v>33</c:v>
                </c:pt>
                <c:pt idx="502">
                  <c:v>22</c:v>
                </c:pt>
                <c:pt idx="503">
                  <c:v>13</c:v>
                </c:pt>
                <c:pt idx="504">
                  <c:v>18</c:v>
                </c:pt>
                <c:pt idx="505">
                  <c:v>5</c:v>
                </c:pt>
                <c:pt idx="506">
                  <c:v>3</c:v>
                </c:pt>
                <c:pt idx="507">
                  <c:v>1</c:v>
                </c:pt>
                <c:pt idx="508">
                  <c:v>2</c:v>
                </c:pt>
                <c:pt idx="509">
                  <c:v>19</c:v>
                </c:pt>
                <c:pt idx="510">
                  <c:v>28</c:v>
                </c:pt>
                <c:pt idx="511">
                  <c:v>58</c:v>
                </c:pt>
                <c:pt idx="512">
                  <c:v>99</c:v>
                </c:pt>
                <c:pt idx="513">
                  <c:v>116</c:v>
                </c:pt>
                <c:pt idx="514">
                  <c:v>87</c:v>
                </c:pt>
                <c:pt idx="515">
                  <c:v>110</c:v>
                </c:pt>
                <c:pt idx="516">
                  <c:v>77</c:v>
                </c:pt>
                <c:pt idx="517">
                  <c:v>65</c:v>
                </c:pt>
                <c:pt idx="518">
                  <c:v>55</c:v>
                </c:pt>
                <c:pt idx="519">
                  <c:v>49</c:v>
                </c:pt>
                <c:pt idx="520">
                  <c:v>50</c:v>
                </c:pt>
                <c:pt idx="521">
                  <c:v>35</c:v>
                </c:pt>
                <c:pt idx="522">
                  <c:v>25</c:v>
                </c:pt>
                <c:pt idx="523">
                  <c:v>28</c:v>
                </c:pt>
                <c:pt idx="524">
                  <c:v>21</c:v>
                </c:pt>
                <c:pt idx="525">
                  <c:v>7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5</c:v>
                </c:pt>
                <c:pt idx="530">
                  <c:v>15</c:v>
                </c:pt>
                <c:pt idx="531">
                  <c:v>84</c:v>
                </c:pt>
                <c:pt idx="532">
                  <c:v>177</c:v>
                </c:pt>
                <c:pt idx="533">
                  <c:v>102</c:v>
                </c:pt>
                <c:pt idx="534">
                  <c:v>40</c:v>
                </c:pt>
                <c:pt idx="535">
                  <c:v>46</c:v>
                </c:pt>
                <c:pt idx="536">
                  <c:v>63</c:v>
                </c:pt>
                <c:pt idx="537">
                  <c:v>60</c:v>
                </c:pt>
                <c:pt idx="538">
                  <c:v>45</c:v>
                </c:pt>
                <c:pt idx="539">
                  <c:v>57</c:v>
                </c:pt>
                <c:pt idx="540">
                  <c:v>70</c:v>
                </c:pt>
                <c:pt idx="541">
                  <c:v>184</c:v>
                </c:pt>
                <c:pt idx="542">
                  <c:v>153</c:v>
                </c:pt>
                <c:pt idx="543">
                  <c:v>106</c:v>
                </c:pt>
                <c:pt idx="544">
                  <c:v>81</c:v>
                </c:pt>
                <c:pt idx="545">
                  <c:v>59</c:v>
                </c:pt>
                <c:pt idx="546">
                  <c:v>35</c:v>
                </c:pt>
                <c:pt idx="547">
                  <c:v>24</c:v>
                </c:pt>
                <c:pt idx="548">
                  <c:v>9</c:v>
                </c:pt>
                <c:pt idx="549">
                  <c:v>5</c:v>
                </c:pt>
                <c:pt idx="550">
                  <c:v>2</c:v>
                </c:pt>
                <c:pt idx="551">
                  <c:v>1</c:v>
                </c:pt>
                <c:pt idx="552">
                  <c:v>9</c:v>
                </c:pt>
                <c:pt idx="553">
                  <c:v>36</c:v>
                </c:pt>
                <c:pt idx="554">
                  <c:v>108</c:v>
                </c:pt>
                <c:pt idx="555">
                  <c:v>238</c:v>
                </c:pt>
                <c:pt idx="556">
                  <c:v>144</c:v>
                </c:pt>
                <c:pt idx="557">
                  <c:v>55</c:v>
                </c:pt>
                <c:pt idx="558">
                  <c:v>61</c:v>
                </c:pt>
                <c:pt idx="559">
                  <c:v>106</c:v>
                </c:pt>
                <c:pt idx="560">
                  <c:v>93</c:v>
                </c:pt>
                <c:pt idx="561">
                  <c:v>68</c:v>
                </c:pt>
                <c:pt idx="562">
                  <c:v>84</c:v>
                </c:pt>
                <c:pt idx="563">
                  <c:v>116</c:v>
                </c:pt>
                <c:pt idx="564">
                  <c:v>222</c:v>
                </c:pt>
                <c:pt idx="565">
                  <c:v>225</c:v>
                </c:pt>
                <c:pt idx="566">
                  <c:v>146</c:v>
                </c:pt>
                <c:pt idx="567">
                  <c:v>119</c:v>
                </c:pt>
                <c:pt idx="568">
                  <c:v>45</c:v>
                </c:pt>
                <c:pt idx="569">
                  <c:v>53</c:v>
                </c:pt>
                <c:pt idx="570">
                  <c:v>40</c:v>
                </c:pt>
                <c:pt idx="571">
                  <c:v>17</c:v>
                </c:pt>
                <c:pt idx="572">
                  <c:v>5</c:v>
                </c:pt>
                <c:pt idx="573">
                  <c:v>10</c:v>
                </c:pt>
                <c:pt idx="574">
                  <c:v>1</c:v>
                </c:pt>
                <c:pt idx="575">
                  <c:v>8</c:v>
                </c:pt>
                <c:pt idx="576">
                  <c:v>30</c:v>
                </c:pt>
                <c:pt idx="577">
                  <c:v>72</c:v>
                </c:pt>
                <c:pt idx="578">
                  <c:v>58</c:v>
                </c:pt>
                <c:pt idx="579">
                  <c:v>28</c:v>
                </c:pt>
                <c:pt idx="580">
                  <c:v>41</c:v>
                </c:pt>
                <c:pt idx="581">
                  <c:v>48</c:v>
                </c:pt>
                <c:pt idx="582">
                  <c:v>47</c:v>
                </c:pt>
                <c:pt idx="583">
                  <c:v>36</c:v>
                </c:pt>
                <c:pt idx="584">
                  <c:v>43</c:v>
                </c:pt>
                <c:pt idx="585">
                  <c:v>36</c:v>
                </c:pt>
                <c:pt idx="586">
                  <c:v>26</c:v>
                </c:pt>
                <c:pt idx="587">
                  <c:v>24</c:v>
                </c:pt>
                <c:pt idx="588">
                  <c:v>84</c:v>
                </c:pt>
                <c:pt idx="589">
                  <c:v>104</c:v>
                </c:pt>
                <c:pt idx="590">
                  <c:v>79</c:v>
                </c:pt>
                <c:pt idx="591">
                  <c:v>59</c:v>
                </c:pt>
                <c:pt idx="592">
                  <c:v>38</c:v>
                </c:pt>
                <c:pt idx="593">
                  <c:v>27</c:v>
                </c:pt>
                <c:pt idx="594">
                  <c:v>16</c:v>
                </c:pt>
                <c:pt idx="595">
                  <c:v>9</c:v>
                </c:pt>
                <c:pt idx="596">
                  <c:v>3</c:v>
                </c:pt>
                <c:pt idx="597">
                  <c:v>2</c:v>
                </c:pt>
                <c:pt idx="598">
                  <c:v>1</c:v>
                </c:pt>
                <c:pt idx="599">
                  <c:v>4</c:v>
                </c:pt>
                <c:pt idx="600">
                  <c:v>16</c:v>
                </c:pt>
                <c:pt idx="601">
                  <c:v>60</c:v>
                </c:pt>
                <c:pt idx="602">
                  <c:v>157</c:v>
                </c:pt>
                <c:pt idx="603">
                  <c:v>101</c:v>
                </c:pt>
                <c:pt idx="604">
                  <c:v>49</c:v>
                </c:pt>
                <c:pt idx="605">
                  <c:v>30</c:v>
                </c:pt>
                <c:pt idx="606">
                  <c:v>29</c:v>
                </c:pt>
                <c:pt idx="607">
                  <c:v>31</c:v>
                </c:pt>
                <c:pt idx="608">
                  <c:v>38</c:v>
                </c:pt>
                <c:pt idx="609">
                  <c:v>41</c:v>
                </c:pt>
                <c:pt idx="610">
                  <c:v>80</c:v>
                </c:pt>
                <c:pt idx="611">
                  <c:v>149</c:v>
                </c:pt>
                <c:pt idx="612">
                  <c:v>109</c:v>
                </c:pt>
                <c:pt idx="613">
                  <c:v>89</c:v>
                </c:pt>
                <c:pt idx="614">
                  <c:v>62</c:v>
                </c:pt>
                <c:pt idx="615">
                  <c:v>58</c:v>
                </c:pt>
                <c:pt idx="616">
                  <c:v>26</c:v>
                </c:pt>
                <c:pt idx="617">
                  <c:v>23</c:v>
                </c:pt>
                <c:pt idx="618">
                  <c:v>28</c:v>
                </c:pt>
                <c:pt idx="619">
                  <c:v>20</c:v>
                </c:pt>
                <c:pt idx="620">
                  <c:v>15</c:v>
                </c:pt>
                <c:pt idx="621">
                  <c:v>8</c:v>
                </c:pt>
                <c:pt idx="622">
                  <c:v>3</c:v>
                </c:pt>
                <c:pt idx="623">
                  <c:v>2</c:v>
                </c:pt>
                <c:pt idx="624">
                  <c:v>5</c:v>
                </c:pt>
                <c:pt idx="625">
                  <c:v>34</c:v>
                </c:pt>
                <c:pt idx="626">
                  <c:v>34</c:v>
                </c:pt>
                <c:pt idx="627">
                  <c:v>55</c:v>
                </c:pt>
                <c:pt idx="628">
                  <c:v>64</c:v>
                </c:pt>
                <c:pt idx="629">
                  <c:v>78</c:v>
                </c:pt>
                <c:pt idx="630">
                  <c:v>65</c:v>
                </c:pt>
                <c:pt idx="631">
                  <c:v>99</c:v>
                </c:pt>
                <c:pt idx="632">
                  <c:v>120</c:v>
                </c:pt>
                <c:pt idx="633">
                  <c:v>107</c:v>
                </c:pt>
                <c:pt idx="634">
                  <c:v>91</c:v>
                </c:pt>
                <c:pt idx="635">
                  <c:v>68</c:v>
                </c:pt>
                <c:pt idx="636">
                  <c:v>58</c:v>
                </c:pt>
                <c:pt idx="637">
                  <c:v>43</c:v>
                </c:pt>
                <c:pt idx="638">
                  <c:v>36</c:v>
                </c:pt>
                <c:pt idx="639">
                  <c:v>32</c:v>
                </c:pt>
                <c:pt idx="640">
                  <c:v>33</c:v>
                </c:pt>
                <c:pt idx="641">
                  <c:v>33</c:v>
                </c:pt>
                <c:pt idx="642">
                  <c:v>29</c:v>
                </c:pt>
                <c:pt idx="643">
                  <c:v>11</c:v>
                </c:pt>
                <c:pt idx="644">
                  <c:v>8</c:v>
                </c:pt>
                <c:pt idx="645">
                  <c:v>1</c:v>
                </c:pt>
                <c:pt idx="646">
                  <c:v>3</c:v>
                </c:pt>
                <c:pt idx="647">
                  <c:v>3</c:v>
                </c:pt>
                <c:pt idx="648">
                  <c:v>12</c:v>
                </c:pt>
                <c:pt idx="649">
                  <c:v>38</c:v>
                </c:pt>
                <c:pt idx="650">
                  <c:v>64</c:v>
                </c:pt>
                <c:pt idx="651">
                  <c:v>59</c:v>
                </c:pt>
                <c:pt idx="652">
                  <c:v>97</c:v>
                </c:pt>
                <c:pt idx="653">
                  <c:v>84</c:v>
                </c:pt>
                <c:pt idx="654">
                  <c:v>122</c:v>
                </c:pt>
                <c:pt idx="655">
                  <c:v>109</c:v>
                </c:pt>
                <c:pt idx="656">
                  <c:v>123</c:v>
                </c:pt>
                <c:pt idx="657">
                  <c:v>77</c:v>
                </c:pt>
                <c:pt idx="658">
                  <c:v>65</c:v>
                </c:pt>
                <c:pt idx="659">
                  <c:v>55</c:v>
                </c:pt>
                <c:pt idx="660">
                  <c:v>33</c:v>
                </c:pt>
                <c:pt idx="661">
                  <c:v>28</c:v>
                </c:pt>
                <c:pt idx="662">
                  <c:v>21</c:v>
                </c:pt>
                <c:pt idx="663">
                  <c:v>21</c:v>
                </c:pt>
                <c:pt idx="664">
                  <c:v>7</c:v>
                </c:pt>
                <c:pt idx="665">
                  <c:v>7</c:v>
                </c:pt>
                <c:pt idx="666">
                  <c:v>1</c:v>
                </c:pt>
                <c:pt idx="667">
                  <c:v>2</c:v>
                </c:pt>
                <c:pt idx="668">
                  <c:v>2</c:v>
                </c:pt>
                <c:pt idx="669">
                  <c:v>8</c:v>
                </c:pt>
                <c:pt idx="670">
                  <c:v>37</c:v>
                </c:pt>
                <c:pt idx="671">
                  <c:v>72</c:v>
                </c:pt>
                <c:pt idx="672">
                  <c:v>185</c:v>
                </c:pt>
                <c:pt idx="673">
                  <c:v>112</c:v>
                </c:pt>
                <c:pt idx="674">
                  <c:v>69</c:v>
                </c:pt>
                <c:pt idx="675">
                  <c:v>48</c:v>
                </c:pt>
                <c:pt idx="676">
                  <c:v>68</c:v>
                </c:pt>
                <c:pt idx="677">
                  <c:v>54</c:v>
                </c:pt>
                <c:pt idx="678">
                  <c:v>86</c:v>
                </c:pt>
                <c:pt idx="679">
                  <c:v>44</c:v>
                </c:pt>
                <c:pt idx="680">
                  <c:v>86</c:v>
                </c:pt>
                <c:pt idx="681">
                  <c:v>161</c:v>
                </c:pt>
                <c:pt idx="682">
                  <c:v>156</c:v>
                </c:pt>
                <c:pt idx="683">
                  <c:v>111</c:v>
                </c:pt>
                <c:pt idx="684">
                  <c:v>78</c:v>
                </c:pt>
                <c:pt idx="685">
                  <c:v>56</c:v>
                </c:pt>
                <c:pt idx="686">
                  <c:v>34</c:v>
                </c:pt>
                <c:pt idx="687">
                  <c:v>17</c:v>
                </c:pt>
                <c:pt idx="688">
                  <c:v>8</c:v>
                </c:pt>
                <c:pt idx="689">
                  <c:v>3</c:v>
                </c:pt>
                <c:pt idx="690">
                  <c:v>2</c:v>
                </c:pt>
                <c:pt idx="691">
                  <c:v>2</c:v>
                </c:pt>
                <c:pt idx="692">
                  <c:v>3</c:v>
                </c:pt>
                <c:pt idx="693">
                  <c:v>22</c:v>
                </c:pt>
                <c:pt idx="694">
                  <c:v>52</c:v>
                </c:pt>
                <c:pt idx="695">
                  <c:v>135</c:v>
                </c:pt>
                <c:pt idx="696">
                  <c:v>116</c:v>
                </c:pt>
                <c:pt idx="697">
                  <c:v>47</c:v>
                </c:pt>
                <c:pt idx="698">
                  <c:v>51</c:v>
                </c:pt>
                <c:pt idx="699">
                  <c:v>55</c:v>
                </c:pt>
                <c:pt idx="700">
                  <c:v>52</c:v>
                </c:pt>
                <c:pt idx="701">
                  <c:v>54</c:v>
                </c:pt>
                <c:pt idx="702">
                  <c:v>52</c:v>
                </c:pt>
                <c:pt idx="703">
                  <c:v>64</c:v>
                </c:pt>
                <c:pt idx="704">
                  <c:v>176</c:v>
                </c:pt>
                <c:pt idx="705">
                  <c:v>168</c:v>
                </c:pt>
                <c:pt idx="706">
                  <c:v>108</c:v>
                </c:pt>
                <c:pt idx="707">
                  <c:v>74</c:v>
                </c:pt>
                <c:pt idx="708">
                  <c:v>64</c:v>
                </c:pt>
                <c:pt idx="709">
                  <c:v>36</c:v>
                </c:pt>
                <c:pt idx="710">
                  <c:v>16</c:v>
                </c:pt>
                <c:pt idx="711">
                  <c:v>2</c:v>
                </c:pt>
                <c:pt idx="712">
                  <c:v>3</c:v>
                </c:pt>
                <c:pt idx="713">
                  <c:v>4</c:v>
                </c:pt>
                <c:pt idx="714">
                  <c:v>1</c:v>
                </c:pt>
                <c:pt idx="715">
                  <c:v>1</c:v>
                </c:pt>
                <c:pt idx="716">
                  <c:v>3</c:v>
                </c:pt>
                <c:pt idx="717">
                  <c:v>18</c:v>
                </c:pt>
                <c:pt idx="718">
                  <c:v>49</c:v>
                </c:pt>
                <c:pt idx="719">
                  <c:v>155</c:v>
                </c:pt>
                <c:pt idx="720">
                  <c:v>123</c:v>
                </c:pt>
                <c:pt idx="721">
                  <c:v>61</c:v>
                </c:pt>
                <c:pt idx="722">
                  <c:v>52</c:v>
                </c:pt>
                <c:pt idx="723">
                  <c:v>64</c:v>
                </c:pt>
                <c:pt idx="724">
                  <c:v>75</c:v>
                </c:pt>
                <c:pt idx="725">
                  <c:v>63</c:v>
                </c:pt>
                <c:pt idx="726">
                  <c:v>76</c:v>
                </c:pt>
                <c:pt idx="727">
                  <c:v>103</c:v>
                </c:pt>
                <c:pt idx="728">
                  <c:v>190</c:v>
                </c:pt>
                <c:pt idx="729">
                  <c:v>182</c:v>
                </c:pt>
                <c:pt idx="730">
                  <c:v>91</c:v>
                </c:pt>
                <c:pt idx="731">
                  <c:v>75</c:v>
                </c:pt>
                <c:pt idx="732">
                  <c:v>63</c:v>
                </c:pt>
                <c:pt idx="733">
                  <c:v>40</c:v>
                </c:pt>
                <c:pt idx="734">
                  <c:v>32</c:v>
                </c:pt>
                <c:pt idx="735">
                  <c:v>12</c:v>
                </c:pt>
                <c:pt idx="736">
                  <c:v>5</c:v>
                </c:pt>
                <c:pt idx="737">
                  <c:v>2</c:v>
                </c:pt>
                <c:pt idx="738">
                  <c:v>1</c:v>
                </c:pt>
                <c:pt idx="739">
                  <c:v>2</c:v>
                </c:pt>
                <c:pt idx="740">
                  <c:v>39</c:v>
                </c:pt>
                <c:pt idx="741">
                  <c:v>87</c:v>
                </c:pt>
                <c:pt idx="742">
                  <c:v>188</c:v>
                </c:pt>
                <c:pt idx="743">
                  <c:v>133</c:v>
                </c:pt>
                <c:pt idx="744">
                  <c:v>52</c:v>
                </c:pt>
                <c:pt idx="745">
                  <c:v>64</c:v>
                </c:pt>
                <c:pt idx="746">
                  <c:v>69</c:v>
                </c:pt>
                <c:pt idx="747">
                  <c:v>51</c:v>
                </c:pt>
                <c:pt idx="748">
                  <c:v>47</c:v>
                </c:pt>
                <c:pt idx="749">
                  <c:v>60</c:v>
                </c:pt>
                <c:pt idx="750">
                  <c:v>78</c:v>
                </c:pt>
                <c:pt idx="751">
                  <c:v>175</c:v>
                </c:pt>
                <c:pt idx="752">
                  <c:v>147</c:v>
                </c:pt>
                <c:pt idx="753">
                  <c:v>96</c:v>
                </c:pt>
                <c:pt idx="754">
                  <c:v>109</c:v>
                </c:pt>
                <c:pt idx="755">
                  <c:v>54</c:v>
                </c:pt>
                <c:pt idx="756">
                  <c:v>41</c:v>
                </c:pt>
                <c:pt idx="757">
                  <c:v>38</c:v>
                </c:pt>
                <c:pt idx="758">
                  <c:v>13</c:v>
                </c:pt>
                <c:pt idx="759">
                  <c:v>7</c:v>
                </c:pt>
                <c:pt idx="760">
                  <c:v>1</c:v>
                </c:pt>
                <c:pt idx="761">
                  <c:v>1</c:v>
                </c:pt>
                <c:pt idx="762">
                  <c:v>7</c:v>
                </c:pt>
                <c:pt idx="763">
                  <c:v>28</c:v>
                </c:pt>
                <c:pt idx="764">
                  <c:v>87</c:v>
                </c:pt>
                <c:pt idx="765">
                  <c:v>220</c:v>
                </c:pt>
                <c:pt idx="766">
                  <c:v>127</c:v>
                </c:pt>
                <c:pt idx="767">
                  <c:v>51</c:v>
                </c:pt>
                <c:pt idx="768">
                  <c:v>64</c:v>
                </c:pt>
                <c:pt idx="769">
                  <c:v>86</c:v>
                </c:pt>
                <c:pt idx="770">
                  <c:v>82</c:v>
                </c:pt>
                <c:pt idx="771">
                  <c:v>91</c:v>
                </c:pt>
                <c:pt idx="772">
                  <c:v>90</c:v>
                </c:pt>
                <c:pt idx="773">
                  <c:v>99</c:v>
                </c:pt>
                <c:pt idx="774">
                  <c:v>205</c:v>
                </c:pt>
                <c:pt idx="775">
                  <c:v>155</c:v>
                </c:pt>
                <c:pt idx="776">
                  <c:v>103</c:v>
                </c:pt>
                <c:pt idx="777">
                  <c:v>71</c:v>
                </c:pt>
                <c:pt idx="778">
                  <c:v>43</c:v>
                </c:pt>
                <c:pt idx="779">
                  <c:v>46</c:v>
                </c:pt>
                <c:pt idx="780">
                  <c:v>31</c:v>
                </c:pt>
                <c:pt idx="781">
                  <c:v>39</c:v>
                </c:pt>
                <c:pt idx="782">
                  <c:v>18</c:v>
                </c:pt>
                <c:pt idx="783">
                  <c:v>17</c:v>
                </c:pt>
                <c:pt idx="784">
                  <c:v>11</c:v>
                </c:pt>
                <c:pt idx="785">
                  <c:v>8</c:v>
                </c:pt>
                <c:pt idx="786">
                  <c:v>9</c:v>
                </c:pt>
                <c:pt idx="787">
                  <c:v>4</c:v>
                </c:pt>
                <c:pt idx="788">
                  <c:v>4</c:v>
                </c:pt>
                <c:pt idx="789">
                  <c:v>10</c:v>
                </c:pt>
                <c:pt idx="790">
                  <c:v>20</c:v>
                </c:pt>
                <c:pt idx="791">
                  <c:v>34</c:v>
                </c:pt>
                <c:pt idx="792">
                  <c:v>47</c:v>
                </c:pt>
                <c:pt idx="793">
                  <c:v>52</c:v>
                </c:pt>
                <c:pt idx="794">
                  <c:v>72</c:v>
                </c:pt>
                <c:pt idx="795">
                  <c:v>55</c:v>
                </c:pt>
                <c:pt idx="796">
                  <c:v>60</c:v>
                </c:pt>
                <c:pt idx="797">
                  <c:v>71</c:v>
                </c:pt>
                <c:pt idx="798">
                  <c:v>78</c:v>
                </c:pt>
                <c:pt idx="799">
                  <c:v>83</c:v>
                </c:pt>
                <c:pt idx="800">
                  <c:v>84</c:v>
                </c:pt>
                <c:pt idx="801">
                  <c:v>69</c:v>
                </c:pt>
                <c:pt idx="802">
                  <c:v>56</c:v>
                </c:pt>
                <c:pt idx="803">
                  <c:v>45</c:v>
                </c:pt>
                <c:pt idx="804">
                  <c:v>59</c:v>
                </c:pt>
                <c:pt idx="805">
                  <c:v>39</c:v>
                </c:pt>
                <c:pt idx="806">
                  <c:v>44</c:v>
                </c:pt>
                <c:pt idx="807">
                  <c:v>20</c:v>
                </c:pt>
                <c:pt idx="808">
                  <c:v>13</c:v>
                </c:pt>
                <c:pt idx="809">
                  <c:v>2</c:v>
                </c:pt>
                <c:pt idx="810">
                  <c:v>1</c:v>
                </c:pt>
                <c:pt idx="811">
                  <c:v>1</c:v>
                </c:pt>
                <c:pt idx="812">
                  <c:v>8</c:v>
                </c:pt>
                <c:pt idx="813">
                  <c:v>23</c:v>
                </c:pt>
                <c:pt idx="814">
                  <c:v>45</c:v>
                </c:pt>
                <c:pt idx="815">
                  <c:v>89</c:v>
                </c:pt>
                <c:pt idx="816">
                  <c:v>117</c:v>
                </c:pt>
                <c:pt idx="817">
                  <c:v>174</c:v>
                </c:pt>
                <c:pt idx="818">
                  <c:v>182</c:v>
                </c:pt>
                <c:pt idx="819">
                  <c:v>161</c:v>
                </c:pt>
                <c:pt idx="820">
                  <c:v>182</c:v>
                </c:pt>
                <c:pt idx="821">
                  <c:v>157</c:v>
                </c:pt>
                <c:pt idx="822">
                  <c:v>121</c:v>
                </c:pt>
                <c:pt idx="823">
                  <c:v>78</c:v>
                </c:pt>
                <c:pt idx="824">
                  <c:v>21</c:v>
                </c:pt>
                <c:pt idx="825">
                  <c:v>26</c:v>
                </c:pt>
                <c:pt idx="826">
                  <c:v>27</c:v>
                </c:pt>
                <c:pt idx="827">
                  <c:v>62</c:v>
                </c:pt>
                <c:pt idx="828">
                  <c:v>30</c:v>
                </c:pt>
                <c:pt idx="829">
                  <c:v>15</c:v>
                </c:pt>
                <c:pt idx="830">
                  <c:v>5</c:v>
                </c:pt>
                <c:pt idx="831">
                  <c:v>3</c:v>
                </c:pt>
                <c:pt idx="832">
                  <c:v>1</c:v>
                </c:pt>
                <c:pt idx="833">
                  <c:v>2</c:v>
                </c:pt>
                <c:pt idx="834">
                  <c:v>10</c:v>
                </c:pt>
                <c:pt idx="835">
                  <c:v>30</c:v>
                </c:pt>
                <c:pt idx="836">
                  <c:v>95</c:v>
                </c:pt>
                <c:pt idx="837">
                  <c:v>230</c:v>
                </c:pt>
                <c:pt idx="838">
                  <c:v>118</c:v>
                </c:pt>
                <c:pt idx="839">
                  <c:v>55</c:v>
                </c:pt>
                <c:pt idx="840">
                  <c:v>47</c:v>
                </c:pt>
                <c:pt idx="841">
                  <c:v>66</c:v>
                </c:pt>
                <c:pt idx="842">
                  <c:v>64</c:v>
                </c:pt>
                <c:pt idx="843">
                  <c:v>60</c:v>
                </c:pt>
                <c:pt idx="844">
                  <c:v>50</c:v>
                </c:pt>
                <c:pt idx="845">
                  <c:v>114</c:v>
                </c:pt>
                <c:pt idx="846">
                  <c:v>216</c:v>
                </c:pt>
                <c:pt idx="847">
                  <c:v>175</c:v>
                </c:pt>
                <c:pt idx="848">
                  <c:v>128</c:v>
                </c:pt>
                <c:pt idx="849">
                  <c:v>88</c:v>
                </c:pt>
                <c:pt idx="850">
                  <c:v>78</c:v>
                </c:pt>
                <c:pt idx="851">
                  <c:v>37</c:v>
                </c:pt>
                <c:pt idx="852">
                  <c:v>25</c:v>
                </c:pt>
                <c:pt idx="853">
                  <c:v>10</c:v>
                </c:pt>
                <c:pt idx="854">
                  <c:v>4</c:v>
                </c:pt>
                <c:pt idx="855">
                  <c:v>2</c:v>
                </c:pt>
                <c:pt idx="856">
                  <c:v>1</c:v>
                </c:pt>
                <c:pt idx="857">
                  <c:v>3</c:v>
                </c:pt>
                <c:pt idx="858">
                  <c:v>2</c:v>
                </c:pt>
                <c:pt idx="859">
                  <c:v>39</c:v>
                </c:pt>
                <c:pt idx="860">
                  <c:v>100</c:v>
                </c:pt>
                <c:pt idx="861">
                  <c:v>243</c:v>
                </c:pt>
                <c:pt idx="862">
                  <c:v>135</c:v>
                </c:pt>
                <c:pt idx="863">
                  <c:v>48</c:v>
                </c:pt>
                <c:pt idx="864">
                  <c:v>50</c:v>
                </c:pt>
                <c:pt idx="865">
                  <c:v>65</c:v>
                </c:pt>
                <c:pt idx="866">
                  <c:v>50</c:v>
                </c:pt>
                <c:pt idx="867">
                  <c:v>64</c:v>
                </c:pt>
                <c:pt idx="868">
                  <c:v>51</c:v>
                </c:pt>
                <c:pt idx="869">
                  <c:v>83</c:v>
                </c:pt>
                <c:pt idx="870">
                  <c:v>176</c:v>
                </c:pt>
                <c:pt idx="871">
                  <c:v>152</c:v>
                </c:pt>
                <c:pt idx="872">
                  <c:v>101</c:v>
                </c:pt>
                <c:pt idx="873">
                  <c:v>56</c:v>
                </c:pt>
                <c:pt idx="874">
                  <c:v>54</c:v>
                </c:pt>
                <c:pt idx="875">
                  <c:v>29</c:v>
                </c:pt>
                <c:pt idx="876">
                  <c:v>12</c:v>
                </c:pt>
                <c:pt idx="877">
                  <c:v>17</c:v>
                </c:pt>
                <c:pt idx="878">
                  <c:v>7</c:v>
                </c:pt>
                <c:pt idx="879">
                  <c:v>3</c:v>
                </c:pt>
                <c:pt idx="880">
                  <c:v>2</c:v>
                </c:pt>
                <c:pt idx="881">
                  <c:v>7</c:v>
                </c:pt>
                <c:pt idx="882">
                  <c:v>43</c:v>
                </c:pt>
                <c:pt idx="883">
                  <c:v>99</c:v>
                </c:pt>
                <c:pt idx="884">
                  <c:v>199</c:v>
                </c:pt>
                <c:pt idx="885">
                  <c:v>123</c:v>
                </c:pt>
                <c:pt idx="886">
                  <c:v>59</c:v>
                </c:pt>
                <c:pt idx="887">
                  <c:v>41</c:v>
                </c:pt>
                <c:pt idx="888">
                  <c:v>61</c:v>
                </c:pt>
                <c:pt idx="889">
                  <c:v>69</c:v>
                </c:pt>
                <c:pt idx="890">
                  <c:v>58</c:v>
                </c:pt>
                <c:pt idx="891">
                  <c:v>64</c:v>
                </c:pt>
                <c:pt idx="892">
                  <c:v>79</c:v>
                </c:pt>
                <c:pt idx="893">
                  <c:v>166</c:v>
                </c:pt>
                <c:pt idx="894">
                  <c:v>170</c:v>
                </c:pt>
                <c:pt idx="895">
                  <c:v>88</c:v>
                </c:pt>
                <c:pt idx="896">
                  <c:v>84</c:v>
                </c:pt>
                <c:pt idx="897">
                  <c:v>83</c:v>
                </c:pt>
                <c:pt idx="898">
                  <c:v>46</c:v>
                </c:pt>
                <c:pt idx="899">
                  <c:v>37</c:v>
                </c:pt>
                <c:pt idx="900">
                  <c:v>16</c:v>
                </c:pt>
                <c:pt idx="901">
                  <c:v>7</c:v>
                </c:pt>
                <c:pt idx="902">
                  <c:v>3</c:v>
                </c:pt>
                <c:pt idx="903">
                  <c:v>1</c:v>
                </c:pt>
                <c:pt idx="904">
                  <c:v>6</c:v>
                </c:pt>
                <c:pt idx="905">
                  <c:v>26</c:v>
                </c:pt>
                <c:pt idx="906">
                  <c:v>99</c:v>
                </c:pt>
                <c:pt idx="907">
                  <c:v>178</c:v>
                </c:pt>
                <c:pt idx="908">
                  <c:v>122</c:v>
                </c:pt>
                <c:pt idx="909">
                  <c:v>35</c:v>
                </c:pt>
                <c:pt idx="910">
                  <c:v>45</c:v>
                </c:pt>
                <c:pt idx="911">
                  <c:v>69</c:v>
                </c:pt>
                <c:pt idx="912">
                  <c:v>62</c:v>
                </c:pt>
                <c:pt idx="913">
                  <c:v>48</c:v>
                </c:pt>
                <c:pt idx="914">
                  <c:v>50</c:v>
                </c:pt>
                <c:pt idx="915">
                  <c:v>80</c:v>
                </c:pt>
                <c:pt idx="916">
                  <c:v>165</c:v>
                </c:pt>
                <c:pt idx="917">
                  <c:v>160</c:v>
                </c:pt>
                <c:pt idx="918">
                  <c:v>112</c:v>
                </c:pt>
                <c:pt idx="919">
                  <c:v>97</c:v>
                </c:pt>
                <c:pt idx="920">
                  <c:v>72</c:v>
                </c:pt>
                <c:pt idx="921">
                  <c:v>51</c:v>
                </c:pt>
                <c:pt idx="922">
                  <c:v>34</c:v>
                </c:pt>
                <c:pt idx="923">
                  <c:v>14</c:v>
                </c:pt>
                <c:pt idx="924">
                  <c:v>7</c:v>
                </c:pt>
                <c:pt idx="925">
                  <c:v>3</c:v>
                </c:pt>
                <c:pt idx="926">
                  <c:v>4</c:v>
                </c:pt>
                <c:pt idx="927">
                  <c:v>24</c:v>
                </c:pt>
                <c:pt idx="928">
                  <c:v>74</c:v>
                </c:pt>
                <c:pt idx="929">
                  <c:v>216</c:v>
                </c:pt>
                <c:pt idx="930">
                  <c:v>140</c:v>
                </c:pt>
                <c:pt idx="931">
                  <c:v>44</c:v>
                </c:pt>
                <c:pt idx="932">
                  <c:v>64</c:v>
                </c:pt>
                <c:pt idx="933">
                  <c:v>71</c:v>
                </c:pt>
                <c:pt idx="934">
                  <c:v>110</c:v>
                </c:pt>
                <c:pt idx="935">
                  <c:v>84</c:v>
                </c:pt>
                <c:pt idx="936">
                  <c:v>74</c:v>
                </c:pt>
                <c:pt idx="937">
                  <c:v>125</c:v>
                </c:pt>
                <c:pt idx="938">
                  <c:v>211</c:v>
                </c:pt>
                <c:pt idx="939">
                  <c:v>174</c:v>
                </c:pt>
                <c:pt idx="940">
                  <c:v>101</c:v>
                </c:pt>
                <c:pt idx="941">
                  <c:v>63</c:v>
                </c:pt>
                <c:pt idx="942">
                  <c:v>47</c:v>
                </c:pt>
                <c:pt idx="943">
                  <c:v>43</c:v>
                </c:pt>
                <c:pt idx="944">
                  <c:v>53</c:v>
                </c:pt>
                <c:pt idx="945">
                  <c:v>30</c:v>
                </c:pt>
                <c:pt idx="946">
                  <c:v>24</c:v>
                </c:pt>
                <c:pt idx="947">
                  <c:v>15</c:v>
                </c:pt>
                <c:pt idx="948">
                  <c:v>10</c:v>
                </c:pt>
                <c:pt idx="949">
                  <c:v>4</c:v>
                </c:pt>
                <c:pt idx="950">
                  <c:v>1</c:v>
                </c:pt>
                <c:pt idx="951">
                  <c:v>2</c:v>
                </c:pt>
                <c:pt idx="952">
                  <c:v>11</c:v>
                </c:pt>
                <c:pt idx="953">
                  <c:v>30</c:v>
                </c:pt>
                <c:pt idx="954">
                  <c:v>43</c:v>
                </c:pt>
                <c:pt idx="955">
                  <c:v>84</c:v>
                </c:pt>
                <c:pt idx="956">
                  <c:v>114</c:v>
                </c:pt>
                <c:pt idx="957">
                  <c:v>120</c:v>
                </c:pt>
                <c:pt idx="958">
                  <c:v>135</c:v>
                </c:pt>
                <c:pt idx="959">
                  <c:v>120</c:v>
                </c:pt>
                <c:pt idx="960">
                  <c:v>174</c:v>
                </c:pt>
                <c:pt idx="961">
                  <c:v>145</c:v>
                </c:pt>
                <c:pt idx="962">
                  <c:v>137</c:v>
                </c:pt>
                <c:pt idx="963">
                  <c:v>64</c:v>
                </c:pt>
                <c:pt idx="964">
                  <c:v>41</c:v>
                </c:pt>
                <c:pt idx="965">
                  <c:v>40</c:v>
                </c:pt>
                <c:pt idx="966">
                  <c:v>51</c:v>
                </c:pt>
                <c:pt idx="967">
                  <c:v>45</c:v>
                </c:pt>
                <c:pt idx="968">
                  <c:v>32</c:v>
                </c:pt>
                <c:pt idx="969">
                  <c:v>39</c:v>
                </c:pt>
                <c:pt idx="970">
                  <c:v>24</c:v>
                </c:pt>
                <c:pt idx="971">
                  <c:v>20</c:v>
                </c:pt>
                <c:pt idx="972">
                  <c:v>12</c:v>
                </c:pt>
                <c:pt idx="973">
                  <c:v>2</c:v>
                </c:pt>
                <c:pt idx="974">
                  <c:v>5</c:v>
                </c:pt>
                <c:pt idx="975">
                  <c:v>3</c:v>
                </c:pt>
                <c:pt idx="976">
                  <c:v>12</c:v>
                </c:pt>
                <c:pt idx="977">
                  <c:v>47</c:v>
                </c:pt>
                <c:pt idx="978">
                  <c:v>105</c:v>
                </c:pt>
                <c:pt idx="979">
                  <c:v>112</c:v>
                </c:pt>
                <c:pt idx="980">
                  <c:v>152</c:v>
                </c:pt>
                <c:pt idx="981">
                  <c:v>154</c:v>
                </c:pt>
                <c:pt idx="982">
                  <c:v>161</c:v>
                </c:pt>
                <c:pt idx="983">
                  <c:v>162</c:v>
                </c:pt>
                <c:pt idx="984">
                  <c:v>134</c:v>
                </c:pt>
                <c:pt idx="985">
                  <c:v>125</c:v>
                </c:pt>
                <c:pt idx="986">
                  <c:v>95</c:v>
                </c:pt>
                <c:pt idx="987">
                  <c:v>61</c:v>
                </c:pt>
                <c:pt idx="988">
                  <c:v>47</c:v>
                </c:pt>
                <c:pt idx="989">
                  <c:v>51</c:v>
                </c:pt>
                <c:pt idx="990">
                  <c:v>36</c:v>
                </c:pt>
                <c:pt idx="991">
                  <c:v>30</c:v>
                </c:pt>
                <c:pt idx="992">
                  <c:v>11</c:v>
                </c:pt>
                <c:pt idx="993">
                  <c:v>7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3</c:v>
                </c:pt>
                <c:pt idx="998">
                  <c:v>26</c:v>
                </c:pt>
                <c:pt idx="999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8-49DF-BCFD-A3A226C3A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99104"/>
        <c:axId val="78009088"/>
      </c:scatterChart>
      <c:valAx>
        <c:axId val="7799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09088"/>
        <c:crosses val="autoZero"/>
        <c:crossBetween val="midCat"/>
      </c:valAx>
      <c:valAx>
        <c:axId val="7800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910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99060</xdr:rowOff>
    </xdr:from>
    <xdr:to>
      <xdr:col>8</xdr:col>
      <xdr:colOff>350520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F24AC-18A2-4C3C-9FAD-94E68F597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</xdr:row>
      <xdr:rowOff>38100</xdr:rowOff>
    </xdr:from>
    <xdr:to>
      <xdr:col>16</xdr:col>
      <xdr:colOff>137160</xdr:colOff>
      <xdr:row>18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1D8E1C-4EA0-4EF5-A314-7E72D076A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20</xdr:row>
      <xdr:rowOff>15240</xdr:rowOff>
    </xdr:from>
    <xdr:to>
      <xdr:col>17</xdr:col>
      <xdr:colOff>220980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C834AD-68A0-4017-945D-423D20496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14</xdr:col>
      <xdr:colOff>441959</xdr:colOff>
      <xdr:row>1</xdr:row>
      <xdr:rowOff>137160</xdr:rowOff>
    </xdr:to>
    <xdr:sp macro="" textlink="">
      <xdr:nvSpPr>
        <xdr:cNvPr id="5" name="Rounded Rectangle 1">
          <a:extLst>
            <a:ext uri="{FF2B5EF4-FFF2-40B4-BE49-F238E27FC236}">
              <a16:creationId xmlns:a16="http://schemas.microsoft.com/office/drawing/2014/main" id="{9F86F8D6-B827-424A-861D-3411E15E4389}"/>
            </a:ext>
          </a:extLst>
        </xdr:cNvPr>
        <xdr:cNvSpPr/>
      </xdr:nvSpPr>
      <xdr:spPr>
        <a:xfrm>
          <a:off x="0" y="0"/>
          <a:ext cx="9822179" cy="32004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 b="1"/>
            <a:t>Bike Sharing Demand</a:t>
          </a:r>
          <a:r>
            <a:rPr lang="en-US" sz="2200" b="1" baseline="0"/>
            <a:t> </a:t>
          </a:r>
          <a:r>
            <a:rPr lang="en-US" sz="2200" b="1"/>
            <a:t> Analysis Dashboard Pivot Table &amp; Chart</a:t>
          </a:r>
        </a:p>
      </xdr:txBody>
    </xdr:sp>
    <xdr:clientData/>
  </xdr:twoCellAnchor>
  <xdr:twoCellAnchor>
    <xdr:from>
      <xdr:col>2</xdr:col>
      <xdr:colOff>411480</xdr:colOff>
      <xdr:row>23</xdr:row>
      <xdr:rowOff>175260</xdr:rowOff>
    </xdr:from>
    <xdr:to>
      <xdr:col>7</xdr:col>
      <xdr:colOff>541020</xdr:colOff>
      <xdr:row>39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343938-2E32-41C7-9778-389AAA156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40</xdr:row>
      <xdr:rowOff>7620</xdr:rowOff>
    </xdr:from>
    <xdr:to>
      <xdr:col>8</xdr:col>
      <xdr:colOff>167640</xdr:colOff>
      <xdr:row>48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527551-818B-4DF4-AC26-E00158CE0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8</xdr:col>
      <xdr:colOff>22860</xdr:colOff>
      <xdr:row>66</xdr:row>
      <xdr:rowOff>53340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D3847C3-F58B-4978-AEA6-D37515A9A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</xdr:colOff>
      <xdr:row>50</xdr:row>
      <xdr:rowOff>38100</xdr:rowOff>
    </xdr:from>
    <xdr:to>
      <xdr:col>16</xdr:col>
      <xdr:colOff>167641</xdr:colOff>
      <xdr:row>66</xdr:row>
      <xdr:rowOff>102871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AE5A4C-E749-44AC-986A-6A0DC00BC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0.41866</cdr:x>
      <cdr:y>0.08602</cdr:y>
    </cdr:from>
    <cdr:to>
      <cdr:x>0.79426</cdr:x>
      <cdr:y>0.19048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C6A3FE-48A9-C909-A578-D1C1503EFA0F}"/>
            </a:ext>
          </a:extLst>
        </cdr:cNvPr>
        <cdr:cNvSpPr txBox="1"/>
      </cdr:nvSpPr>
      <cdr:spPr>
        <a:xfrm xmlns:a="http://schemas.openxmlformats.org/drawingml/2006/main">
          <a:off x="1333500" y="213360"/>
          <a:ext cx="119634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>
              <a:solidFill>
                <a:srgbClr val="FF0000"/>
              </a:solidFill>
            </a:rPr>
            <a:t>Weather</a:t>
          </a:r>
          <a:r>
            <a:rPr lang="en-US" sz="1100" kern="1200" baseline="0"/>
            <a:t> </a:t>
          </a:r>
          <a:r>
            <a:rPr lang="en-US" sz="1100" kern="1200" baseline="0">
              <a:solidFill>
                <a:srgbClr val="FF0000"/>
              </a:solidFill>
            </a:rPr>
            <a:t>Attempt</a:t>
          </a:r>
          <a:endParaRPr lang="en-US" sz="1100" kern="1200">
            <a:solidFill>
              <a:srgbClr val="FF0000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ownloads/anoop%20marge%20dataset.xlsx" TargetMode="External"/><Relationship Id="rId1" Type="http://schemas.openxmlformats.org/officeDocument/2006/relationships/externalLinkPath" Target="/Users/user/Downloads/anoop%20marge%20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urly Rental Trends&quot;"/>
      <sheetName val="Average Rentals by Weekday"/>
      <sheetName val="Weather Impact"/>
      <sheetName val="Monthly growth"/>
      <sheetName val="Casualregistered by hr"/>
      <sheetName val="Tem by rental"/>
      <sheetName val="dataset_1"/>
      <sheetName val="&quot;Statistical_Analysis&quot;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P1" t="str">
            <v>cnt</v>
          </cell>
        </row>
        <row r="2">
          <cell r="J2">
            <v>0.24</v>
          </cell>
          <cell r="L2">
            <v>0.81</v>
          </cell>
          <cell r="P2">
            <v>16</v>
          </cell>
        </row>
        <row r="3">
          <cell r="J3">
            <v>0.22</v>
          </cell>
          <cell r="L3">
            <v>0.8</v>
          </cell>
          <cell r="P3">
            <v>40</v>
          </cell>
        </row>
        <row r="4">
          <cell r="J4">
            <v>0.22</v>
          </cell>
          <cell r="L4">
            <v>0.8</v>
          </cell>
          <cell r="P4">
            <v>32</v>
          </cell>
        </row>
        <row r="5">
          <cell r="J5">
            <v>0.24</v>
          </cell>
          <cell r="L5">
            <v>0.75</v>
          </cell>
          <cell r="P5">
            <v>13</v>
          </cell>
        </row>
        <row r="6">
          <cell r="J6">
            <v>0.24</v>
          </cell>
          <cell r="L6">
            <v>0.75</v>
          </cell>
          <cell r="P6">
            <v>1</v>
          </cell>
        </row>
        <row r="7">
          <cell r="J7">
            <v>0.24</v>
          </cell>
          <cell r="L7">
            <v>0.75</v>
          </cell>
          <cell r="P7">
            <v>1</v>
          </cell>
        </row>
        <row r="8">
          <cell r="J8">
            <v>0.22</v>
          </cell>
          <cell r="L8">
            <v>0.8</v>
          </cell>
          <cell r="P8">
            <v>2</v>
          </cell>
        </row>
        <row r="9">
          <cell r="J9">
            <v>0.2</v>
          </cell>
          <cell r="L9">
            <v>0.86</v>
          </cell>
          <cell r="P9">
            <v>3</v>
          </cell>
        </row>
        <row r="10">
          <cell r="J10">
            <v>0.24</v>
          </cell>
          <cell r="L10">
            <v>0.75</v>
          </cell>
          <cell r="P10">
            <v>8</v>
          </cell>
        </row>
        <row r="11">
          <cell r="J11">
            <v>0.32</v>
          </cell>
          <cell r="L11">
            <v>0.76</v>
          </cell>
          <cell r="P11">
            <v>14</v>
          </cell>
        </row>
        <row r="12">
          <cell r="J12">
            <v>0.38</v>
          </cell>
          <cell r="L12">
            <v>0.76</v>
          </cell>
          <cell r="P12">
            <v>36</v>
          </cell>
        </row>
        <row r="13">
          <cell r="J13">
            <v>0.36</v>
          </cell>
          <cell r="L13">
            <v>0.81</v>
          </cell>
          <cell r="P13">
            <v>56</v>
          </cell>
        </row>
        <row r="14">
          <cell r="J14">
            <v>0.42</v>
          </cell>
          <cell r="L14">
            <v>0.77</v>
          </cell>
          <cell r="P14">
            <v>84</v>
          </cell>
        </row>
        <row r="15">
          <cell r="J15">
            <v>0.46</v>
          </cell>
          <cell r="L15">
            <v>0.72</v>
          </cell>
          <cell r="P15">
            <v>94</v>
          </cell>
        </row>
        <row r="16">
          <cell r="J16">
            <v>0.46</v>
          </cell>
          <cell r="L16">
            <v>0.72</v>
          </cell>
          <cell r="P16">
            <v>106</v>
          </cell>
        </row>
        <row r="17">
          <cell r="J17">
            <v>0.44</v>
          </cell>
          <cell r="L17">
            <v>0.77</v>
          </cell>
          <cell r="P17">
            <v>110</v>
          </cell>
        </row>
        <row r="18">
          <cell r="J18">
            <v>0.42</v>
          </cell>
          <cell r="L18">
            <v>0.82</v>
          </cell>
          <cell r="P18">
            <v>93</v>
          </cell>
        </row>
        <row r="19">
          <cell r="J19">
            <v>0.44</v>
          </cell>
          <cell r="L19">
            <v>0.82</v>
          </cell>
          <cell r="P19">
            <v>67</v>
          </cell>
        </row>
        <row r="20">
          <cell r="J20">
            <v>0.42</v>
          </cell>
          <cell r="L20">
            <v>0.88</v>
          </cell>
          <cell r="P20">
            <v>35</v>
          </cell>
        </row>
        <row r="21">
          <cell r="J21">
            <v>0.42</v>
          </cell>
          <cell r="L21">
            <v>0.88</v>
          </cell>
          <cell r="P21">
            <v>37</v>
          </cell>
        </row>
        <row r="22">
          <cell r="J22">
            <v>0.4</v>
          </cell>
          <cell r="L22">
            <v>0.87</v>
          </cell>
          <cell r="P22">
            <v>36</v>
          </cell>
        </row>
        <row r="23">
          <cell r="J23">
            <v>0.4</v>
          </cell>
          <cell r="L23">
            <v>0.87</v>
          </cell>
          <cell r="P23">
            <v>34</v>
          </cell>
        </row>
        <row r="24">
          <cell r="J24">
            <v>0.4</v>
          </cell>
          <cell r="L24">
            <v>0.94</v>
          </cell>
          <cell r="P24">
            <v>28</v>
          </cell>
        </row>
        <row r="25">
          <cell r="J25">
            <v>0.46</v>
          </cell>
          <cell r="L25">
            <v>0.88</v>
          </cell>
          <cell r="P25">
            <v>39</v>
          </cell>
        </row>
        <row r="26">
          <cell r="J26">
            <v>0.46</v>
          </cell>
          <cell r="L26">
            <v>0.88</v>
          </cell>
          <cell r="P26">
            <v>17</v>
          </cell>
        </row>
        <row r="27">
          <cell r="J27">
            <v>0.44</v>
          </cell>
          <cell r="L27">
            <v>0.94</v>
          </cell>
          <cell r="P27">
            <v>17</v>
          </cell>
        </row>
        <row r="28">
          <cell r="J28">
            <v>0.42</v>
          </cell>
          <cell r="L28">
            <v>1</v>
          </cell>
          <cell r="P28">
            <v>9</v>
          </cell>
        </row>
        <row r="29">
          <cell r="J29">
            <v>0.46</v>
          </cell>
          <cell r="L29">
            <v>0.94</v>
          </cell>
          <cell r="P29">
            <v>6</v>
          </cell>
        </row>
        <row r="30">
          <cell r="J30">
            <v>0.46</v>
          </cell>
          <cell r="L30">
            <v>0.94</v>
          </cell>
          <cell r="P30">
            <v>3</v>
          </cell>
        </row>
        <row r="31">
          <cell r="J31">
            <v>0.42</v>
          </cell>
          <cell r="L31">
            <v>0.77</v>
          </cell>
          <cell r="P31">
            <v>2</v>
          </cell>
        </row>
        <row r="32">
          <cell r="J32">
            <v>0.4</v>
          </cell>
          <cell r="L32">
            <v>0.76</v>
          </cell>
          <cell r="P32">
            <v>1</v>
          </cell>
        </row>
        <row r="33">
          <cell r="J33">
            <v>0.4</v>
          </cell>
          <cell r="L33">
            <v>0.71</v>
          </cell>
          <cell r="P33">
            <v>8</v>
          </cell>
        </row>
        <row r="34">
          <cell r="J34">
            <v>0.38</v>
          </cell>
          <cell r="L34">
            <v>0.76</v>
          </cell>
          <cell r="P34">
            <v>20</v>
          </cell>
        </row>
        <row r="35">
          <cell r="J35">
            <v>0.36</v>
          </cell>
          <cell r="L35">
            <v>0.81</v>
          </cell>
          <cell r="P35">
            <v>53</v>
          </cell>
        </row>
        <row r="36">
          <cell r="J36">
            <v>0.36</v>
          </cell>
          <cell r="L36">
            <v>0.71</v>
          </cell>
          <cell r="P36">
            <v>70</v>
          </cell>
        </row>
        <row r="37">
          <cell r="J37">
            <v>0.36</v>
          </cell>
          <cell r="L37">
            <v>0.66</v>
          </cell>
          <cell r="P37">
            <v>93</v>
          </cell>
        </row>
        <row r="38">
          <cell r="J38">
            <v>0.36</v>
          </cell>
          <cell r="L38">
            <v>0.66</v>
          </cell>
          <cell r="P38">
            <v>75</v>
          </cell>
        </row>
        <row r="39">
          <cell r="J39">
            <v>0.36</v>
          </cell>
          <cell r="L39">
            <v>0.76</v>
          </cell>
          <cell r="P39">
            <v>59</v>
          </cell>
        </row>
        <row r="40">
          <cell r="J40">
            <v>0.34</v>
          </cell>
          <cell r="L40">
            <v>0.81</v>
          </cell>
          <cell r="P40">
            <v>74</v>
          </cell>
        </row>
        <row r="41">
          <cell r="J41">
            <v>0.34</v>
          </cell>
          <cell r="L41">
            <v>0.71</v>
          </cell>
          <cell r="P41">
            <v>76</v>
          </cell>
        </row>
        <row r="42">
          <cell r="J42">
            <v>0.34</v>
          </cell>
          <cell r="L42">
            <v>0.56999999999999995</v>
          </cell>
          <cell r="P42">
            <v>65</v>
          </cell>
        </row>
        <row r="43">
          <cell r="J43">
            <v>0.36</v>
          </cell>
          <cell r="L43">
            <v>0.46</v>
          </cell>
          <cell r="P43">
            <v>53</v>
          </cell>
        </row>
        <row r="44">
          <cell r="J44">
            <v>0.32</v>
          </cell>
          <cell r="L44">
            <v>0.42</v>
          </cell>
          <cell r="P44">
            <v>30</v>
          </cell>
        </row>
        <row r="45">
          <cell r="J45">
            <v>0.3</v>
          </cell>
          <cell r="L45">
            <v>0.39</v>
          </cell>
          <cell r="P45">
            <v>22</v>
          </cell>
        </row>
        <row r="46">
          <cell r="J46">
            <v>0.26</v>
          </cell>
          <cell r="L46">
            <v>0.44</v>
          </cell>
          <cell r="P46">
            <v>31</v>
          </cell>
        </row>
        <row r="47">
          <cell r="J47">
            <v>0.24</v>
          </cell>
          <cell r="L47">
            <v>0.44</v>
          </cell>
          <cell r="P47">
            <v>9</v>
          </cell>
        </row>
        <row r="48">
          <cell r="J48">
            <v>0.22</v>
          </cell>
          <cell r="L48">
            <v>0.47</v>
          </cell>
          <cell r="P48">
            <v>8</v>
          </cell>
        </row>
        <row r="49">
          <cell r="J49">
            <v>0.22</v>
          </cell>
          <cell r="L49">
            <v>0.44</v>
          </cell>
          <cell r="P49">
            <v>5</v>
          </cell>
        </row>
        <row r="50">
          <cell r="J50">
            <v>0.2</v>
          </cell>
          <cell r="L50">
            <v>0.44</v>
          </cell>
          <cell r="P50">
            <v>2</v>
          </cell>
        </row>
        <row r="51">
          <cell r="J51">
            <v>0.16</v>
          </cell>
          <cell r="L51">
            <v>0.47</v>
          </cell>
          <cell r="P51">
            <v>1</v>
          </cell>
        </row>
        <row r="52">
          <cell r="J52">
            <v>0.16</v>
          </cell>
          <cell r="L52">
            <v>0.47</v>
          </cell>
          <cell r="P52">
            <v>3</v>
          </cell>
        </row>
        <row r="53">
          <cell r="J53">
            <v>0.14000000000000001</v>
          </cell>
          <cell r="L53">
            <v>0.5</v>
          </cell>
          <cell r="P53">
            <v>30</v>
          </cell>
        </row>
        <row r="54">
          <cell r="J54">
            <v>0.14000000000000001</v>
          </cell>
          <cell r="L54">
            <v>0.5</v>
          </cell>
          <cell r="P54">
            <v>64</v>
          </cell>
        </row>
        <row r="55">
          <cell r="J55">
            <v>0.14000000000000001</v>
          </cell>
          <cell r="L55">
            <v>0.5</v>
          </cell>
          <cell r="P55">
            <v>154</v>
          </cell>
        </row>
        <row r="56">
          <cell r="J56">
            <v>0.16</v>
          </cell>
          <cell r="L56">
            <v>0.43</v>
          </cell>
          <cell r="P56">
            <v>88</v>
          </cell>
        </row>
        <row r="57">
          <cell r="J57">
            <v>0.18</v>
          </cell>
          <cell r="L57">
            <v>0.43</v>
          </cell>
          <cell r="P57">
            <v>44</v>
          </cell>
        </row>
        <row r="58">
          <cell r="J58">
            <v>0.2</v>
          </cell>
          <cell r="L58">
            <v>0.4</v>
          </cell>
          <cell r="P58">
            <v>51</v>
          </cell>
        </row>
        <row r="59">
          <cell r="J59">
            <v>0.22</v>
          </cell>
          <cell r="L59">
            <v>0.35</v>
          </cell>
          <cell r="P59">
            <v>61</v>
          </cell>
        </row>
        <row r="60">
          <cell r="J60">
            <v>0.24</v>
          </cell>
          <cell r="L60">
            <v>0.35</v>
          </cell>
          <cell r="P60">
            <v>61</v>
          </cell>
        </row>
        <row r="61">
          <cell r="J61">
            <v>0.26</v>
          </cell>
          <cell r="L61">
            <v>0.3</v>
          </cell>
          <cell r="P61">
            <v>77</v>
          </cell>
        </row>
        <row r="62">
          <cell r="J62">
            <v>0.26</v>
          </cell>
          <cell r="L62">
            <v>0.3</v>
          </cell>
          <cell r="P62">
            <v>72</v>
          </cell>
        </row>
        <row r="63">
          <cell r="J63">
            <v>0.26</v>
          </cell>
          <cell r="L63">
            <v>0.3</v>
          </cell>
          <cell r="P63">
            <v>76</v>
          </cell>
        </row>
        <row r="64">
          <cell r="J64">
            <v>0.24</v>
          </cell>
          <cell r="L64">
            <v>0.3</v>
          </cell>
          <cell r="P64">
            <v>157</v>
          </cell>
        </row>
        <row r="65">
          <cell r="J65">
            <v>0.24</v>
          </cell>
          <cell r="L65">
            <v>0.32</v>
          </cell>
          <cell r="P65">
            <v>157</v>
          </cell>
        </row>
        <row r="66">
          <cell r="J66">
            <v>0.2</v>
          </cell>
          <cell r="L66">
            <v>0.47</v>
          </cell>
          <cell r="P66">
            <v>110</v>
          </cell>
        </row>
        <row r="67">
          <cell r="J67">
            <v>0.2</v>
          </cell>
          <cell r="L67">
            <v>0.47</v>
          </cell>
          <cell r="P67">
            <v>52</v>
          </cell>
        </row>
        <row r="68">
          <cell r="J68">
            <v>0.18</v>
          </cell>
          <cell r="L68">
            <v>0.64</v>
          </cell>
          <cell r="P68">
            <v>52</v>
          </cell>
        </row>
        <row r="69">
          <cell r="J69">
            <v>0.14000000000000001</v>
          </cell>
          <cell r="L69">
            <v>0.69</v>
          </cell>
          <cell r="P69">
            <v>20</v>
          </cell>
        </row>
        <row r="70">
          <cell r="J70">
            <v>0.18</v>
          </cell>
          <cell r="L70">
            <v>0.55000000000000004</v>
          </cell>
          <cell r="P70">
            <v>12</v>
          </cell>
        </row>
        <row r="71">
          <cell r="J71">
            <v>0.16</v>
          </cell>
          <cell r="L71">
            <v>0.55000000000000004</v>
          </cell>
          <cell r="P71">
            <v>5</v>
          </cell>
        </row>
        <row r="72">
          <cell r="J72">
            <v>0.16</v>
          </cell>
          <cell r="L72">
            <v>0.59</v>
          </cell>
          <cell r="P72">
            <v>2</v>
          </cell>
        </row>
        <row r="73">
          <cell r="J73">
            <v>0.14000000000000001</v>
          </cell>
          <cell r="L73">
            <v>0.63</v>
          </cell>
          <cell r="P73">
            <v>1</v>
          </cell>
        </row>
        <row r="74">
          <cell r="J74">
            <v>0.14000000000000001</v>
          </cell>
          <cell r="L74">
            <v>0.63</v>
          </cell>
          <cell r="P74">
            <v>2</v>
          </cell>
        </row>
        <row r="75">
          <cell r="J75">
            <v>0.12</v>
          </cell>
          <cell r="L75">
            <v>0.68</v>
          </cell>
          <cell r="P75">
            <v>4</v>
          </cell>
        </row>
        <row r="76">
          <cell r="J76">
            <v>0.12</v>
          </cell>
          <cell r="L76">
            <v>0.74</v>
          </cell>
          <cell r="P76">
            <v>36</v>
          </cell>
        </row>
        <row r="77">
          <cell r="J77">
            <v>0.12</v>
          </cell>
          <cell r="L77">
            <v>0.74</v>
          </cell>
          <cell r="P77">
            <v>94</v>
          </cell>
        </row>
        <row r="78">
          <cell r="J78">
            <v>0.14000000000000001</v>
          </cell>
          <cell r="L78">
            <v>0.69</v>
          </cell>
          <cell r="P78">
            <v>179</v>
          </cell>
        </row>
        <row r="79">
          <cell r="J79">
            <v>0.16</v>
          </cell>
          <cell r="L79">
            <v>0.64</v>
          </cell>
          <cell r="P79">
            <v>100</v>
          </cell>
        </row>
        <row r="80">
          <cell r="J80">
            <v>0.16</v>
          </cell>
          <cell r="L80">
            <v>0.69</v>
          </cell>
          <cell r="P80">
            <v>42</v>
          </cell>
        </row>
        <row r="81">
          <cell r="J81">
            <v>0.22</v>
          </cell>
          <cell r="L81">
            <v>0.51</v>
          </cell>
          <cell r="P81">
            <v>57</v>
          </cell>
        </row>
        <row r="82">
          <cell r="J82">
            <v>0.22</v>
          </cell>
          <cell r="L82">
            <v>0.51</v>
          </cell>
          <cell r="P82">
            <v>78</v>
          </cell>
        </row>
        <row r="83">
          <cell r="J83">
            <v>0.24</v>
          </cell>
          <cell r="L83">
            <v>0.56000000000000005</v>
          </cell>
          <cell r="P83">
            <v>97</v>
          </cell>
        </row>
        <row r="84">
          <cell r="J84">
            <v>0.26</v>
          </cell>
          <cell r="L84">
            <v>0.52</v>
          </cell>
          <cell r="P84">
            <v>63</v>
          </cell>
        </row>
        <row r="85">
          <cell r="J85">
            <v>0.28000000000000003</v>
          </cell>
          <cell r="L85">
            <v>0.52</v>
          </cell>
          <cell r="P85">
            <v>65</v>
          </cell>
        </row>
        <row r="86">
          <cell r="J86">
            <v>0.3</v>
          </cell>
          <cell r="L86">
            <v>0.49</v>
          </cell>
          <cell r="P86">
            <v>83</v>
          </cell>
        </row>
        <row r="87">
          <cell r="J87">
            <v>0.28000000000000003</v>
          </cell>
          <cell r="L87">
            <v>0.48</v>
          </cell>
          <cell r="P87">
            <v>212</v>
          </cell>
        </row>
        <row r="88">
          <cell r="J88">
            <v>0.26</v>
          </cell>
          <cell r="L88">
            <v>0.48</v>
          </cell>
          <cell r="P88">
            <v>182</v>
          </cell>
        </row>
        <row r="89">
          <cell r="J89">
            <v>0.24</v>
          </cell>
          <cell r="L89">
            <v>0.48</v>
          </cell>
          <cell r="P89">
            <v>112</v>
          </cell>
        </row>
        <row r="90">
          <cell r="J90">
            <v>0.24</v>
          </cell>
          <cell r="L90">
            <v>0.48</v>
          </cell>
          <cell r="P90">
            <v>54</v>
          </cell>
        </row>
        <row r="91">
          <cell r="J91">
            <v>0.22</v>
          </cell>
          <cell r="L91">
            <v>0.64</v>
          </cell>
          <cell r="P91">
            <v>48</v>
          </cell>
        </row>
        <row r="92">
          <cell r="J92">
            <v>0.22</v>
          </cell>
          <cell r="L92">
            <v>0.64</v>
          </cell>
          <cell r="P92">
            <v>35</v>
          </cell>
        </row>
        <row r="93">
          <cell r="J93">
            <v>0.2</v>
          </cell>
          <cell r="L93">
            <v>0.69</v>
          </cell>
          <cell r="P93">
            <v>11</v>
          </cell>
        </row>
        <row r="94">
          <cell r="J94">
            <v>0.2</v>
          </cell>
          <cell r="L94">
            <v>0.64</v>
          </cell>
          <cell r="P94">
            <v>6</v>
          </cell>
        </row>
        <row r="95">
          <cell r="J95">
            <v>0.16</v>
          </cell>
          <cell r="L95">
            <v>0.74</v>
          </cell>
          <cell r="P95">
            <v>6</v>
          </cell>
        </row>
        <row r="96">
          <cell r="J96">
            <v>0.16</v>
          </cell>
          <cell r="L96">
            <v>0.74</v>
          </cell>
          <cell r="P96">
            <v>2</v>
          </cell>
        </row>
        <row r="97">
          <cell r="J97">
            <v>0.24</v>
          </cell>
          <cell r="L97">
            <v>0.48</v>
          </cell>
          <cell r="P97">
            <v>2</v>
          </cell>
        </row>
        <row r="98">
          <cell r="J98">
            <v>0.22</v>
          </cell>
          <cell r="L98">
            <v>0.47</v>
          </cell>
          <cell r="P98">
            <v>3</v>
          </cell>
        </row>
        <row r="99">
          <cell r="J99">
            <v>0.2</v>
          </cell>
          <cell r="L99">
            <v>0.47</v>
          </cell>
          <cell r="P99">
            <v>33</v>
          </cell>
        </row>
        <row r="100">
          <cell r="J100">
            <v>0.18</v>
          </cell>
          <cell r="L100">
            <v>0.43</v>
          </cell>
          <cell r="P100">
            <v>88</v>
          </cell>
        </row>
        <row r="101">
          <cell r="J101">
            <v>0.2</v>
          </cell>
          <cell r="L101">
            <v>0.4</v>
          </cell>
          <cell r="P101">
            <v>195</v>
          </cell>
        </row>
        <row r="102">
          <cell r="J102">
            <v>0.22</v>
          </cell>
          <cell r="L102">
            <v>0.37</v>
          </cell>
          <cell r="P102">
            <v>115</v>
          </cell>
        </row>
        <row r="103">
          <cell r="J103">
            <v>0.22</v>
          </cell>
          <cell r="L103">
            <v>0.37</v>
          </cell>
          <cell r="P103">
            <v>57</v>
          </cell>
        </row>
        <row r="104">
          <cell r="J104">
            <v>0.26</v>
          </cell>
          <cell r="L104">
            <v>0.33</v>
          </cell>
          <cell r="P104">
            <v>46</v>
          </cell>
        </row>
        <row r="105">
          <cell r="J105">
            <v>0.26</v>
          </cell>
          <cell r="L105">
            <v>0.33</v>
          </cell>
          <cell r="P105">
            <v>79</v>
          </cell>
        </row>
        <row r="106">
          <cell r="J106">
            <v>0.28000000000000003</v>
          </cell>
          <cell r="L106">
            <v>0.3</v>
          </cell>
          <cell r="P106">
            <v>71</v>
          </cell>
        </row>
        <row r="107">
          <cell r="J107">
            <v>0.3</v>
          </cell>
          <cell r="L107">
            <v>0.28000000000000003</v>
          </cell>
          <cell r="P107">
            <v>62</v>
          </cell>
        </row>
        <row r="108">
          <cell r="J108">
            <v>0.3</v>
          </cell>
          <cell r="L108">
            <v>0.28000000000000003</v>
          </cell>
          <cell r="P108">
            <v>62</v>
          </cell>
        </row>
        <row r="109">
          <cell r="J109">
            <v>0.3</v>
          </cell>
          <cell r="L109">
            <v>0.28000000000000003</v>
          </cell>
          <cell r="P109">
            <v>89</v>
          </cell>
        </row>
        <row r="110">
          <cell r="J110">
            <v>0.24</v>
          </cell>
          <cell r="L110">
            <v>0.38</v>
          </cell>
          <cell r="P110">
            <v>190</v>
          </cell>
        </row>
        <row r="111">
          <cell r="J111">
            <v>0.24</v>
          </cell>
          <cell r="L111">
            <v>0.38</v>
          </cell>
          <cell r="P111">
            <v>169</v>
          </cell>
        </row>
        <row r="112">
          <cell r="J112">
            <v>0.24</v>
          </cell>
          <cell r="L112">
            <v>0.38</v>
          </cell>
          <cell r="P112">
            <v>132</v>
          </cell>
        </row>
        <row r="113">
          <cell r="J113">
            <v>0.22</v>
          </cell>
          <cell r="L113">
            <v>0.47</v>
          </cell>
          <cell r="P113">
            <v>89</v>
          </cell>
        </row>
        <row r="114">
          <cell r="J114">
            <v>0.2</v>
          </cell>
          <cell r="L114">
            <v>0.51</v>
          </cell>
          <cell r="P114">
            <v>43</v>
          </cell>
        </row>
        <row r="115">
          <cell r="J115">
            <v>0.18</v>
          </cell>
          <cell r="L115">
            <v>0.55000000000000004</v>
          </cell>
          <cell r="P115">
            <v>42</v>
          </cell>
        </row>
        <row r="116">
          <cell r="J116">
            <v>0.2</v>
          </cell>
          <cell r="L116">
            <v>0.47</v>
          </cell>
          <cell r="P116">
            <v>19</v>
          </cell>
        </row>
        <row r="117">
          <cell r="J117">
            <v>0.18</v>
          </cell>
          <cell r="L117">
            <v>0.55000000000000004</v>
          </cell>
          <cell r="P117">
            <v>11</v>
          </cell>
        </row>
        <row r="118">
          <cell r="J118">
            <v>0.16</v>
          </cell>
          <cell r="L118">
            <v>0.64</v>
          </cell>
          <cell r="P118">
            <v>4</v>
          </cell>
        </row>
        <row r="119">
          <cell r="J119">
            <v>0.16</v>
          </cell>
          <cell r="L119">
            <v>0.64</v>
          </cell>
          <cell r="P119">
            <v>2</v>
          </cell>
        </row>
        <row r="120">
          <cell r="J120">
            <v>0.16</v>
          </cell>
          <cell r="L120">
            <v>0.64</v>
          </cell>
          <cell r="P120">
            <v>1</v>
          </cell>
        </row>
        <row r="121">
          <cell r="J121">
            <v>0.14000000000000001</v>
          </cell>
          <cell r="L121">
            <v>0.69</v>
          </cell>
          <cell r="P121">
            <v>4</v>
          </cell>
        </row>
        <row r="122">
          <cell r="J122">
            <v>0.14000000000000001</v>
          </cell>
          <cell r="L122">
            <v>0.63</v>
          </cell>
          <cell r="P122">
            <v>36</v>
          </cell>
        </row>
        <row r="123">
          <cell r="J123">
            <v>0.16</v>
          </cell>
          <cell r="L123">
            <v>0.59</v>
          </cell>
          <cell r="P123">
            <v>95</v>
          </cell>
        </row>
        <row r="124">
          <cell r="J124">
            <v>0.16</v>
          </cell>
          <cell r="L124">
            <v>0.59</v>
          </cell>
          <cell r="P124">
            <v>219</v>
          </cell>
        </row>
        <row r="125">
          <cell r="J125">
            <v>0.18</v>
          </cell>
          <cell r="L125">
            <v>0.51</v>
          </cell>
          <cell r="P125">
            <v>122</v>
          </cell>
        </row>
        <row r="126">
          <cell r="J126">
            <v>0.2</v>
          </cell>
          <cell r="L126">
            <v>0.47</v>
          </cell>
          <cell r="P126">
            <v>45</v>
          </cell>
        </row>
        <row r="127">
          <cell r="J127">
            <v>0.22</v>
          </cell>
          <cell r="L127">
            <v>0.44</v>
          </cell>
          <cell r="P127">
            <v>59</v>
          </cell>
        </row>
        <row r="128">
          <cell r="J128">
            <v>0.26</v>
          </cell>
          <cell r="L128">
            <v>0.35</v>
          </cell>
          <cell r="P128">
            <v>84</v>
          </cell>
        </row>
        <row r="129">
          <cell r="J129">
            <v>0.26</v>
          </cell>
          <cell r="L129">
            <v>0.35</v>
          </cell>
          <cell r="P129">
            <v>67</v>
          </cell>
        </row>
        <row r="130">
          <cell r="J130">
            <v>0.28000000000000003</v>
          </cell>
          <cell r="L130">
            <v>0.36</v>
          </cell>
          <cell r="P130">
            <v>70</v>
          </cell>
        </row>
        <row r="131">
          <cell r="J131">
            <v>0.28000000000000003</v>
          </cell>
          <cell r="L131">
            <v>0.36</v>
          </cell>
          <cell r="P131">
            <v>62</v>
          </cell>
        </row>
        <row r="132">
          <cell r="J132">
            <v>0.26</v>
          </cell>
          <cell r="L132">
            <v>0.38</v>
          </cell>
          <cell r="P132">
            <v>86</v>
          </cell>
        </row>
        <row r="133">
          <cell r="J133">
            <v>0.22</v>
          </cell>
          <cell r="L133">
            <v>0.51</v>
          </cell>
          <cell r="P133">
            <v>172</v>
          </cell>
        </row>
        <row r="134">
          <cell r="J134">
            <v>0.22</v>
          </cell>
          <cell r="L134">
            <v>0.51</v>
          </cell>
          <cell r="P134">
            <v>163</v>
          </cell>
        </row>
        <row r="135">
          <cell r="J135">
            <v>0.22</v>
          </cell>
          <cell r="L135">
            <v>0.55000000000000004</v>
          </cell>
          <cell r="P135">
            <v>112</v>
          </cell>
        </row>
        <row r="136">
          <cell r="J136">
            <v>0.2</v>
          </cell>
          <cell r="L136">
            <v>0.51</v>
          </cell>
          <cell r="P136">
            <v>69</v>
          </cell>
        </row>
        <row r="137">
          <cell r="J137">
            <v>0.22</v>
          </cell>
          <cell r="L137">
            <v>0.55000000000000004</v>
          </cell>
          <cell r="P137">
            <v>48</v>
          </cell>
        </row>
        <row r="138">
          <cell r="J138">
            <v>0.22</v>
          </cell>
          <cell r="L138">
            <v>0.51</v>
          </cell>
          <cell r="P138">
            <v>52</v>
          </cell>
        </row>
        <row r="139">
          <cell r="J139">
            <v>0.2</v>
          </cell>
          <cell r="L139">
            <v>0.59</v>
          </cell>
          <cell r="P139">
            <v>23</v>
          </cell>
        </row>
        <row r="140">
          <cell r="J140">
            <v>0.2</v>
          </cell>
          <cell r="L140">
            <v>0.64</v>
          </cell>
          <cell r="P140">
            <v>17</v>
          </cell>
        </row>
        <row r="141">
          <cell r="J141">
            <v>0.2</v>
          </cell>
          <cell r="L141">
            <v>0.69</v>
          </cell>
          <cell r="P141">
            <v>7</v>
          </cell>
        </row>
        <row r="142">
          <cell r="J142">
            <v>0.2</v>
          </cell>
          <cell r="L142">
            <v>0.69</v>
          </cell>
          <cell r="P142">
            <v>1</v>
          </cell>
        </row>
        <row r="143">
          <cell r="J143">
            <v>0.2</v>
          </cell>
          <cell r="L143">
            <v>0.69</v>
          </cell>
          <cell r="P143">
            <v>1</v>
          </cell>
        </row>
        <row r="144">
          <cell r="J144">
            <v>0.22</v>
          </cell>
          <cell r="L144">
            <v>0.55000000000000004</v>
          </cell>
          <cell r="P144">
            <v>5</v>
          </cell>
        </row>
        <row r="145">
          <cell r="J145">
            <v>0.2</v>
          </cell>
          <cell r="L145">
            <v>0.69</v>
          </cell>
          <cell r="P145">
            <v>34</v>
          </cell>
        </row>
        <row r="146">
          <cell r="J146">
            <v>0.2</v>
          </cell>
          <cell r="L146">
            <v>0.69</v>
          </cell>
          <cell r="P146">
            <v>84</v>
          </cell>
        </row>
        <row r="147">
          <cell r="J147">
            <v>0.2</v>
          </cell>
          <cell r="L147">
            <v>0.51</v>
          </cell>
          <cell r="P147">
            <v>210</v>
          </cell>
        </row>
        <row r="148">
          <cell r="J148">
            <v>0.2</v>
          </cell>
          <cell r="L148">
            <v>0.47</v>
          </cell>
          <cell r="P148">
            <v>134</v>
          </cell>
        </row>
        <row r="149">
          <cell r="J149">
            <v>0.22</v>
          </cell>
          <cell r="L149">
            <v>0.37</v>
          </cell>
          <cell r="P149">
            <v>63</v>
          </cell>
        </row>
        <row r="150">
          <cell r="J150">
            <v>0.2</v>
          </cell>
          <cell r="L150">
            <v>0.4</v>
          </cell>
          <cell r="P150">
            <v>67</v>
          </cell>
        </row>
        <row r="151">
          <cell r="J151">
            <v>0.2</v>
          </cell>
          <cell r="L151">
            <v>0.37</v>
          </cell>
          <cell r="P151">
            <v>59</v>
          </cell>
        </row>
        <row r="152">
          <cell r="J152">
            <v>0.2</v>
          </cell>
          <cell r="L152">
            <v>0.37</v>
          </cell>
          <cell r="P152">
            <v>73</v>
          </cell>
        </row>
        <row r="153">
          <cell r="J153">
            <v>0.2</v>
          </cell>
          <cell r="L153">
            <v>0.4</v>
          </cell>
          <cell r="P153">
            <v>50</v>
          </cell>
        </row>
        <row r="154">
          <cell r="J154">
            <v>0.2</v>
          </cell>
          <cell r="L154">
            <v>0.37</v>
          </cell>
          <cell r="P154">
            <v>72</v>
          </cell>
        </row>
        <row r="155">
          <cell r="J155">
            <v>0.2</v>
          </cell>
          <cell r="L155">
            <v>0.37</v>
          </cell>
          <cell r="P155">
            <v>87</v>
          </cell>
        </row>
        <row r="156">
          <cell r="J156">
            <v>0.2</v>
          </cell>
          <cell r="L156">
            <v>0.37</v>
          </cell>
          <cell r="P156">
            <v>187</v>
          </cell>
        </row>
        <row r="157">
          <cell r="J157">
            <v>0.2</v>
          </cell>
          <cell r="L157">
            <v>0.4</v>
          </cell>
          <cell r="P157">
            <v>123</v>
          </cell>
        </row>
        <row r="158">
          <cell r="J158">
            <v>0.16</v>
          </cell>
          <cell r="L158">
            <v>0.55000000000000004</v>
          </cell>
          <cell r="P158">
            <v>95</v>
          </cell>
        </row>
        <row r="159">
          <cell r="J159">
            <v>0.18</v>
          </cell>
          <cell r="L159">
            <v>0.47</v>
          </cell>
          <cell r="P159">
            <v>51</v>
          </cell>
        </row>
        <row r="160">
          <cell r="J160">
            <v>0.18</v>
          </cell>
          <cell r="L160">
            <v>0.47</v>
          </cell>
          <cell r="P160">
            <v>39</v>
          </cell>
        </row>
        <row r="161">
          <cell r="J161">
            <v>0.18</v>
          </cell>
          <cell r="L161">
            <v>0.43</v>
          </cell>
          <cell r="P161">
            <v>36</v>
          </cell>
        </row>
        <row r="162">
          <cell r="J162">
            <v>0.18</v>
          </cell>
          <cell r="L162">
            <v>0.51</v>
          </cell>
          <cell r="P162">
            <v>15</v>
          </cell>
        </row>
        <row r="163">
          <cell r="J163">
            <v>0.18</v>
          </cell>
          <cell r="L163">
            <v>0.51</v>
          </cell>
          <cell r="P163">
            <v>25</v>
          </cell>
        </row>
        <row r="164">
          <cell r="J164">
            <v>0.18</v>
          </cell>
          <cell r="L164">
            <v>0.55000000000000004</v>
          </cell>
          <cell r="P164">
            <v>16</v>
          </cell>
        </row>
        <row r="165">
          <cell r="J165">
            <v>0.18</v>
          </cell>
          <cell r="L165">
            <v>0.55000000000000004</v>
          </cell>
          <cell r="P165">
            <v>16</v>
          </cell>
        </row>
        <row r="166">
          <cell r="J166">
            <v>0.18</v>
          </cell>
          <cell r="L166">
            <v>0.55000000000000004</v>
          </cell>
          <cell r="P166">
            <v>7</v>
          </cell>
        </row>
        <row r="167">
          <cell r="J167">
            <v>0.18</v>
          </cell>
          <cell r="L167">
            <v>0.55000000000000004</v>
          </cell>
          <cell r="P167">
            <v>1</v>
          </cell>
        </row>
        <row r="168">
          <cell r="J168">
            <v>0.16</v>
          </cell>
          <cell r="L168">
            <v>0.74</v>
          </cell>
          <cell r="P168">
            <v>5</v>
          </cell>
        </row>
        <row r="169">
          <cell r="J169">
            <v>0.16</v>
          </cell>
          <cell r="L169">
            <v>0.74</v>
          </cell>
          <cell r="P169">
            <v>2</v>
          </cell>
        </row>
        <row r="170">
          <cell r="J170">
            <v>0.16</v>
          </cell>
          <cell r="L170">
            <v>0.74</v>
          </cell>
          <cell r="P170">
            <v>9</v>
          </cell>
        </row>
        <row r="171">
          <cell r="J171">
            <v>0.16</v>
          </cell>
          <cell r="L171">
            <v>0.93</v>
          </cell>
          <cell r="P171">
            <v>15</v>
          </cell>
        </row>
        <row r="172">
          <cell r="J172">
            <v>0.16</v>
          </cell>
          <cell r="L172">
            <v>0.93</v>
          </cell>
          <cell r="P172">
            <v>20</v>
          </cell>
        </row>
        <row r="173">
          <cell r="J173">
            <v>0.18</v>
          </cell>
          <cell r="L173">
            <v>0.8</v>
          </cell>
          <cell r="P173">
            <v>61</v>
          </cell>
        </row>
        <row r="174">
          <cell r="J174">
            <v>0.2</v>
          </cell>
          <cell r="L174">
            <v>0.69</v>
          </cell>
          <cell r="P174">
            <v>62</v>
          </cell>
        </row>
        <row r="175">
          <cell r="J175">
            <v>0.2</v>
          </cell>
          <cell r="L175">
            <v>0.59</v>
          </cell>
          <cell r="P175">
            <v>98</v>
          </cell>
        </row>
        <row r="176">
          <cell r="J176">
            <v>0.2</v>
          </cell>
          <cell r="L176">
            <v>0.44</v>
          </cell>
          <cell r="P176">
            <v>102</v>
          </cell>
        </row>
        <row r="177">
          <cell r="J177">
            <v>0.2</v>
          </cell>
          <cell r="L177">
            <v>0.32</v>
          </cell>
          <cell r="P177">
            <v>95</v>
          </cell>
        </row>
        <row r="178">
          <cell r="J178">
            <v>0.2</v>
          </cell>
          <cell r="L178">
            <v>0.32</v>
          </cell>
          <cell r="P178">
            <v>74</v>
          </cell>
        </row>
        <row r="179">
          <cell r="J179">
            <v>0.18</v>
          </cell>
          <cell r="L179">
            <v>0.28999999999999998</v>
          </cell>
          <cell r="P179">
            <v>76</v>
          </cell>
        </row>
        <row r="180">
          <cell r="J180">
            <v>0.16</v>
          </cell>
          <cell r="L180">
            <v>0.37</v>
          </cell>
          <cell r="P180">
            <v>69</v>
          </cell>
        </row>
        <row r="181">
          <cell r="J181">
            <v>0.14000000000000001</v>
          </cell>
          <cell r="L181">
            <v>0.39</v>
          </cell>
          <cell r="P181">
            <v>55</v>
          </cell>
        </row>
        <row r="182">
          <cell r="J182">
            <v>0.14000000000000001</v>
          </cell>
          <cell r="L182">
            <v>0.36</v>
          </cell>
          <cell r="P182">
            <v>30</v>
          </cell>
        </row>
        <row r="183">
          <cell r="J183">
            <v>0.12</v>
          </cell>
          <cell r="L183">
            <v>0.36</v>
          </cell>
          <cell r="P183">
            <v>28</v>
          </cell>
        </row>
        <row r="184">
          <cell r="J184">
            <v>0.12</v>
          </cell>
          <cell r="L184">
            <v>0.39</v>
          </cell>
          <cell r="P184">
            <v>37</v>
          </cell>
        </row>
        <row r="185">
          <cell r="J185">
            <v>0.12</v>
          </cell>
          <cell r="L185">
            <v>0.36</v>
          </cell>
          <cell r="P185">
            <v>34</v>
          </cell>
        </row>
        <row r="186">
          <cell r="J186">
            <v>0.1</v>
          </cell>
          <cell r="L186">
            <v>0.39</v>
          </cell>
          <cell r="P186">
            <v>22</v>
          </cell>
        </row>
        <row r="187">
          <cell r="J187">
            <v>0.1</v>
          </cell>
          <cell r="L187">
            <v>0.42</v>
          </cell>
          <cell r="P187">
            <v>25</v>
          </cell>
        </row>
        <row r="188">
          <cell r="J188">
            <v>0.1</v>
          </cell>
          <cell r="L188">
            <v>0.42</v>
          </cell>
          <cell r="P188">
            <v>12</v>
          </cell>
        </row>
        <row r="189">
          <cell r="J189">
            <v>0.1</v>
          </cell>
          <cell r="L189">
            <v>0.46</v>
          </cell>
          <cell r="P189">
            <v>11</v>
          </cell>
        </row>
        <row r="190">
          <cell r="J190">
            <v>0.1</v>
          </cell>
          <cell r="L190">
            <v>0.46</v>
          </cell>
          <cell r="P190">
            <v>4</v>
          </cell>
        </row>
        <row r="191">
          <cell r="J191">
            <v>0.08</v>
          </cell>
          <cell r="L191">
            <v>0.53</v>
          </cell>
          <cell r="P191">
            <v>1</v>
          </cell>
        </row>
        <row r="192">
          <cell r="J192">
            <v>0.08</v>
          </cell>
          <cell r="L192">
            <v>0.53</v>
          </cell>
          <cell r="P192">
            <v>1</v>
          </cell>
        </row>
        <row r="193">
          <cell r="J193">
            <v>0.1</v>
          </cell>
          <cell r="L193">
            <v>0.49</v>
          </cell>
          <cell r="P193">
            <v>1</v>
          </cell>
        </row>
        <row r="194">
          <cell r="J194">
            <v>0.08</v>
          </cell>
          <cell r="L194">
            <v>0.53</v>
          </cell>
          <cell r="P194">
            <v>6</v>
          </cell>
        </row>
        <row r="195">
          <cell r="J195">
            <v>0.1</v>
          </cell>
          <cell r="L195">
            <v>0.49</v>
          </cell>
          <cell r="P195">
            <v>10</v>
          </cell>
        </row>
        <row r="196">
          <cell r="J196">
            <v>0.12</v>
          </cell>
          <cell r="L196">
            <v>0.46</v>
          </cell>
          <cell r="P196">
            <v>19</v>
          </cell>
        </row>
        <row r="197">
          <cell r="J197">
            <v>0.14000000000000001</v>
          </cell>
          <cell r="L197">
            <v>0.43</v>
          </cell>
          <cell r="P197">
            <v>49</v>
          </cell>
        </row>
        <row r="198">
          <cell r="J198">
            <v>0.16</v>
          </cell>
          <cell r="L198">
            <v>0.4</v>
          </cell>
          <cell r="P198">
            <v>49</v>
          </cell>
        </row>
        <row r="199">
          <cell r="J199">
            <v>0.18</v>
          </cell>
          <cell r="L199">
            <v>0.37</v>
          </cell>
          <cell r="P199">
            <v>83</v>
          </cell>
        </row>
        <row r="200">
          <cell r="J200">
            <v>0.2</v>
          </cell>
          <cell r="L200">
            <v>0.34</v>
          </cell>
          <cell r="P200">
            <v>75</v>
          </cell>
        </row>
        <row r="201">
          <cell r="J201">
            <v>0.22</v>
          </cell>
          <cell r="L201">
            <v>0.32</v>
          </cell>
          <cell r="P201">
            <v>72</v>
          </cell>
        </row>
        <row r="202">
          <cell r="J202">
            <v>0.22</v>
          </cell>
          <cell r="L202">
            <v>0.35</v>
          </cell>
          <cell r="P202">
            <v>82</v>
          </cell>
        </row>
        <row r="203">
          <cell r="J203">
            <v>0.2</v>
          </cell>
          <cell r="L203">
            <v>0.34</v>
          </cell>
          <cell r="P203">
            <v>92</v>
          </cell>
        </row>
        <row r="204">
          <cell r="J204">
            <v>0.18</v>
          </cell>
          <cell r="L204">
            <v>0.37</v>
          </cell>
          <cell r="P204">
            <v>62</v>
          </cell>
        </row>
        <row r="205">
          <cell r="J205">
            <v>0.16</v>
          </cell>
          <cell r="L205">
            <v>0.4</v>
          </cell>
          <cell r="P205">
            <v>48</v>
          </cell>
        </row>
        <row r="206">
          <cell r="J206">
            <v>0.16</v>
          </cell>
          <cell r="L206">
            <v>0.43</v>
          </cell>
          <cell r="P206">
            <v>41</v>
          </cell>
        </row>
        <row r="207">
          <cell r="J207">
            <v>0.14000000000000001</v>
          </cell>
          <cell r="L207">
            <v>0.46</v>
          </cell>
          <cell r="P207">
            <v>38</v>
          </cell>
        </row>
        <row r="208">
          <cell r="J208">
            <v>0.14000000000000001</v>
          </cell>
          <cell r="L208">
            <v>0.46</v>
          </cell>
          <cell r="P208">
            <v>20</v>
          </cell>
        </row>
        <row r="209">
          <cell r="J209">
            <v>0.14000000000000001</v>
          </cell>
          <cell r="L209">
            <v>0.46</v>
          </cell>
          <cell r="P209">
            <v>15</v>
          </cell>
        </row>
        <row r="210">
          <cell r="J210">
            <v>0.12</v>
          </cell>
          <cell r="L210">
            <v>0.5</v>
          </cell>
          <cell r="P210">
            <v>6</v>
          </cell>
        </row>
        <row r="211">
          <cell r="J211">
            <v>0.12</v>
          </cell>
          <cell r="L211">
            <v>0.5</v>
          </cell>
          <cell r="P211">
            <v>5</v>
          </cell>
        </row>
        <row r="212">
          <cell r="J212">
            <v>0.12</v>
          </cell>
          <cell r="L212">
            <v>0.5</v>
          </cell>
          <cell r="P212">
            <v>1</v>
          </cell>
        </row>
        <row r="213">
          <cell r="J213">
            <v>0.12</v>
          </cell>
          <cell r="L213">
            <v>0.5</v>
          </cell>
          <cell r="P213">
            <v>3</v>
          </cell>
        </row>
        <row r="214">
          <cell r="J214">
            <v>0.12</v>
          </cell>
          <cell r="L214">
            <v>0.5</v>
          </cell>
          <cell r="P214">
            <v>1</v>
          </cell>
        </row>
        <row r="215">
          <cell r="J215">
            <v>0.1</v>
          </cell>
          <cell r="L215">
            <v>0.54</v>
          </cell>
          <cell r="P215">
            <v>3</v>
          </cell>
        </row>
        <row r="216">
          <cell r="J216">
            <v>0.1</v>
          </cell>
          <cell r="L216">
            <v>0.54</v>
          </cell>
          <cell r="P216">
            <v>3</v>
          </cell>
        </row>
        <row r="217">
          <cell r="J217">
            <v>0.12</v>
          </cell>
          <cell r="L217">
            <v>0.5</v>
          </cell>
          <cell r="P217">
            <v>31</v>
          </cell>
        </row>
        <row r="218">
          <cell r="J218">
            <v>0.12</v>
          </cell>
          <cell r="L218">
            <v>0.5</v>
          </cell>
          <cell r="P218">
            <v>77</v>
          </cell>
        </row>
        <row r="219">
          <cell r="J219">
            <v>0.12</v>
          </cell>
          <cell r="L219">
            <v>0.5</v>
          </cell>
          <cell r="P219">
            <v>188</v>
          </cell>
        </row>
        <row r="220">
          <cell r="J220">
            <v>0.14000000000000001</v>
          </cell>
          <cell r="L220">
            <v>0.5</v>
          </cell>
          <cell r="P220">
            <v>94</v>
          </cell>
        </row>
        <row r="221">
          <cell r="J221">
            <v>0.14000000000000001</v>
          </cell>
          <cell r="L221">
            <v>0.5</v>
          </cell>
          <cell r="P221">
            <v>31</v>
          </cell>
        </row>
        <row r="222">
          <cell r="J222">
            <v>0.16</v>
          </cell>
          <cell r="L222">
            <v>0.47</v>
          </cell>
          <cell r="P222">
            <v>30</v>
          </cell>
        </row>
        <row r="223">
          <cell r="J223">
            <v>0.2</v>
          </cell>
          <cell r="L223">
            <v>0.4</v>
          </cell>
          <cell r="P223">
            <v>52</v>
          </cell>
        </row>
        <row r="224">
          <cell r="J224">
            <v>0.2</v>
          </cell>
          <cell r="L224">
            <v>0.4</v>
          </cell>
          <cell r="P224">
            <v>54</v>
          </cell>
        </row>
        <row r="225">
          <cell r="J225">
            <v>0.2</v>
          </cell>
          <cell r="L225">
            <v>0.4</v>
          </cell>
          <cell r="P225">
            <v>47</v>
          </cell>
        </row>
        <row r="226">
          <cell r="J226">
            <v>0.2</v>
          </cell>
          <cell r="L226">
            <v>0.4</v>
          </cell>
          <cell r="P226">
            <v>45</v>
          </cell>
        </row>
        <row r="227">
          <cell r="J227">
            <v>0.2</v>
          </cell>
          <cell r="L227">
            <v>0.4</v>
          </cell>
          <cell r="P227">
            <v>74</v>
          </cell>
        </row>
        <row r="228">
          <cell r="J228">
            <v>0.2</v>
          </cell>
          <cell r="L228">
            <v>0.4</v>
          </cell>
          <cell r="P228">
            <v>178</v>
          </cell>
        </row>
        <row r="229">
          <cell r="J229">
            <v>0.2</v>
          </cell>
          <cell r="L229">
            <v>0.4</v>
          </cell>
          <cell r="P229">
            <v>155</v>
          </cell>
        </row>
        <row r="230">
          <cell r="J230">
            <v>0.16</v>
          </cell>
          <cell r="L230">
            <v>0.47</v>
          </cell>
          <cell r="P230">
            <v>95</v>
          </cell>
        </row>
        <row r="231">
          <cell r="J231">
            <v>0.16</v>
          </cell>
          <cell r="L231">
            <v>0.5</v>
          </cell>
          <cell r="P231">
            <v>74</v>
          </cell>
        </row>
        <row r="232">
          <cell r="J232">
            <v>0.14000000000000001</v>
          </cell>
          <cell r="L232">
            <v>0.59</v>
          </cell>
          <cell r="P232">
            <v>38</v>
          </cell>
        </row>
        <row r="233">
          <cell r="J233">
            <v>0.14000000000000001</v>
          </cell>
          <cell r="L233">
            <v>0.59</v>
          </cell>
          <cell r="P233">
            <v>24</v>
          </cell>
        </row>
        <row r="234">
          <cell r="J234">
            <v>0.14000000000000001</v>
          </cell>
          <cell r="L234">
            <v>0.59</v>
          </cell>
          <cell r="P234">
            <v>18</v>
          </cell>
        </row>
        <row r="235">
          <cell r="J235">
            <v>0.14000000000000001</v>
          </cell>
          <cell r="L235">
            <v>0.59</v>
          </cell>
          <cell r="P235">
            <v>12</v>
          </cell>
        </row>
        <row r="236">
          <cell r="J236">
            <v>0.14000000000000001</v>
          </cell>
          <cell r="L236">
            <v>0.59</v>
          </cell>
          <cell r="P236">
            <v>3</v>
          </cell>
        </row>
        <row r="237">
          <cell r="J237">
            <v>0.16</v>
          </cell>
          <cell r="L237">
            <v>0.55000000000000004</v>
          </cell>
          <cell r="P237">
            <v>3</v>
          </cell>
        </row>
        <row r="238">
          <cell r="J238">
            <v>0.16</v>
          </cell>
          <cell r="L238">
            <v>0.55000000000000004</v>
          </cell>
          <cell r="P238">
            <v>6</v>
          </cell>
        </row>
        <row r="239">
          <cell r="J239">
            <v>0.16</v>
          </cell>
          <cell r="L239">
            <v>0.55000000000000004</v>
          </cell>
          <cell r="P239">
            <v>27</v>
          </cell>
        </row>
        <row r="240">
          <cell r="J240">
            <v>0.16</v>
          </cell>
          <cell r="L240">
            <v>0.55000000000000004</v>
          </cell>
          <cell r="P240">
            <v>99</v>
          </cell>
        </row>
        <row r="241">
          <cell r="J241">
            <v>0.18</v>
          </cell>
          <cell r="L241">
            <v>0.51</v>
          </cell>
          <cell r="P241">
            <v>217</v>
          </cell>
        </row>
        <row r="242">
          <cell r="J242">
            <v>0.18</v>
          </cell>
          <cell r="L242">
            <v>0.51</v>
          </cell>
          <cell r="P242">
            <v>130</v>
          </cell>
        </row>
        <row r="243">
          <cell r="J243">
            <v>0.2</v>
          </cell>
          <cell r="L243">
            <v>0.51</v>
          </cell>
          <cell r="P243">
            <v>54</v>
          </cell>
        </row>
        <row r="244">
          <cell r="J244">
            <v>0.2</v>
          </cell>
          <cell r="L244">
            <v>0.47</v>
          </cell>
          <cell r="P244">
            <v>35</v>
          </cell>
        </row>
        <row r="245">
          <cell r="J245">
            <v>0.2</v>
          </cell>
          <cell r="L245">
            <v>0.51</v>
          </cell>
          <cell r="P245">
            <v>57</v>
          </cell>
        </row>
        <row r="246">
          <cell r="J246">
            <v>0.2</v>
          </cell>
          <cell r="L246">
            <v>0.59</v>
          </cell>
          <cell r="P246">
            <v>52</v>
          </cell>
        </row>
        <row r="247">
          <cell r="J247">
            <v>0.2</v>
          </cell>
          <cell r="L247">
            <v>0.59</v>
          </cell>
          <cell r="P247">
            <v>63</v>
          </cell>
        </row>
        <row r="248">
          <cell r="J248">
            <v>0.16</v>
          </cell>
          <cell r="L248">
            <v>0.8</v>
          </cell>
          <cell r="P248">
            <v>47</v>
          </cell>
        </row>
        <row r="249">
          <cell r="J249">
            <v>0.16</v>
          </cell>
          <cell r="L249">
            <v>0.86</v>
          </cell>
          <cell r="P249">
            <v>76</v>
          </cell>
        </row>
        <row r="250">
          <cell r="J250">
            <v>0.16</v>
          </cell>
          <cell r="L250">
            <v>0.86</v>
          </cell>
          <cell r="P250">
            <v>136</v>
          </cell>
        </row>
        <row r="251">
          <cell r="J251">
            <v>0.16</v>
          </cell>
          <cell r="L251">
            <v>0.93</v>
          </cell>
          <cell r="P251">
            <v>95</v>
          </cell>
        </row>
        <row r="252">
          <cell r="J252">
            <v>0.16</v>
          </cell>
          <cell r="L252">
            <v>0.93</v>
          </cell>
          <cell r="P252">
            <v>51</v>
          </cell>
        </row>
        <row r="253">
          <cell r="J253">
            <v>0.16</v>
          </cell>
          <cell r="L253">
            <v>0.93</v>
          </cell>
          <cell r="P253">
            <v>32</v>
          </cell>
        </row>
        <row r="254">
          <cell r="J254">
            <v>0.16</v>
          </cell>
          <cell r="L254">
            <v>0.86</v>
          </cell>
          <cell r="P254">
            <v>20</v>
          </cell>
        </row>
        <row r="255">
          <cell r="J255">
            <v>0.16</v>
          </cell>
          <cell r="L255">
            <v>0.93</v>
          </cell>
          <cell r="P255">
            <v>29</v>
          </cell>
        </row>
        <row r="256">
          <cell r="J256">
            <v>0.16</v>
          </cell>
          <cell r="L256">
            <v>0.93</v>
          </cell>
          <cell r="P256">
            <v>19</v>
          </cell>
        </row>
        <row r="257">
          <cell r="J257">
            <v>0.16</v>
          </cell>
          <cell r="L257">
            <v>0.86</v>
          </cell>
          <cell r="P257">
            <v>7</v>
          </cell>
        </row>
        <row r="258">
          <cell r="J258">
            <v>0.16</v>
          </cell>
          <cell r="L258">
            <v>0.86</v>
          </cell>
          <cell r="P258">
            <v>6</v>
          </cell>
        </row>
        <row r="259">
          <cell r="J259">
            <v>0.14000000000000001</v>
          </cell>
          <cell r="L259">
            <v>0.86</v>
          </cell>
          <cell r="P259">
            <v>1</v>
          </cell>
        </row>
        <row r="260">
          <cell r="J260">
            <v>0.14000000000000001</v>
          </cell>
          <cell r="L260">
            <v>0.86</v>
          </cell>
          <cell r="P260">
            <v>5</v>
          </cell>
        </row>
        <row r="261">
          <cell r="J261">
            <v>0.12</v>
          </cell>
          <cell r="L261">
            <v>0.93</v>
          </cell>
          <cell r="P261">
            <v>16</v>
          </cell>
        </row>
        <row r="262">
          <cell r="J262">
            <v>0.14000000000000001</v>
          </cell>
          <cell r="L262">
            <v>0.69</v>
          </cell>
          <cell r="P262">
            <v>54</v>
          </cell>
        </row>
        <row r="263">
          <cell r="J263">
            <v>0.16</v>
          </cell>
          <cell r="L263">
            <v>0.59</v>
          </cell>
          <cell r="P263">
            <v>128</v>
          </cell>
        </row>
        <row r="264">
          <cell r="J264">
            <v>0.16</v>
          </cell>
          <cell r="L264">
            <v>0.59</v>
          </cell>
          <cell r="P264">
            <v>81</v>
          </cell>
        </row>
        <row r="265">
          <cell r="J265">
            <v>0.18</v>
          </cell>
          <cell r="L265">
            <v>0.55000000000000004</v>
          </cell>
          <cell r="P265">
            <v>39</v>
          </cell>
        </row>
        <row r="266">
          <cell r="J266">
            <v>0.2</v>
          </cell>
          <cell r="L266">
            <v>0.51</v>
          </cell>
          <cell r="P266">
            <v>35</v>
          </cell>
        </row>
        <row r="267">
          <cell r="J267">
            <v>0.2</v>
          </cell>
          <cell r="L267">
            <v>0.47</v>
          </cell>
          <cell r="P267">
            <v>55</v>
          </cell>
        </row>
        <row r="268">
          <cell r="J268">
            <v>0.22</v>
          </cell>
          <cell r="L268">
            <v>0.44</v>
          </cell>
          <cell r="P268">
            <v>49</v>
          </cell>
        </row>
        <row r="269">
          <cell r="J269">
            <v>0.2</v>
          </cell>
          <cell r="L269">
            <v>0.47</v>
          </cell>
          <cell r="P269">
            <v>44</v>
          </cell>
        </row>
        <row r="270">
          <cell r="J270">
            <v>0.2</v>
          </cell>
          <cell r="L270">
            <v>0.47</v>
          </cell>
          <cell r="P270">
            <v>49</v>
          </cell>
        </row>
        <row r="271">
          <cell r="J271">
            <v>0.22</v>
          </cell>
          <cell r="L271">
            <v>0.44</v>
          </cell>
          <cell r="P271">
            <v>68</v>
          </cell>
        </row>
        <row r="272">
          <cell r="J272">
            <v>0.2</v>
          </cell>
          <cell r="L272">
            <v>0.47</v>
          </cell>
          <cell r="P272">
            <v>139</v>
          </cell>
        </row>
        <row r="273">
          <cell r="J273">
            <v>0.2</v>
          </cell>
          <cell r="L273">
            <v>0.47</v>
          </cell>
          <cell r="P273">
            <v>137</v>
          </cell>
        </row>
        <row r="274">
          <cell r="J274">
            <v>0.18</v>
          </cell>
          <cell r="L274">
            <v>0.47</v>
          </cell>
          <cell r="P274">
            <v>83</v>
          </cell>
        </row>
        <row r="275">
          <cell r="J275">
            <v>0.16</v>
          </cell>
          <cell r="L275">
            <v>0.5</v>
          </cell>
          <cell r="P275">
            <v>56</v>
          </cell>
        </row>
        <row r="276">
          <cell r="J276">
            <v>0.16</v>
          </cell>
          <cell r="L276">
            <v>0.55000000000000004</v>
          </cell>
          <cell r="P276">
            <v>57</v>
          </cell>
        </row>
        <row r="277">
          <cell r="J277">
            <v>0.16</v>
          </cell>
          <cell r="L277">
            <v>0.55000000000000004</v>
          </cell>
          <cell r="P277">
            <v>33</v>
          </cell>
        </row>
        <row r="278">
          <cell r="J278">
            <v>0.14000000000000001</v>
          </cell>
          <cell r="L278">
            <v>0.59</v>
          </cell>
          <cell r="P278">
            <v>20</v>
          </cell>
        </row>
        <row r="279">
          <cell r="J279">
            <v>0.14000000000000001</v>
          </cell>
          <cell r="L279">
            <v>0.59</v>
          </cell>
          <cell r="P279">
            <v>7</v>
          </cell>
        </row>
        <row r="280">
          <cell r="J280">
            <v>0.14000000000000001</v>
          </cell>
          <cell r="L280">
            <v>0.5</v>
          </cell>
          <cell r="P280">
            <v>2</v>
          </cell>
        </row>
        <row r="281">
          <cell r="J281">
            <v>0.14000000000000001</v>
          </cell>
          <cell r="L281">
            <v>0.5</v>
          </cell>
          <cell r="P281">
            <v>2</v>
          </cell>
        </row>
        <row r="282">
          <cell r="J282">
            <v>0.14000000000000001</v>
          </cell>
          <cell r="L282">
            <v>0.5</v>
          </cell>
          <cell r="P282">
            <v>3</v>
          </cell>
        </row>
        <row r="283">
          <cell r="J283">
            <v>0.14000000000000001</v>
          </cell>
          <cell r="L283">
            <v>0.5</v>
          </cell>
          <cell r="P283">
            <v>4</v>
          </cell>
        </row>
        <row r="284">
          <cell r="J284">
            <v>0.14000000000000001</v>
          </cell>
          <cell r="L284">
            <v>0.5</v>
          </cell>
          <cell r="P284">
            <v>3</v>
          </cell>
        </row>
        <row r="285">
          <cell r="J285">
            <v>0.12</v>
          </cell>
          <cell r="L285">
            <v>0.54</v>
          </cell>
          <cell r="P285">
            <v>28</v>
          </cell>
        </row>
        <row r="286">
          <cell r="J286">
            <v>0.12</v>
          </cell>
          <cell r="L286">
            <v>0.54</v>
          </cell>
          <cell r="P286">
            <v>72</v>
          </cell>
        </row>
        <row r="287">
          <cell r="J287">
            <v>0.14000000000000001</v>
          </cell>
          <cell r="L287">
            <v>0.5</v>
          </cell>
          <cell r="P287">
            <v>202</v>
          </cell>
        </row>
        <row r="288">
          <cell r="J288">
            <v>0.14000000000000001</v>
          </cell>
          <cell r="L288">
            <v>0.5</v>
          </cell>
          <cell r="P288">
            <v>139</v>
          </cell>
        </row>
        <row r="289">
          <cell r="J289">
            <v>0.16</v>
          </cell>
          <cell r="L289">
            <v>0.5</v>
          </cell>
          <cell r="P289">
            <v>38</v>
          </cell>
        </row>
        <row r="290">
          <cell r="J290">
            <v>0.2</v>
          </cell>
          <cell r="L290">
            <v>0.44</v>
          </cell>
          <cell r="P290">
            <v>37</v>
          </cell>
        </row>
        <row r="291">
          <cell r="J291">
            <v>0.2</v>
          </cell>
          <cell r="L291">
            <v>0.44</v>
          </cell>
          <cell r="P291">
            <v>52</v>
          </cell>
        </row>
        <row r="292">
          <cell r="J292">
            <v>0.22</v>
          </cell>
          <cell r="L292">
            <v>0.41</v>
          </cell>
          <cell r="P292">
            <v>83</v>
          </cell>
        </row>
        <row r="293">
          <cell r="J293">
            <v>0.22</v>
          </cell>
          <cell r="L293">
            <v>0.41</v>
          </cell>
          <cell r="P293">
            <v>42</v>
          </cell>
        </row>
        <row r="294">
          <cell r="J294">
            <v>0.24</v>
          </cell>
          <cell r="L294">
            <v>0.38</v>
          </cell>
          <cell r="P294">
            <v>60</v>
          </cell>
        </row>
        <row r="295">
          <cell r="J295">
            <v>0.24</v>
          </cell>
          <cell r="L295">
            <v>0.38</v>
          </cell>
          <cell r="P295">
            <v>78</v>
          </cell>
        </row>
        <row r="296">
          <cell r="J296">
            <v>0.2</v>
          </cell>
          <cell r="L296">
            <v>0.4</v>
          </cell>
          <cell r="P296">
            <v>162</v>
          </cell>
        </row>
        <row r="297">
          <cell r="J297">
            <v>0.2</v>
          </cell>
          <cell r="L297">
            <v>0.4</v>
          </cell>
          <cell r="P297">
            <v>144</v>
          </cell>
        </row>
        <row r="298">
          <cell r="J298">
            <v>0.16</v>
          </cell>
          <cell r="L298">
            <v>0.47</v>
          </cell>
          <cell r="P298">
            <v>99</v>
          </cell>
        </row>
        <row r="299">
          <cell r="J299">
            <v>0.16</v>
          </cell>
          <cell r="L299">
            <v>0.47</v>
          </cell>
          <cell r="P299">
            <v>64</v>
          </cell>
        </row>
        <row r="300">
          <cell r="J300">
            <v>0.14000000000000001</v>
          </cell>
          <cell r="L300">
            <v>0.46</v>
          </cell>
          <cell r="P300">
            <v>40</v>
          </cell>
        </row>
        <row r="301">
          <cell r="J301">
            <v>0.14000000000000001</v>
          </cell>
          <cell r="L301">
            <v>0.46</v>
          </cell>
          <cell r="P301">
            <v>30</v>
          </cell>
        </row>
        <row r="302">
          <cell r="J302">
            <v>0.12</v>
          </cell>
          <cell r="L302">
            <v>0.5</v>
          </cell>
          <cell r="P302">
            <v>15</v>
          </cell>
        </row>
        <row r="303">
          <cell r="J303">
            <v>0.12</v>
          </cell>
          <cell r="L303">
            <v>0.5</v>
          </cell>
          <cell r="P303">
            <v>14</v>
          </cell>
        </row>
        <row r="304">
          <cell r="J304">
            <v>0.1</v>
          </cell>
          <cell r="L304">
            <v>0.54</v>
          </cell>
          <cell r="P304">
            <v>5</v>
          </cell>
        </row>
        <row r="305">
          <cell r="J305">
            <v>0.1</v>
          </cell>
          <cell r="L305">
            <v>0.54</v>
          </cell>
          <cell r="P305">
            <v>1</v>
          </cell>
        </row>
        <row r="306">
          <cell r="J306">
            <v>0.1</v>
          </cell>
          <cell r="L306">
            <v>0.54</v>
          </cell>
          <cell r="P306">
            <v>1</v>
          </cell>
        </row>
        <row r="307">
          <cell r="J307">
            <v>0.1</v>
          </cell>
          <cell r="L307">
            <v>0.54</v>
          </cell>
          <cell r="P307">
            <v>8</v>
          </cell>
        </row>
        <row r="308">
          <cell r="J308">
            <v>0.1</v>
          </cell>
          <cell r="L308">
            <v>0.54</v>
          </cell>
          <cell r="P308">
            <v>17</v>
          </cell>
        </row>
        <row r="309">
          <cell r="J309">
            <v>0.1</v>
          </cell>
          <cell r="L309">
            <v>0.74</v>
          </cell>
          <cell r="P309">
            <v>70</v>
          </cell>
        </row>
        <row r="310">
          <cell r="J310">
            <v>0.12</v>
          </cell>
          <cell r="L310">
            <v>0.68</v>
          </cell>
          <cell r="P310">
            <v>158</v>
          </cell>
        </row>
        <row r="311">
          <cell r="J311">
            <v>0.14000000000000001</v>
          </cell>
          <cell r="L311">
            <v>0.69</v>
          </cell>
          <cell r="P311">
            <v>117</v>
          </cell>
        </row>
        <row r="312">
          <cell r="J312">
            <v>0.18</v>
          </cell>
          <cell r="L312">
            <v>0.55000000000000004</v>
          </cell>
          <cell r="P312">
            <v>44</v>
          </cell>
        </row>
        <row r="313">
          <cell r="J313">
            <v>0.18</v>
          </cell>
          <cell r="L313">
            <v>0.51</v>
          </cell>
          <cell r="P313">
            <v>53</v>
          </cell>
        </row>
        <row r="314">
          <cell r="J314">
            <v>0.2</v>
          </cell>
          <cell r="L314">
            <v>0.44</v>
          </cell>
          <cell r="P314">
            <v>61</v>
          </cell>
        </row>
        <row r="315">
          <cell r="J315">
            <v>0.22</v>
          </cell>
          <cell r="L315">
            <v>0.37</v>
          </cell>
          <cell r="P315">
            <v>77</v>
          </cell>
        </row>
        <row r="316">
          <cell r="J316">
            <v>0.22</v>
          </cell>
          <cell r="L316">
            <v>0.41</v>
          </cell>
          <cell r="P316">
            <v>64</v>
          </cell>
        </row>
        <row r="317">
          <cell r="J317">
            <v>0.24</v>
          </cell>
          <cell r="L317">
            <v>0.38</v>
          </cell>
          <cell r="P317">
            <v>68</v>
          </cell>
        </row>
        <row r="318">
          <cell r="J318">
            <v>0.22</v>
          </cell>
          <cell r="L318">
            <v>0.41</v>
          </cell>
          <cell r="P318">
            <v>90</v>
          </cell>
        </row>
        <row r="319">
          <cell r="J319">
            <v>0.22</v>
          </cell>
          <cell r="L319">
            <v>0.41</v>
          </cell>
          <cell r="P319">
            <v>159</v>
          </cell>
        </row>
        <row r="320">
          <cell r="J320">
            <v>0.2</v>
          </cell>
          <cell r="L320">
            <v>0.47</v>
          </cell>
          <cell r="P320">
            <v>139</v>
          </cell>
        </row>
        <row r="321">
          <cell r="J321">
            <v>0.16</v>
          </cell>
          <cell r="L321">
            <v>0.59</v>
          </cell>
          <cell r="P321">
            <v>92</v>
          </cell>
        </row>
        <row r="322">
          <cell r="J322">
            <v>0.18</v>
          </cell>
          <cell r="L322">
            <v>0.59</v>
          </cell>
          <cell r="P322">
            <v>68</v>
          </cell>
        </row>
        <row r="323">
          <cell r="J323">
            <v>0.16</v>
          </cell>
          <cell r="L323">
            <v>0.69</v>
          </cell>
          <cell r="P323">
            <v>52</v>
          </cell>
        </row>
        <row r="324">
          <cell r="J324">
            <v>0.16</v>
          </cell>
          <cell r="L324">
            <v>0.69</v>
          </cell>
          <cell r="P324">
            <v>36</v>
          </cell>
        </row>
        <row r="325">
          <cell r="J325">
            <v>0.18</v>
          </cell>
          <cell r="L325">
            <v>0.55000000000000004</v>
          </cell>
          <cell r="P325">
            <v>27</v>
          </cell>
        </row>
        <row r="326">
          <cell r="J326">
            <v>0.18</v>
          </cell>
          <cell r="L326">
            <v>0.55000000000000004</v>
          </cell>
          <cell r="P326">
            <v>28</v>
          </cell>
        </row>
        <row r="327">
          <cell r="J327">
            <v>0.16</v>
          </cell>
          <cell r="L327">
            <v>0.59</v>
          </cell>
          <cell r="P327">
            <v>20</v>
          </cell>
        </row>
        <row r="328">
          <cell r="J328">
            <v>0.16</v>
          </cell>
          <cell r="L328">
            <v>0.59</v>
          </cell>
          <cell r="P328">
            <v>12</v>
          </cell>
        </row>
        <row r="329">
          <cell r="J329">
            <v>0.16</v>
          </cell>
          <cell r="L329">
            <v>0.59</v>
          </cell>
          <cell r="P329">
            <v>8</v>
          </cell>
        </row>
        <row r="330">
          <cell r="J330">
            <v>0.16</v>
          </cell>
          <cell r="L330">
            <v>0.59</v>
          </cell>
          <cell r="P330">
            <v>5</v>
          </cell>
        </row>
        <row r="331">
          <cell r="J331">
            <v>0.16</v>
          </cell>
          <cell r="L331">
            <v>0.59</v>
          </cell>
          <cell r="P331">
            <v>1</v>
          </cell>
        </row>
        <row r="332">
          <cell r="J332">
            <v>0.14000000000000001</v>
          </cell>
          <cell r="L332">
            <v>0.63</v>
          </cell>
          <cell r="P332">
            <v>3</v>
          </cell>
        </row>
        <row r="333">
          <cell r="J333">
            <v>0.14000000000000001</v>
          </cell>
          <cell r="L333">
            <v>0.63</v>
          </cell>
          <cell r="P333">
            <v>10</v>
          </cell>
        </row>
        <row r="334">
          <cell r="J334">
            <v>0.14000000000000001</v>
          </cell>
          <cell r="L334">
            <v>0.63</v>
          </cell>
          <cell r="P334">
            <v>23</v>
          </cell>
        </row>
        <row r="335">
          <cell r="J335">
            <v>0.16</v>
          </cell>
          <cell r="L335">
            <v>0.64</v>
          </cell>
          <cell r="P335">
            <v>33</v>
          </cell>
        </row>
        <row r="336">
          <cell r="J336">
            <v>0.18</v>
          </cell>
          <cell r="L336">
            <v>0.59</v>
          </cell>
          <cell r="P336">
            <v>59</v>
          </cell>
        </row>
        <row r="337">
          <cell r="J337">
            <v>0.2</v>
          </cell>
          <cell r="L337">
            <v>0.55000000000000004</v>
          </cell>
          <cell r="P337">
            <v>72</v>
          </cell>
        </row>
        <row r="338">
          <cell r="J338">
            <v>0.24</v>
          </cell>
          <cell r="L338">
            <v>0.48</v>
          </cell>
          <cell r="P338">
            <v>89</v>
          </cell>
        </row>
        <row r="339">
          <cell r="J339">
            <v>0.28000000000000003</v>
          </cell>
          <cell r="L339">
            <v>0.38</v>
          </cell>
          <cell r="P339">
            <v>101</v>
          </cell>
        </row>
        <row r="340">
          <cell r="J340">
            <v>0.3</v>
          </cell>
          <cell r="L340">
            <v>0.39</v>
          </cell>
          <cell r="P340">
            <v>118</v>
          </cell>
        </row>
        <row r="341">
          <cell r="J341">
            <v>0.32</v>
          </cell>
          <cell r="L341">
            <v>0.36</v>
          </cell>
          <cell r="P341">
            <v>129</v>
          </cell>
        </row>
        <row r="342">
          <cell r="J342">
            <v>0.34</v>
          </cell>
          <cell r="L342">
            <v>0.34</v>
          </cell>
          <cell r="P342">
            <v>128</v>
          </cell>
        </row>
        <row r="343">
          <cell r="J343">
            <v>0.32</v>
          </cell>
          <cell r="L343">
            <v>0.36</v>
          </cell>
          <cell r="P343">
            <v>83</v>
          </cell>
        </row>
        <row r="344">
          <cell r="J344">
            <v>0.3</v>
          </cell>
          <cell r="L344">
            <v>0.45</v>
          </cell>
          <cell r="P344">
            <v>84</v>
          </cell>
        </row>
        <row r="345">
          <cell r="J345">
            <v>0.32</v>
          </cell>
          <cell r="L345">
            <v>0.39</v>
          </cell>
          <cell r="P345">
            <v>74</v>
          </cell>
        </row>
        <row r="346">
          <cell r="J346">
            <v>0.32</v>
          </cell>
          <cell r="L346">
            <v>0.39</v>
          </cell>
          <cell r="P346">
            <v>41</v>
          </cell>
        </row>
        <row r="347">
          <cell r="J347">
            <v>0.32</v>
          </cell>
          <cell r="L347">
            <v>0.39</v>
          </cell>
          <cell r="P347">
            <v>57</v>
          </cell>
        </row>
        <row r="348">
          <cell r="J348">
            <v>0.3</v>
          </cell>
          <cell r="L348">
            <v>0.42</v>
          </cell>
          <cell r="P348">
            <v>26</v>
          </cell>
        </row>
        <row r="349">
          <cell r="J349">
            <v>0.3</v>
          </cell>
          <cell r="L349">
            <v>0.45</v>
          </cell>
          <cell r="P349">
            <v>44</v>
          </cell>
        </row>
        <row r="350">
          <cell r="J350">
            <v>0.26</v>
          </cell>
          <cell r="L350">
            <v>0.56000000000000005</v>
          </cell>
          <cell r="P350">
            <v>39</v>
          </cell>
        </row>
        <row r="351">
          <cell r="J351">
            <v>0.26</v>
          </cell>
          <cell r="L351">
            <v>0.56000000000000005</v>
          </cell>
          <cell r="P351">
            <v>23</v>
          </cell>
        </row>
        <row r="352">
          <cell r="J352">
            <v>0.26</v>
          </cell>
          <cell r="L352">
            <v>0.56000000000000005</v>
          </cell>
          <cell r="P352">
            <v>16</v>
          </cell>
        </row>
        <row r="353">
          <cell r="J353">
            <v>0.22</v>
          </cell>
          <cell r="L353">
            <v>0.69</v>
          </cell>
          <cell r="P353">
            <v>15</v>
          </cell>
        </row>
        <row r="354">
          <cell r="J354">
            <v>0.26</v>
          </cell>
          <cell r="L354">
            <v>0.56000000000000005</v>
          </cell>
          <cell r="P354">
            <v>1</v>
          </cell>
        </row>
        <row r="355">
          <cell r="J355">
            <v>0.26</v>
          </cell>
          <cell r="L355">
            <v>0.56000000000000005</v>
          </cell>
          <cell r="P355">
            <v>2</v>
          </cell>
        </row>
        <row r="356">
          <cell r="J356">
            <v>0.26</v>
          </cell>
          <cell r="L356">
            <v>0.56000000000000005</v>
          </cell>
          <cell r="P356">
            <v>1</v>
          </cell>
        </row>
        <row r="357">
          <cell r="J357">
            <v>0.24</v>
          </cell>
          <cell r="L357">
            <v>0.56000000000000005</v>
          </cell>
          <cell r="P357">
            <v>3</v>
          </cell>
        </row>
        <row r="358">
          <cell r="J358">
            <v>0.22</v>
          </cell>
          <cell r="L358">
            <v>0.55000000000000004</v>
          </cell>
          <cell r="P358">
            <v>18</v>
          </cell>
        </row>
        <row r="359">
          <cell r="J359">
            <v>0.22</v>
          </cell>
          <cell r="L359">
            <v>0.51</v>
          </cell>
          <cell r="P359">
            <v>32</v>
          </cell>
        </row>
        <row r="360">
          <cell r="J360">
            <v>0.22</v>
          </cell>
          <cell r="L360">
            <v>0.51</v>
          </cell>
          <cell r="P360">
            <v>79</v>
          </cell>
        </row>
        <row r="361">
          <cell r="J361">
            <v>0.24</v>
          </cell>
          <cell r="L361">
            <v>0.44</v>
          </cell>
          <cell r="P361">
            <v>93</v>
          </cell>
        </row>
        <row r="362">
          <cell r="J362">
            <v>0.24</v>
          </cell>
          <cell r="L362">
            <v>0.41</v>
          </cell>
          <cell r="P362">
            <v>104</v>
          </cell>
        </row>
        <row r="363">
          <cell r="J363">
            <v>0.26</v>
          </cell>
          <cell r="L363">
            <v>0.35</v>
          </cell>
          <cell r="P363">
            <v>118</v>
          </cell>
        </row>
        <row r="364">
          <cell r="J364">
            <v>0.28000000000000003</v>
          </cell>
          <cell r="L364">
            <v>0.36</v>
          </cell>
          <cell r="P364">
            <v>91</v>
          </cell>
        </row>
        <row r="365">
          <cell r="J365">
            <v>0.26</v>
          </cell>
          <cell r="L365">
            <v>0.38</v>
          </cell>
          <cell r="P365">
            <v>113</v>
          </cell>
        </row>
        <row r="366">
          <cell r="J366">
            <v>0.24</v>
          </cell>
          <cell r="L366">
            <v>0.38</v>
          </cell>
          <cell r="P366">
            <v>99</v>
          </cell>
        </row>
        <row r="367">
          <cell r="J367">
            <v>0.22</v>
          </cell>
          <cell r="L367">
            <v>0.37</v>
          </cell>
          <cell r="P367">
            <v>105</v>
          </cell>
        </row>
        <row r="368">
          <cell r="J368">
            <v>0.2</v>
          </cell>
          <cell r="L368">
            <v>0.4</v>
          </cell>
          <cell r="P368">
            <v>67</v>
          </cell>
        </row>
        <row r="369">
          <cell r="J369">
            <v>0.18</v>
          </cell>
          <cell r="L369">
            <v>0.47</v>
          </cell>
          <cell r="P369">
            <v>61</v>
          </cell>
        </row>
        <row r="370">
          <cell r="J370">
            <v>0.18</v>
          </cell>
          <cell r="L370">
            <v>0.47</v>
          </cell>
          <cell r="P370">
            <v>57</v>
          </cell>
        </row>
        <row r="371">
          <cell r="J371">
            <v>0.18</v>
          </cell>
          <cell r="L371">
            <v>0.51</v>
          </cell>
          <cell r="P371">
            <v>28</v>
          </cell>
        </row>
        <row r="372">
          <cell r="J372">
            <v>0.2</v>
          </cell>
          <cell r="L372">
            <v>0.49</v>
          </cell>
          <cell r="P372">
            <v>21</v>
          </cell>
        </row>
        <row r="373">
          <cell r="J373">
            <v>0.2</v>
          </cell>
          <cell r="L373">
            <v>0.4</v>
          </cell>
          <cell r="P373">
            <v>18</v>
          </cell>
        </row>
        <row r="374">
          <cell r="J374">
            <v>0.2</v>
          </cell>
          <cell r="L374">
            <v>0.47</v>
          </cell>
          <cell r="P374">
            <v>17</v>
          </cell>
        </row>
        <row r="375">
          <cell r="J375">
            <v>0.2</v>
          </cell>
          <cell r="L375">
            <v>0.44</v>
          </cell>
          <cell r="P375">
            <v>16</v>
          </cell>
        </row>
        <row r="376">
          <cell r="J376">
            <v>0.18</v>
          </cell>
          <cell r="L376">
            <v>0.43</v>
          </cell>
          <cell r="P376">
            <v>8</v>
          </cell>
        </row>
        <row r="377">
          <cell r="J377">
            <v>0.18</v>
          </cell>
          <cell r="L377">
            <v>0.43</v>
          </cell>
          <cell r="P377">
            <v>2</v>
          </cell>
        </row>
        <row r="378">
          <cell r="J378">
            <v>0.18</v>
          </cell>
          <cell r="L378">
            <v>0.43</v>
          </cell>
          <cell r="P378">
            <v>3</v>
          </cell>
        </row>
        <row r="379">
          <cell r="J379">
            <v>0.18</v>
          </cell>
          <cell r="L379">
            <v>0.43</v>
          </cell>
          <cell r="P379">
            <v>1</v>
          </cell>
        </row>
        <row r="380">
          <cell r="J380">
            <v>0.18</v>
          </cell>
          <cell r="L380">
            <v>0.43</v>
          </cell>
          <cell r="P380">
            <v>5</v>
          </cell>
        </row>
        <row r="381">
          <cell r="J381">
            <v>0.16</v>
          </cell>
          <cell r="L381">
            <v>0.5</v>
          </cell>
          <cell r="P381">
            <v>13</v>
          </cell>
        </row>
        <row r="382">
          <cell r="J382">
            <v>0.16</v>
          </cell>
          <cell r="L382">
            <v>0.47</v>
          </cell>
          <cell r="P382">
            <v>33</v>
          </cell>
        </row>
        <row r="383">
          <cell r="J383">
            <v>0.16</v>
          </cell>
          <cell r="L383">
            <v>0.47</v>
          </cell>
          <cell r="P383">
            <v>47</v>
          </cell>
        </row>
        <row r="384">
          <cell r="J384">
            <v>0.16</v>
          </cell>
          <cell r="L384">
            <v>0.5</v>
          </cell>
          <cell r="P384">
            <v>57</v>
          </cell>
        </row>
        <row r="385">
          <cell r="J385">
            <v>0.16</v>
          </cell>
          <cell r="L385">
            <v>0.55000000000000004</v>
          </cell>
          <cell r="P385">
            <v>64</v>
          </cell>
        </row>
        <row r="386">
          <cell r="J386">
            <v>0.18</v>
          </cell>
          <cell r="L386">
            <v>0.47</v>
          </cell>
          <cell r="P386">
            <v>80</v>
          </cell>
        </row>
        <row r="387">
          <cell r="J387">
            <v>0.18</v>
          </cell>
          <cell r="L387">
            <v>0.47</v>
          </cell>
          <cell r="P387">
            <v>93</v>
          </cell>
        </row>
        <row r="388">
          <cell r="J388">
            <v>0.18</v>
          </cell>
          <cell r="L388">
            <v>0.43</v>
          </cell>
          <cell r="P388">
            <v>86</v>
          </cell>
        </row>
        <row r="389">
          <cell r="J389">
            <v>0.2</v>
          </cell>
          <cell r="L389">
            <v>0.47</v>
          </cell>
          <cell r="P389">
            <v>93</v>
          </cell>
        </row>
        <row r="390">
          <cell r="J390">
            <v>0.2</v>
          </cell>
          <cell r="L390">
            <v>0.47</v>
          </cell>
          <cell r="P390">
            <v>82</v>
          </cell>
        </row>
        <row r="391">
          <cell r="J391">
            <v>0.2</v>
          </cell>
          <cell r="L391">
            <v>0.51</v>
          </cell>
          <cell r="P391">
            <v>71</v>
          </cell>
        </row>
        <row r="392">
          <cell r="J392">
            <v>0.18</v>
          </cell>
          <cell r="L392">
            <v>0.55000000000000004</v>
          </cell>
          <cell r="P392">
            <v>92</v>
          </cell>
        </row>
        <row r="393">
          <cell r="J393">
            <v>0.18</v>
          </cell>
          <cell r="L393">
            <v>0.59</v>
          </cell>
          <cell r="P393">
            <v>60</v>
          </cell>
        </row>
        <row r="394">
          <cell r="J394">
            <v>0.16</v>
          </cell>
          <cell r="L394">
            <v>0.8</v>
          </cell>
          <cell r="P394">
            <v>33</v>
          </cell>
        </row>
        <row r="395">
          <cell r="J395">
            <v>0.16</v>
          </cell>
          <cell r="L395">
            <v>0.8</v>
          </cell>
          <cell r="P395">
            <v>27</v>
          </cell>
        </row>
        <row r="396">
          <cell r="J396">
            <v>0.14000000000000001</v>
          </cell>
          <cell r="L396">
            <v>0.93</v>
          </cell>
          <cell r="P396">
            <v>13</v>
          </cell>
        </row>
        <row r="397">
          <cell r="J397">
            <v>0.16</v>
          </cell>
          <cell r="L397">
            <v>0.86</v>
          </cell>
          <cell r="P397">
            <v>4</v>
          </cell>
        </row>
        <row r="398">
          <cell r="J398">
            <v>0.2</v>
          </cell>
          <cell r="L398">
            <v>0.86</v>
          </cell>
          <cell r="P398">
            <v>3</v>
          </cell>
        </row>
        <row r="399">
          <cell r="J399">
            <v>0.2</v>
          </cell>
          <cell r="L399">
            <v>0.86</v>
          </cell>
          <cell r="P399">
            <v>22</v>
          </cell>
        </row>
        <row r="400">
          <cell r="J400">
            <v>0.22</v>
          </cell>
          <cell r="L400">
            <v>0.8</v>
          </cell>
          <cell r="P400">
            <v>28</v>
          </cell>
        </row>
        <row r="401">
          <cell r="J401">
            <v>0.22</v>
          </cell>
          <cell r="L401">
            <v>0.87</v>
          </cell>
          <cell r="P401">
            <v>35</v>
          </cell>
        </row>
        <row r="402">
          <cell r="J402">
            <v>0.22</v>
          </cell>
          <cell r="L402">
            <v>0.87</v>
          </cell>
          <cell r="P402">
            <v>61</v>
          </cell>
        </row>
        <row r="403">
          <cell r="J403">
            <v>0.22</v>
          </cell>
          <cell r="L403">
            <v>0.82</v>
          </cell>
          <cell r="P403">
            <v>125</v>
          </cell>
        </row>
        <row r="404">
          <cell r="J404">
            <v>0.22</v>
          </cell>
          <cell r="L404">
            <v>0.8</v>
          </cell>
          <cell r="P404">
            <v>133</v>
          </cell>
        </row>
        <row r="405">
          <cell r="J405">
            <v>0.22</v>
          </cell>
          <cell r="L405">
            <v>0.8</v>
          </cell>
          <cell r="P405">
            <v>99</v>
          </cell>
        </row>
        <row r="406">
          <cell r="J406">
            <v>0.22</v>
          </cell>
          <cell r="L406">
            <v>0.87</v>
          </cell>
          <cell r="P406">
            <v>83</v>
          </cell>
        </row>
        <row r="407">
          <cell r="J407">
            <v>0.22</v>
          </cell>
          <cell r="L407">
            <v>0.93</v>
          </cell>
          <cell r="P407">
            <v>41</v>
          </cell>
        </row>
        <row r="408">
          <cell r="J408">
            <v>0.22</v>
          </cell>
          <cell r="L408">
            <v>0.93</v>
          </cell>
          <cell r="P408">
            <v>33</v>
          </cell>
        </row>
        <row r="409">
          <cell r="J409">
            <v>0.22</v>
          </cell>
          <cell r="L409">
            <v>0.93</v>
          </cell>
          <cell r="P409">
            <v>20</v>
          </cell>
        </row>
        <row r="410">
          <cell r="J410">
            <v>0.22</v>
          </cell>
          <cell r="L410">
            <v>0.93</v>
          </cell>
          <cell r="P410">
            <v>3</v>
          </cell>
        </row>
        <row r="411">
          <cell r="J411">
            <v>0.22</v>
          </cell>
          <cell r="L411">
            <v>0.93</v>
          </cell>
          <cell r="P411">
            <v>7</v>
          </cell>
        </row>
        <row r="412">
          <cell r="J412">
            <v>0.22</v>
          </cell>
          <cell r="L412">
            <v>0.93</v>
          </cell>
          <cell r="P412">
            <v>3</v>
          </cell>
        </row>
        <row r="413">
          <cell r="J413">
            <v>0.22</v>
          </cell>
          <cell r="L413">
            <v>0.93</v>
          </cell>
          <cell r="P413">
            <v>2</v>
          </cell>
        </row>
        <row r="414">
          <cell r="J414">
            <v>0.22</v>
          </cell>
          <cell r="L414">
            <v>0.93</v>
          </cell>
          <cell r="P414">
            <v>7</v>
          </cell>
        </row>
        <row r="415">
          <cell r="J415">
            <v>0.22</v>
          </cell>
          <cell r="L415">
            <v>0.93</v>
          </cell>
          <cell r="P415">
            <v>32</v>
          </cell>
        </row>
        <row r="416">
          <cell r="J416">
            <v>0.24</v>
          </cell>
          <cell r="L416">
            <v>0.92</v>
          </cell>
          <cell r="P416">
            <v>90</v>
          </cell>
        </row>
        <row r="417">
          <cell r="J417">
            <v>0.24</v>
          </cell>
          <cell r="L417">
            <v>0.93</v>
          </cell>
          <cell r="P417">
            <v>197</v>
          </cell>
        </row>
        <row r="418">
          <cell r="J418">
            <v>0.24</v>
          </cell>
          <cell r="L418">
            <v>0.93</v>
          </cell>
          <cell r="P418">
            <v>109</v>
          </cell>
        </row>
        <row r="419">
          <cell r="J419">
            <v>0.26</v>
          </cell>
          <cell r="L419">
            <v>0.93</v>
          </cell>
          <cell r="P419">
            <v>47</v>
          </cell>
        </row>
        <row r="420">
          <cell r="J420">
            <v>0.28000000000000003</v>
          </cell>
          <cell r="L420">
            <v>0.87</v>
          </cell>
          <cell r="P420">
            <v>52</v>
          </cell>
        </row>
        <row r="421">
          <cell r="J421">
            <v>0.3</v>
          </cell>
          <cell r="L421">
            <v>0.81</v>
          </cell>
          <cell r="P421">
            <v>70</v>
          </cell>
        </row>
        <row r="422">
          <cell r="J422">
            <v>0.4</v>
          </cell>
          <cell r="L422">
            <v>0.62</v>
          </cell>
          <cell r="P422">
            <v>78</v>
          </cell>
        </row>
        <row r="423">
          <cell r="J423">
            <v>0.4</v>
          </cell>
          <cell r="L423">
            <v>0.57999999999999996</v>
          </cell>
          <cell r="P423">
            <v>75</v>
          </cell>
        </row>
        <row r="424">
          <cell r="J424">
            <v>0.4</v>
          </cell>
          <cell r="L424">
            <v>0.54</v>
          </cell>
          <cell r="P424">
            <v>82</v>
          </cell>
        </row>
        <row r="425">
          <cell r="J425">
            <v>0.38</v>
          </cell>
          <cell r="L425">
            <v>0.57999999999999996</v>
          </cell>
          <cell r="P425">
            <v>104</v>
          </cell>
        </row>
        <row r="426">
          <cell r="J426">
            <v>0.36</v>
          </cell>
          <cell r="L426">
            <v>0.56999999999999995</v>
          </cell>
          <cell r="P426">
            <v>197</v>
          </cell>
        </row>
        <row r="427">
          <cell r="J427">
            <v>0.34</v>
          </cell>
          <cell r="L427">
            <v>0.61</v>
          </cell>
          <cell r="P427">
            <v>161</v>
          </cell>
        </row>
        <row r="428">
          <cell r="J428">
            <v>0.32</v>
          </cell>
          <cell r="L428">
            <v>0.56999999999999995</v>
          </cell>
          <cell r="P428">
            <v>112</v>
          </cell>
        </row>
        <row r="429">
          <cell r="J429">
            <v>0.32</v>
          </cell>
          <cell r="L429">
            <v>0.49</v>
          </cell>
          <cell r="P429">
            <v>76</v>
          </cell>
        </row>
        <row r="430">
          <cell r="J430">
            <v>0.32</v>
          </cell>
          <cell r="L430">
            <v>0.49</v>
          </cell>
          <cell r="P430">
            <v>59</v>
          </cell>
        </row>
        <row r="431">
          <cell r="J431">
            <v>0.3</v>
          </cell>
          <cell r="L431">
            <v>0.52</v>
          </cell>
          <cell r="P431">
            <v>59</v>
          </cell>
        </row>
        <row r="432">
          <cell r="J432">
            <v>0.3</v>
          </cell>
          <cell r="L432">
            <v>0.52</v>
          </cell>
          <cell r="P432">
            <v>28</v>
          </cell>
        </row>
        <row r="433">
          <cell r="J433">
            <v>0.26</v>
          </cell>
          <cell r="L433">
            <v>0.56000000000000005</v>
          </cell>
          <cell r="P433">
            <v>13</v>
          </cell>
        </row>
        <row r="434">
          <cell r="J434">
            <v>0.26</v>
          </cell>
          <cell r="L434">
            <v>0.56000000000000005</v>
          </cell>
          <cell r="P434">
            <v>5</v>
          </cell>
        </row>
        <row r="435">
          <cell r="J435">
            <v>0.26</v>
          </cell>
          <cell r="L435">
            <v>0.56000000000000005</v>
          </cell>
          <cell r="P435">
            <v>2</v>
          </cell>
        </row>
        <row r="436">
          <cell r="J436">
            <v>0.26</v>
          </cell>
          <cell r="L436">
            <v>0.56000000000000005</v>
          </cell>
          <cell r="P436">
            <v>1</v>
          </cell>
        </row>
        <row r="437">
          <cell r="J437">
            <v>0.26</v>
          </cell>
          <cell r="L437">
            <v>0.56000000000000005</v>
          </cell>
          <cell r="P437">
            <v>1</v>
          </cell>
        </row>
        <row r="438">
          <cell r="J438">
            <v>0.24</v>
          </cell>
          <cell r="L438">
            <v>0.6</v>
          </cell>
          <cell r="P438">
            <v>6</v>
          </cell>
        </row>
        <row r="439">
          <cell r="J439">
            <v>0.22</v>
          </cell>
          <cell r="L439">
            <v>0.6</v>
          </cell>
          <cell r="P439">
            <v>35</v>
          </cell>
        </row>
        <row r="440">
          <cell r="J440">
            <v>0.22</v>
          </cell>
          <cell r="L440">
            <v>0.55000000000000004</v>
          </cell>
          <cell r="P440">
            <v>101</v>
          </cell>
        </row>
        <row r="441">
          <cell r="J441">
            <v>0.22</v>
          </cell>
          <cell r="L441">
            <v>0.55000000000000004</v>
          </cell>
          <cell r="P441">
            <v>249</v>
          </cell>
        </row>
        <row r="442">
          <cell r="J442">
            <v>0.24</v>
          </cell>
          <cell r="L442">
            <v>0.52</v>
          </cell>
          <cell r="P442">
            <v>143</v>
          </cell>
        </row>
        <row r="443">
          <cell r="J443">
            <v>0.26</v>
          </cell>
          <cell r="L443">
            <v>0.48</v>
          </cell>
          <cell r="P443">
            <v>57</v>
          </cell>
        </row>
        <row r="444">
          <cell r="J444">
            <v>0.28000000000000003</v>
          </cell>
          <cell r="L444">
            <v>0.45</v>
          </cell>
          <cell r="P444">
            <v>68</v>
          </cell>
        </row>
        <row r="445">
          <cell r="J445">
            <v>0.3</v>
          </cell>
          <cell r="L445">
            <v>0.42</v>
          </cell>
          <cell r="P445">
            <v>84</v>
          </cell>
        </row>
        <row r="446">
          <cell r="J446">
            <v>0.28000000000000003</v>
          </cell>
          <cell r="L446">
            <v>0.45</v>
          </cell>
          <cell r="P446">
            <v>98</v>
          </cell>
        </row>
        <row r="447">
          <cell r="J447">
            <v>0.3</v>
          </cell>
          <cell r="L447">
            <v>0.45</v>
          </cell>
          <cell r="P447">
            <v>81</v>
          </cell>
        </row>
        <row r="448">
          <cell r="J448">
            <v>0.32</v>
          </cell>
          <cell r="L448">
            <v>0.45</v>
          </cell>
          <cell r="P448">
            <v>70</v>
          </cell>
        </row>
        <row r="449">
          <cell r="J449">
            <v>0.3</v>
          </cell>
          <cell r="L449">
            <v>0.49</v>
          </cell>
          <cell r="P449">
            <v>91</v>
          </cell>
        </row>
        <row r="450">
          <cell r="J450">
            <v>0.3</v>
          </cell>
          <cell r="L450">
            <v>0.49</v>
          </cell>
          <cell r="P450">
            <v>215</v>
          </cell>
        </row>
        <row r="451">
          <cell r="J451">
            <v>0.26</v>
          </cell>
          <cell r="L451">
            <v>0.56000000000000005</v>
          </cell>
          <cell r="P451">
            <v>185</v>
          </cell>
        </row>
        <row r="452">
          <cell r="J452">
            <v>0.26</v>
          </cell>
          <cell r="L452">
            <v>0.56000000000000005</v>
          </cell>
          <cell r="P452">
            <v>152</v>
          </cell>
        </row>
        <row r="453">
          <cell r="J453">
            <v>0.26</v>
          </cell>
          <cell r="L453">
            <v>0.6</v>
          </cell>
          <cell r="P453">
            <v>126</v>
          </cell>
        </row>
        <row r="454">
          <cell r="J454">
            <v>0.24</v>
          </cell>
          <cell r="L454">
            <v>0.6</v>
          </cell>
          <cell r="P454">
            <v>57</v>
          </cell>
        </row>
        <row r="455">
          <cell r="J455">
            <v>0.24</v>
          </cell>
          <cell r="L455">
            <v>0.65</v>
          </cell>
          <cell r="P455">
            <v>56</v>
          </cell>
        </row>
        <row r="456">
          <cell r="J456">
            <v>0.24</v>
          </cell>
          <cell r="L456">
            <v>0.65</v>
          </cell>
          <cell r="P456">
            <v>31</v>
          </cell>
        </row>
        <row r="457">
          <cell r="J457">
            <v>0.24</v>
          </cell>
          <cell r="L457">
            <v>0.7</v>
          </cell>
          <cell r="P457">
            <v>21</v>
          </cell>
        </row>
        <row r="458">
          <cell r="J458">
            <v>0.24</v>
          </cell>
          <cell r="L458">
            <v>0.7</v>
          </cell>
          <cell r="P458">
            <v>6</v>
          </cell>
        </row>
        <row r="459">
          <cell r="J459">
            <v>0.24</v>
          </cell>
          <cell r="L459">
            <v>0.75</v>
          </cell>
          <cell r="P459">
            <v>2</v>
          </cell>
        </row>
        <row r="460">
          <cell r="J460">
            <v>0.22</v>
          </cell>
          <cell r="L460">
            <v>0.8</v>
          </cell>
          <cell r="P460">
            <v>1</v>
          </cell>
        </row>
        <row r="461">
          <cell r="J461">
            <v>0.22</v>
          </cell>
          <cell r="L461">
            <v>0.87</v>
          </cell>
          <cell r="P461">
            <v>1</v>
          </cell>
        </row>
        <row r="462">
          <cell r="J462">
            <v>0.24</v>
          </cell>
          <cell r="L462">
            <v>0.6</v>
          </cell>
          <cell r="P462">
            <v>5</v>
          </cell>
        </row>
        <row r="463">
          <cell r="J463">
            <v>0.22</v>
          </cell>
          <cell r="L463">
            <v>0.55000000000000004</v>
          </cell>
          <cell r="P463">
            <v>27</v>
          </cell>
        </row>
        <row r="464">
          <cell r="J464">
            <v>0.2</v>
          </cell>
          <cell r="L464">
            <v>0.51</v>
          </cell>
          <cell r="P464">
            <v>68</v>
          </cell>
        </row>
        <row r="465">
          <cell r="J465">
            <v>0.2</v>
          </cell>
          <cell r="L465">
            <v>0.47</v>
          </cell>
          <cell r="P465">
            <v>217</v>
          </cell>
        </row>
        <row r="466">
          <cell r="J466">
            <v>0.2</v>
          </cell>
          <cell r="L466">
            <v>0.51</v>
          </cell>
          <cell r="P466">
            <v>166</v>
          </cell>
        </row>
        <row r="467">
          <cell r="J467">
            <v>0.2</v>
          </cell>
          <cell r="L467">
            <v>0.47</v>
          </cell>
          <cell r="P467">
            <v>63</v>
          </cell>
        </row>
        <row r="468">
          <cell r="J468">
            <v>0.22</v>
          </cell>
          <cell r="L468">
            <v>0.41</v>
          </cell>
          <cell r="P468">
            <v>59</v>
          </cell>
        </row>
        <row r="469">
          <cell r="J469">
            <v>0.22</v>
          </cell>
          <cell r="L469">
            <v>0.27</v>
          </cell>
          <cell r="P469">
            <v>78</v>
          </cell>
        </row>
        <row r="470">
          <cell r="J470">
            <v>0.2</v>
          </cell>
          <cell r="L470">
            <v>0.21</v>
          </cell>
          <cell r="P470">
            <v>73</v>
          </cell>
        </row>
        <row r="471">
          <cell r="J471">
            <v>0.2</v>
          </cell>
          <cell r="L471">
            <v>0.25</v>
          </cell>
          <cell r="P471">
            <v>62</v>
          </cell>
        </row>
        <row r="472">
          <cell r="J472">
            <v>0.16</v>
          </cell>
          <cell r="L472">
            <v>0.26</v>
          </cell>
          <cell r="P472">
            <v>65</v>
          </cell>
        </row>
        <row r="473">
          <cell r="J473">
            <v>0.16</v>
          </cell>
          <cell r="L473">
            <v>0.26</v>
          </cell>
          <cell r="P473">
            <v>97</v>
          </cell>
        </row>
        <row r="474">
          <cell r="J474">
            <v>0.14000000000000001</v>
          </cell>
          <cell r="L474">
            <v>0.28000000000000003</v>
          </cell>
          <cell r="P474">
            <v>161</v>
          </cell>
        </row>
        <row r="475">
          <cell r="J475">
            <v>0.12</v>
          </cell>
          <cell r="L475">
            <v>0.3</v>
          </cell>
          <cell r="P475">
            <v>120</v>
          </cell>
        </row>
        <row r="476">
          <cell r="J476">
            <v>0.12</v>
          </cell>
          <cell r="L476">
            <v>0.3</v>
          </cell>
          <cell r="P476">
            <v>96</v>
          </cell>
        </row>
        <row r="477">
          <cell r="J477">
            <v>0.1</v>
          </cell>
          <cell r="L477">
            <v>0.33</v>
          </cell>
          <cell r="P477">
            <v>53</v>
          </cell>
        </row>
        <row r="478">
          <cell r="J478">
            <v>0.08</v>
          </cell>
          <cell r="L478">
            <v>0.38</v>
          </cell>
          <cell r="P478">
            <v>41</v>
          </cell>
        </row>
        <row r="479">
          <cell r="J479">
            <v>0.06</v>
          </cell>
          <cell r="L479">
            <v>0.41</v>
          </cell>
          <cell r="P479">
            <v>34</v>
          </cell>
        </row>
        <row r="480">
          <cell r="J480">
            <v>0.06</v>
          </cell>
          <cell r="L480">
            <v>0.38</v>
          </cell>
          <cell r="P480">
            <v>27</v>
          </cell>
        </row>
        <row r="481">
          <cell r="J481">
            <v>0.04</v>
          </cell>
          <cell r="L481">
            <v>0.45</v>
          </cell>
          <cell r="P481">
            <v>13</v>
          </cell>
        </row>
        <row r="482">
          <cell r="J482">
            <v>0.04</v>
          </cell>
          <cell r="L482">
            <v>0.41</v>
          </cell>
          <cell r="P482">
            <v>12</v>
          </cell>
        </row>
        <row r="483">
          <cell r="J483">
            <v>0.04</v>
          </cell>
          <cell r="L483">
            <v>0.41</v>
          </cell>
          <cell r="P483">
            <v>11</v>
          </cell>
        </row>
        <row r="484">
          <cell r="J484">
            <v>0.04</v>
          </cell>
          <cell r="L484">
            <v>0.41</v>
          </cell>
          <cell r="P484">
            <v>7</v>
          </cell>
        </row>
        <row r="485">
          <cell r="J485">
            <v>0.02</v>
          </cell>
          <cell r="L485">
            <v>0.48</v>
          </cell>
          <cell r="P485">
            <v>3</v>
          </cell>
        </row>
        <row r="486">
          <cell r="J486">
            <v>0.02</v>
          </cell>
          <cell r="L486">
            <v>0.44</v>
          </cell>
          <cell r="P486">
            <v>2</v>
          </cell>
        </row>
        <row r="487">
          <cell r="J487">
            <v>0.02</v>
          </cell>
          <cell r="L487">
            <v>0.44</v>
          </cell>
          <cell r="P487">
            <v>8</v>
          </cell>
        </row>
        <row r="488">
          <cell r="J488">
            <v>0.02</v>
          </cell>
          <cell r="L488">
            <v>0.44</v>
          </cell>
          <cell r="P488">
            <v>27</v>
          </cell>
        </row>
        <row r="489">
          <cell r="J489">
            <v>0.04</v>
          </cell>
          <cell r="L489">
            <v>0.41</v>
          </cell>
          <cell r="P489">
            <v>40</v>
          </cell>
        </row>
        <row r="490">
          <cell r="J490">
            <v>0.04</v>
          </cell>
          <cell r="L490">
            <v>0.41</v>
          </cell>
          <cell r="P490">
            <v>53</v>
          </cell>
        </row>
        <row r="491">
          <cell r="J491">
            <v>0.06</v>
          </cell>
          <cell r="L491">
            <v>0.38</v>
          </cell>
          <cell r="P491">
            <v>63</v>
          </cell>
        </row>
        <row r="492">
          <cell r="J492">
            <v>0.06</v>
          </cell>
          <cell r="L492">
            <v>0.38</v>
          </cell>
          <cell r="P492">
            <v>70</v>
          </cell>
        </row>
        <row r="493">
          <cell r="J493">
            <v>0.08</v>
          </cell>
          <cell r="L493">
            <v>0.35</v>
          </cell>
          <cell r="P493">
            <v>84</v>
          </cell>
        </row>
        <row r="494">
          <cell r="J494">
            <v>0.1</v>
          </cell>
          <cell r="L494">
            <v>0.33</v>
          </cell>
          <cell r="P494">
            <v>75</v>
          </cell>
        </row>
        <row r="495">
          <cell r="J495">
            <v>0.12</v>
          </cell>
          <cell r="L495">
            <v>0.28000000000000003</v>
          </cell>
          <cell r="P495">
            <v>103</v>
          </cell>
        </row>
        <row r="496">
          <cell r="J496">
            <v>0.12</v>
          </cell>
          <cell r="L496">
            <v>0.28000000000000003</v>
          </cell>
          <cell r="P496">
            <v>83</v>
          </cell>
        </row>
        <row r="497">
          <cell r="J497">
            <v>0.12</v>
          </cell>
          <cell r="L497">
            <v>0.28000000000000003</v>
          </cell>
          <cell r="P497">
            <v>67</v>
          </cell>
        </row>
        <row r="498">
          <cell r="J498">
            <v>0.08</v>
          </cell>
          <cell r="L498">
            <v>0.35</v>
          </cell>
          <cell r="P498">
            <v>54</v>
          </cell>
        </row>
        <row r="499">
          <cell r="J499">
            <v>0.08</v>
          </cell>
          <cell r="L499">
            <v>0.35</v>
          </cell>
          <cell r="P499">
            <v>59</v>
          </cell>
        </row>
        <row r="500">
          <cell r="J500">
            <v>0.06</v>
          </cell>
          <cell r="L500">
            <v>0.45</v>
          </cell>
          <cell r="P500">
            <v>45</v>
          </cell>
        </row>
        <row r="501">
          <cell r="J501">
            <v>0.06</v>
          </cell>
          <cell r="L501">
            <v>0.41</v>
          </cell>
          <cell r="P501">
            <v>39</v>
          </cell>
        </row>
        <row r="502">
          <cell r="J502">
            <v>0.06</v>
          </cell>
          <cell r="L502">
            <v>0.49</v>
          </cell>
          <cell r="P502">
            <v>30</v>
          </cell>
        </row>
        <row r="503">
          <cell r="J503">
            <v>0.04</v>
          </cell>
          <cell r="L503">
            <v>0.56999999999999995</v>
          </cell>
          <cell r="P503">
            <v>33</v>
          </cell>
        </row>
        <row r="504">
          <cell r="J504">
            <v>0.04</v>
          </cell>
          <cell r="L504">
            <v>0.56999999999999995</v>
          </cell>
          <cell r="P504">
            <v>22</v>
          </cell>
        </row>
        <row r="505">
          <cell r="J505">
            <v>0.04</v>
          </cell>
          <cell r="L505">
            <v>0.56999999999999995</v>
          </cell>
          <cell r="P505">
            <v>13</v>
          </cell>
        </row>
        <row r="506">
          <cell r="J506">
            <v>0.02</v>
          </cell>
          <cell r="L506">
            <v>0.62</v>
          </cell>
          <cell r="P506">
            <v>18</v>
          </cell>
        </row>
        <row r="507">
          <cell r="J507">
            <v>0.02</v>
          </cell>
          <cell r="L507">
            <v>0.62</v>
          </cell>
          <cell r="P507">
            <v>5</v>
          </cell>
        </row>
        <row r="508">
          <cell r="J508">
            <v>0.04</v>
          </cell>
          <cell r="L508">
            <v>0.56999999999999995</v>
          </cell>
          <cell r="P508">
            <v>3</v>
          </cell>
        </row>
        <row r="509">
          <cell r="J509">
            <v>0.04</v>
          </cell>
          <cell r="L509">
            <v>0.56999999999999995</v>
          </cell>
          <cell r="P509">
            <v>1</v>
          </cell>
        </row>
        <row r="510">
          <cell r="J510">
            <v>0.08</v>
          </cell>
          <cell r="L510">
            <v>0.57999999999999996</v>
          </cell>
          <cell r="P510">
            <v>2</v>
          </cell>
        </row>
        <row r="511">
          <cell r="J511">
            <v>0.06</v>
          </cell>
          <cell r="L511">
            <v>0.62</v>
          </cell>
          <cell r="P511">
            <v>19</v>
          </cell>
        </row>
        <row r="512">
          <cell r="J512">
            <v>0.1</v>
          </cell>
          <cell r="L512">
            <v>0.54</v>
          </cell>
          <cell r="P512">
            <v>28</v>
          </cell>
        </row>
        <row r="513">
          <cell r="J513">
            <v>0.14000000000000001</v>
          </cell>
          <cell r="L513">
            <v>0.46</v>
          </cell>
          <cell r="P513">
            <v>58</v>
          </cell>
        </row>
        <row r="514">
          <cell r="J514">
            <v>0.14000000000000001</v>
          </cell>
          <cell r="L514">
            <v>0.43</v>
          </cell>
          <cell r="P514">
            <v>99</v>
          </cell>
        </row>
        <row r="515">
          <cell r="J515">
            <v>0.16</v>
          </cell>
          <cell r="L515">
            <v>0.37</v>
          </cell>
          <cell r="P515">
            <v>116</v>
          </cell>
        </row>
        <row r="516">
          <cell r="J516">
            <v>0.14000000000000001</v>
          </cell>
          <cell r="L516">
            <v>0.33</v>
          </cell>
          <cell r="P516">
            <v>87</v>
          </cell>
        </row>
        <row r="517">
          <cell r="J517">
            <v>0.16</v>
          </cell>
          <cell r="L517">
            <v>0.28000000000000003</v>
          </cell>
          <cell r="P517">
            <v>110</v>
          </cell>
        </row>
        <row r="518">
          <cell r="J518">
            <v>0.16</v>
          </cell>
          <cell r="L518">
            <v>0.28000000000000003</v>
          </cell>
          <cell r="P518">
            <v>77</v>
          </cell>
        </row>
        <row r="519">
          <cell r="J519">
            <v>0.16</v>
          </cell>
          <cell r="L519">
            <v>0.26</v>
          </cell>
          <cell r="P519">
            <v>65</v>
          </cell>
        </row>
        <row r="520">
          <cell r="J520">
            <v>0.14000000000000001</v>
          </cell>
          <cell r="L520">
            <v>0.26</v>
          </cell>
          <cell r="P520">
            <v>55</v>
          </cell>
        </row>
        <row r="521">
          <cell r="J521">
            <v>0.12</v>
          </cell>
          <cell r="L521">
            <v>0.3</v>
          </cell>
          <cell r="P521">
            <v>49</v>
          </cell>
        </row>
        <row r="522">
          <cell r="J522">
            <v>0.12</v>
          </cell>
          <cell r="L522">
            <v>0.3</v>
          </cell>
          <cell r="P522">
            <v>50</v>
          </cell>
        </row>
        <row r="523">
          <cell r="J523">
            <v>0.1</v>
          </cell>
          <cell r="L523">
            <v>0.36</v>
          </cell>
          <cell r="P523">
            <v>35</v>
          </cell>
        </row>
        <row r="524">
          <cell r="J524">
            <v>0.1</v>
          </cell>
          <cell r="L524">
            <v>0.36</v>
          </cell>
          <cell r="P524">
            <v>25</v>
          </cell>
        </row>
        <row r="525">
          <cell r="J525">
            <v>0.08</v>
          </cell>
          <cell r="L525">
            <v>0.38</v>
          </cell>
          <cell r="P525">
            <v>28</v>
          </cell>
        </row>
        <row r="526">
          <cell r="J526">
            <v>0.06</v>
          </cell>
          <cell r="L526">
            <v>0.41</v>
          </cell>
          <cell r="P526">
            <v>21</v>
          </cell>
        </row>
        <row r="527">
          <cell r="J527">
            <v>0.06</v>
          </cell>
          <cell r="L527">
            <v>0.41</v>
          </cell>
          <cell r="P527">
            <v>7</v>
          </cell>
        </row>
        <row r="528">
          <cell r="J528">
            <v>0.04</v>
          </cell>
          <cell r="L528">
            <v>0.45</v>
          </cell>
          <cell r="P528">
            <v>1</v>
          </cell>
        </row>
        <row r="529">
          <cell r="J529">
            <v>0.04</v>
          </cell>
          <cell r="L529">
            <v>0.45</v>
          </cell>
          <cell r="P529">
            <v>1</v>
          </cell>
        </row>
        <row r="530">
          <cell r="J530">
            <v>0.02</v>
          </cell>
          <cell r="L530">
            <v>0.48</v>
          </cell>
          <cell r="P530">
            <v>1</v>
          </cell>
        </row>
        <row r="531">
          <cell r="J531">
            <v>0.02</v>
          </cell>
          <cell r="L531">
            <v>0.48</v>
          </cell>
          <cell r="P531">
            <v>5</v>
          </cell>
        </row>
        <row r="532">
          <cell r="J532">
            <v>0.02</v>
          </cell>
          <cell r="L532">
            <v>0.48</v>
          </cell>
          <cell r="P532">
            <v>15</v>
          </cell>
        </row>
        <row r="533">
          <cell r="J533">
            <v>0.02</v>
          </cell>
          <cell r="L533">
            <v>0.48</v>
          </cell>
          <cell r="P533">
            <v>84</v>
          </cell>
        </row>
        <row r="534">
          <cell r="J534">
            <v>0.04</v>
          </cell>
          <cell r="L534">
            <v>0.49</v>
          </cell>
          <cell r="P534">
            <v>177</v>
          </cell>
        </row>
        <row r="535">
          <cell r="J535">
            <v>0.06</v>
          </cell>
          <cell r="L535">
            <v>0.41</v>
          </cell>
          <cell r="P535">
            <v>102</v>
          </cell>
        </row>
        <row r="536">
          <cell r="J536">
            <v>0.1</v>
          </cell>
          <cell r="L536">
            <v>0.42</v>
          </cell>
          <cell r="P536">
            <v>40</v>
          </cell>
        </row>
        <row r="537">
          <cell r="J537">
            <v>0.1</v>
          </cell>
          <cell r="L537">
            <v>0.46</v>
          </cell>
          <cell r="P537">
            <v>46</v>
          </cell>
        </row>
        <row r="538">
          <cell r="J538">
            <v>0.12</v>
          </cell>
          <cell r="L538">
            <v>0.42</v>
          </cell>
          <cell r="P538">
            <v>63</v>
          </cell>
        </row>
        <row r="539">
          <cell r="J539">
            <v>0.14000000000000001</v>
          </cell>
          <cell r="L539">
            <v>0.43</v>
          </cell>
          <cell r="P539">
            <v>60</v>
          </cell>
        </row>
        <row r="540">
          <cell r="J540">
            <v>0.14000000000000001</v>
          </cell>
          <cell r="L540">
            <v>0.46</v>
          </cell>
          <cell r="P540">
            <v>45</v>
          </cell>
        </row>
        <row r="541">
          <cell r="J541">
            <v>0.16</v>
          </cell>
          <cell r="L541">
            <v>0.4</v>
          </cell>
          <cell r="P541">
            <v>57</v>
          </cell>
        </row>
        <row r="542">
          <cell r="J542">
            <v>0.16</v>
          </cell>
          <cell r="L542">
            <v>0.47</v>
          </cell>
          <cell r="P542">
            <v>70</v>
          </cell>
        </row>
        <row r="543">
          <cell r="J543">
            <v>0.14000000000000001</v>
          </cell>
          <cell r="L543">
            <v>0.5</v>
          </cell>
          <cell r="P543">
            <v>184</v>
          </cell>
        </row>
        <row r="544">
          <cell r="J544">
            <v>0.14000000000000001</v>
          </cell>
          <cell r="L544">
            <v>0.59</v>
          </cell>
          <cell r="P544">
            <v>153</v>
          </cell>
        </row>
        <row r="545">
          <cell r="J545">
            <v>0.14000000000000001</v>
          </cell>
          <cell r="L545">
            <v>0.54</v>
          </cell>
          <cell r="P545">
            <v>106</v>
          </cell>
        </row>
        <row r="546">
          <cell r="J546">
            <v>0.14000000000000001</v>
          </cell>
          <cell r="L546">
            <v>0.59</v>
          </cell>
          <cell r="P546">
            <v>81</v>
          </cell>
        </row>
        <row r="547">
          <cell r="J547">
            <v>0.14000000000000001</v>
          </cell>
          <cell r="L547">
            <v>0.63</v>
          </cell>
          <cell r="P547">
            <v>59</v>
          </cell>
        </row>
        <row r="548">
          <cell r="J548">
            <v>0.14000000000000001</v>
          </cell>
          <cell r="L548">
            <v>0.63</v>
          </cell>
          <cell r="P548">
            <v>35</v>
          </cell>
        </row>
        <row r="549">
          <cell r="J549">
            <v>0.16</v>
          </cell>
          <cell r="L549">
            <v>0.64</v>
          </cell>
          <cell r="P549">
            <v>24</v>
          </cell>
        </row>
        <row r="550">
          <cell r="J550">
            <v>0.16</v>
          </cell>
          <cell r="L550">
            <v>0.69</v>
          </cell>
          <cell r="P550">
            <v>9</v>
          </cell>
        </row>
        <row r="551">
          <cell r="J551">
            <v>0.16</v>
          </cell>
          <cell r="L551">
            <v>0.69</v>
          </cell>
          <cell r="P551">
            <v>5</v>
          </cell>
        </row>
        <row r="552">
          <cell r="J552">
            <v>0.16</v>
          </cell>
          <cell r="L552">
            <v>0.69</v>
          </cell>
          <cell r="P552">
            <v>2</v>
          </cell>
        </row>
        <row r="553">
          <cell r="J553">
            <v>0.14000000000000001</v>
          </cell>
          <cell r="L553">
            <v>0.74</v>
          </cell>
          <cell r="P553">
            <v>1</v>
          </cell>
        </row>
        <row r="554">
          <cell r="J554">
            <v>0.14000000000000001</v>
          </cell>
          <cell r="L554">
            <v>0.74</v>
          </cell>
          <cell r="P554">
            <v>9</v>
          </cell>
        </row>
        <row r="555">
          <cell r="J555">
            <v>0.16</v>
          </cell>
          <cell r="L555">
            <v>0.74</v>
          </cell>
          <cell r="P555">
            <v>36</v>
          </cell>
        </row>
        <row r="556">
          <cell r="J556">
            <v>0.16</v>
          </cell>
          <cell r="L556">
            <v>0.74</v>
          </cell>
          <cell r="P556">
            <v>108</v>
          </cell>
        </row>
        <row r="557">
          <cell r="J557">
            <v>0.16</v>
          </cell>
          <cell r="L557">
            <v>0.74</v>
          </cell>
          <cell r="P557">
            <v>238</v>
          </cell>
        </row>
        <row r="558">
          <cell r="J558">
            <v>0.2</v>
          </cell>
          <cell r="L558">
            <v>0.64</v>
          </cell>
          <cell r="P558">
            <v>144</v>
          </cell>
        </row>
        <row r="559">
          <cell r="J559">
            <v>0.22</v>
          </cell>
          <cell r="L559">
            <v>0.6</v>
          </cell>
          <cell r="P559">
            <v>55</v>
          </cell>
        </row>
        <row r="560">
          <cell r="J560">
            <v>0.24</v>
          </cell>
          <cell r="L560">
            <v>0.6</v>
          </cell>
          <cell r="P560">
            <v>61</v>
          </cell>
        </row>
        <row r="561">
          <cell r="J561">
            <v>0.26</v>
          </cell>
          <cell r="L561">
            <v>0.56000000000000005</v>
          </cell>
          <cell r="P561">
            <v>106</v>
          </cell>
        </row>
        <row r="562">
          <cell r="J562">
            <v>0.26</v>
          </cell>
          <cell r="L562">
            <v>0.56000000000000005</v>
          </cell>
          <cell r="P562">
            <v>93</v>
          </cell>
        </row>
        <row r="563">
          <cell r="J563">
            <v>0.3</v>
          </cell>
          <cell r="L563">
            <v>0.45</v>
          </cell>
          <cell r="P563">
            <v>68</v>
          </cell>
        </row>
        <row r="564">
          <cell r="J564">
            <v>0.32</v>
          </cell>
          <cell r="L564">
            <v>0.42</v>
          </cell>
          <cell r="P564">
            <v>84</v>
          </cell>
        </row>
        <row r="565">
          <cell r="J565">
            <v>0.32</v>
          </cell>
          <cell r="L565">
            <v>0.42</v>
          </cell>
          <cell r="P565">
            <v>116</v>
          </cell>
        </row>
        <row r="566">
          <cell r="J566">
            <v>0.3</v>
          </cell>
          <cell r="L566">
            <v>0.45</v>
          </cell>
          <cell r="P566">
            <v>222</v>
          </cell>
        </row>
        <row r="567">
          <cell r="J567">
            <v>0.3</v>
          </cell>
          <cell r="L567">
            <v>0.49</v>
          </cell>
          <cell r="P567">
            <v>225</v>
          </cell>
        </row>
        <row r="568">
          <cell r="J568">
            <v>0.26</v>
          </cell>
          <cell r="L568">
            <v>0.65</v>
          </cell>
          <cell r="P568">
            <v>146</v>
          </cell>
        </row>
        <row r="569">
          <cell r="J569">
            <v>0.24</v>
          </cell>
          <cell r="L569">
            <v>0.65</v>
          </cell>
          <cell r="P569">
            <v>119</v>
          </cell>
        </row>
        <row r="570">
          <cell r="J570">
            <v>0.24</v>
          </cell>
          <cell r="L570">
            <v>0.65</v>
          </cell>
          <cell r="P570">
            <v>45</v>
          </cell>
        </row>
        <row r="571">
          <cell r="J571">
            <v>0.22</v>
          </cell>
          <cell r="L571">
            <v>0.64</v>
          </cell>
          <cell r="P571">
            <v>53</v>
          </cell>
        </row>
        <row r="572">
          <cell r="J572">
            <v>0.22</v>
          </cell>
          <cell r="L572">
            <v>0.64</v>
          </cell>
          <cell r="P572">
            <v>40</v>
          </cell>
        </row>
        <row r="573">
          <cell r="J573">
            <v>0.22</v>
          </cell>
          <cell r="L573">
            <v>0.69</v>
          </cell>
          <cell r="P573">
            <v>17</v>
          </cell>
        </row>
        <row r="574">
          <cell r="J574">
            <v>0.24</v>
          </cell>
          <cell r="L574">
            <v>0.65</v>
          </cell>
          <cell r="P574">
            <v>5</v>
          </cell>
        </row>
        <row r="575">
          <cell r="J575">
            <v>0.22</v>
          </cell>
          <cell r="L575">
            <v>0.69</v>
          </cell>
          <cell r="P575">
            <v>10</v>
          </cell>
        </row>
        <row r="576">
          <cell r="J576">
            <v>0.2</v>
          </cell>
          <cell r="L576">
            <v>0.86</v>
          </cell>
          <cell r="P576">
            <v>1</v>
          </cell>
        </row>
        <row r="577">
          <cell r="J577">
            <v>0.2</v>
          </cell>
          <cell r="L577">
            <v>0.86</v>
          </cell>
          <cell r="P577">
            <v>8</v>
          </cell>
        </row>
        <row r="578">
          <cell r="J578">
            <v>0.22</v>
          </cell>
          <cell r="L578">
            <v>0.87</v>
          </cell>
          <cell r="P578">
            <v>30</v>
          </cell>
        </row>
        <row r="579">
          <cell r="J579">
            <v>0.22</v>
          </cell>
          <cell r="L579">
            <v>0.87</v>
          </cell>
          <cell r="P579">
            <v>72</v>
          </cell>
        </row>
        <row r="580">
          <cell r="J580">
            <v>0.22</v>
          </cell>
          <cell r="L580">
            <v>0.87</v>
          </cell>
          <cell r="P580">
            <v>58</v>
          </cell>
        </row>
        <row r="581">
          <cell r="J581">
            <v>0.22</v>
          </cell>
          <cell r="L581">
            <v>0.93</v>
          </cell>
          <cell r="P581">
            <v>28</v>
          </cell>
        </row>
        <row r="582">
          <cell r="J582">
            <v>0.22</v>
          </cell>
          <cell r="L582">
            <v>0.93</v>
          </cell>
          <cell r="P582">
            <v>41</v>
          </cell>
        </row>
        <row r="583">
          <cell r="J583">
            <v>0.22</v>
          </cell>
          <cell r="L583">
            <v>0.93</v>
          </cell>
          <cell r="P583">
            <v>48</v>
          </cell>
        </row>
        <row r="584">
          <cell r="J584">
            <v>0.22</v>
          </cell>
          <cell r="L584">
            <v>0.93</v>
          </cell>
          <cell r="P584">
            <v>47</v>
          </cell>
        </row>
        <row r="585">
          <cell r="J585">
            <v>0.22</v>
          </cell>
          <cell r="L585">
            <v>0.93</v>
          </cell>
          <cell r="P585">
            <v>36</v>
          </cell>
        </row>
        <row r="586">
          <cell r="J586">
            <v>0.22</v>
          </cell>
          <cell r="L586">
            <v>0.93</v>
          </cell>
          <cell r="P586">
            <v>43</v>
          </cell>
        </row>
        <row r="587">
          <cell r="J587">
            <v>0.22</v>
          </cell>
          <cell r="L587">
            <v>0.93</v>
          </cell>
          <cell r="P587">
            <v>36</v>
          </cell>
        </row>
        <row r="588">
          <cell r="J588">
            <v>0.2</v>
          </cell>
          <cell r="L588">
            <v>0.93</v>
          </cell>
          <cell r="P588">
            <v>26</v>
          </cell>
        </row>
        <row r="589">
          <cell r="J589">
            <v>0.22</v>
          </cell>
          <cell r="L589">
            <v>0.55000000000000004</v>
          </cell>
          <cell r="P589">
            <v>24</v>
          </cell>
        </row>
        <row r="590">
          <cell r="J590">
            <v>0.22</v>
          </cell>
          <cell r="L590">
            <v>0.55000000000000004</v>
          </cell>
          <cell r="P590">
            <v>84</v>
          </cell>
        </row>
        <row r="591">
          <cell r="J591">
            <v>0.2</v>
          </cell>
          <cell r="L591">
            <v>0.69</v>
          </cell>
          <cell r="P591">
            <v>104</v>
          </cell>
        </row>
        <row r="592">
          <cell r="J592">
            <v>0.2</v>
          </cell>
          <cell r="L592">
            <v>0.69</v>
          </cell>
          <cell r="P592">
            <v>79</v>
          </cell>
        </row>
        <row r="593">
          <cell r="J593">
            <v>0.18</v>
          </cell>
          <cell r="L593">
            <v>0.74</v>
          </cell>
          <cell r="P593">
            <v>59</v>
          </cell>
        </row>
        <row r="594">
          <cell r="J594">
            <v>0.18</v>
          </cell>
          <cell r="L594">
            <v>0.74</v>
          </cell>
          <cell r="P594">
            <v>38</v>
          </cell>
        </row>
        <row r="595">
          <cell r="J595">
            <v>0.18</v>
          </cell>
          <cell r="L595">
            <v>0.74</v>
          </cell>
          <cell r="P595">
            <v>27</v>
          </cell>
        </row>
        <row r="596">
          <cell r="J596">
            <v>0.18</v>
          </cell>
          <cell r="L596">
            <v>0.8</v>
          </cell>
          <cell r="P596">
            <v>16</v>
          </cell>
        </row>
        <row r="597">
          <cell r="J597">
            <v>0.2</v>
          </cell>
          <cell r="L597">
            <v>0.75</v>
          </cell>
          <cell r="P597">
            <v>9</v>
          </cell>
        </row>
        <row r="598">
          <cell r="J598">
            <v>0.2</v>
          </cell>
          <cell r="L598">
            <v>0.75</v>
          </cell>
          <cell r="P598">
            <v>3</v>
          </cell>
        </row>
        <row r="599">
          <cell r="J599">
            <v>0.2</v>
          </cell>
          <cell r="L599">
            <v>0.75</v>
          </cell>
          <cell r="P599">
            <v>2</v>
          </cell>
        </row>
        <row r="600">
          <cell r="J600">
            <v>0.2</v>
          </cell>
          <cell r="L600">
            <v>0.75</v>
          </cell>
          <cell r="P600">
            <v>1</v>
          </cell>
        </row>
        <row r="601">
          <cell r="J601">
            <v>0.18</v>
          </cell>
          <cell r="L601">
            <v>0.8</v>
          </cell>
          <cell r="P601">
            <v>4</v>
          </cell>
        </row>
        <row r="602">
          <cell r="J602">
            <v>0.18</v>
          </cell>
          <cell r="L602">
            <v>0.8</v>
          </cell>
          <cell r="P602">
            <v>16</v>
          </cell>
        </row>
        <row r="603">
          <cell r="J603">
            <v>0.16</v>
          </cell>
          <cell r="L603">
            <v>0.86</v>
          </cell>
          <cell r="P603">
            <v>60</v>
          </cell>
        </row>
        <row r="604">
          <cell r="J604">
            <v>0.16</v>
          </cell>
          <cell r="L604">
            <v>0.86</v>
          </cell>
          <cell r="P604">
            <v>157</v>
          </cell>
        </row>
        <row r="605">
          <cell r="J605">
            <v>0.18</v>
          </cell>
          <cell r="L605">
            <v>0.86</v>
          </cell>
          <cell r="P605">
            <v>101</v>
          </cell>
        </row>
        <row r="606">
          <cell r="J606">
            <v>0.18</v>
          </cell>
          <cell r="L606">
            <v>0.86</v>
          </cell>
          <cell r="P606">
            <v>49</v>
          </cell>
        </row>
        <row r="607">
          <cell r="J607">
            <v>0.18</v>
          </cell>
          <cell r="L607">
            <v>0.93</v>
          </cell>
          <cell r="P607">
            <v>30</v>
          </cell>
        </row>
        <row r="608">
          <cell r="J608">
            <v>0.18</v>
          </cell>
          <cell r="L608">
            <v>0.93</v>
          </cell>
          <cell r="P608">
            <v>29</v>
          </cell>
        </row>
        <row r="609">
          <cell r="J609">
            <v>0.18</v>
          </cell>
          <cell r="L609">
            <v>0.93</v>
          </cell>
          <cell r="P609">
            <v>31</v>
          </cell>
        </row>
        <row r="610">
          <cell r="J610">
            <v>0.22</v>
          </cell>
          <cell r="L610">
            <v>0.8</v>
          </cell>
          <cell r="P610">
            <v>38</v>
          </cell>
        </row>
        <row r="611">
          <cell r="J611">
            <v>0.2</v>
          </cell>
          <cell r="L611">
            <v>0.86</v>
          </cell>
          <cell r="P611">
            <v>41</v>
          </cell>
        </row>
        <row r="612">
          <cell r="J612">
            <v>0.22</v>
          </cell>
          <cell r="L612">
            <v>0.8</v>
          </cell>
          <cell r="P612">
            <v>80</v>
          </cell>
        </row>
        <row r="613">
          <cell r="J613">
            <v>0.24</v>
          </cell>
          <cell r="L613">
            <v>0.75</v>
          </cell>
          <cell r="P613">
            <v>149</v>
          </cell>
        </row>
        <row r="614">
          <cell r="J614">
            <v>0.24</v>
          </cell>
          <cell r="L614">
            <v>0.75</v>
          </cell>
          <cell r="P614">
            <v>109</v>
          </cell>
        </row>
        <row r="615">
          <cell r="J615">
            <v>0.24</v>
          </cell>
          <cell r="L615">
            <v>0.75</v>
          </cell>
          <cell r="P615">
            <v>89</v>
          </cell>
        </row>
        <row r="616">
          <cell r="J616">
            <v>0.24</v>
          </cell>
          <cell r="L616">
            <v>0.7</v>
          </cell>
          <cell r="P616">
            <v>62</v>
          </cell>
        </row>
        <row r="617">
          <cell r="J617">
            <v>0.22</v>
          </cell>
          <cell r="L617">
            <v>0.75</v>
          </cell>
          <cell r="P617">
            <v>58</v>
          </cell>
        </row>
        <row r="618">
          <cell r="J618">
            <v>0.24</v>
          </cell>
          <cell r="L618">
            <v>0.65</v>
          </cell>
          <cell r="P618">
            <v>26</v>
          </cell>
        </row>
        <row r="619">
          <cell r="J619">
            <v>0.24</v>
          </cell>
          <cell r="L619">
            <v>0.6</v>
          </cell>
          <cell r="P619">
            <v>23</v>
          </cell>
        </row>
        <row r="620">
          <cell r="J620">
            <v>0.22</v>
          </cell>
          <cell r="L620">
            <v>0.64</v>
          </cell>
          <cell r="P620">
            <v>28</v>
          </cell>
        </row>
        <row r="621">
          <cell r="J621">
            <v>0.22</v>
          </cell>
          <cell r="L621">
            <v>0.64</v>
          </cell>
          <cell r="P621">
            <v>20</v>
          </cell>
        </row>
        <row r="622">
          <cell r="J622">
            <v>0.22</v>
          </cell>
          <cell r="L622">
            <v>0.64</v>
          </cell>
          <cell r="P622">
            <v>15</v>
          </cell>
        </row>
        <row r="623">
          <cell r="J623">
            <v>0.2</v>
          </cell>
          <cell r="L623">
            <v>0.64</v>
          </cell>
          <cell r="P623">
            <v>8</v>
          </cell>
        </row>
        <row r="624">
          <cell r="J624">
            <v>0.16</v>
          </cell>
          <cell r="L624">
            <v>0.69</v>
          </cell>
          <cell r="P624">
            <v>3</v>
          </cell>
        </row>
        <row r="625">
          <cell r="J625">
            <v>0.16</v>
          </cell>
          <cell r="L625">
            <v>0.64</v>
          </cell>
          <cell r="P625">
            <v>2</v>
          </cell>
        </row>
        <row r="626">
          <cell r="J626">
            <v>0.16</v>
          </cell>
          <cell r="L626">
            <v>0.59</v>
          </cell>
          <cell r="P626">
            <v>5</v>
          </cell>
        </row>
        <row r="627">
          <cell r="J627">
            <v>0.18</v>
          </cell>
          <cell r="L627">
            <v>0.55000000000000004</v>
          </cell>
          <cell r="P627">
            <v>34</v>
          </cell>
        </row>
        <row r="628">
          <cell r="J628">
            <v>0.18</v>
          </cell>
          <cell r="L628">
            <v>0.59</v>
          </cell>
          <cell r="P628">
            <v>34</v>
          </cell>
        </row>
        <row r="629">
          <cell r="J629">
            <v>0.18</v>
          </cell>
          <cell r="L629">
            <v>0.64</v>
          </cell>
          <cell r="P629">
            <v>55</v>
          </cell>
        </row>
        <row r="630">
          <cell r="J630">
            <v>0.18</v>
          </cell>
          <cell r="L630">
            <v>0.64</v>
          </cell>
          <cell r="P630">
            <v>64</v>
          </cell>
        </row>
        <row r="631">
          <cell r="J631">
            <v>0.2</v>
          </cell>
          <cell r="L631">
            <v>0.59</v>
          </cell>
          <cell r="P631">
            <v>78</v>
          </cell>
        </row>
        <row r="632">
          <cell r="J632">
            <v>0.22</v>
          </cell>
          <cell r="L632">
            <v>0.55000000000000004</v>
          </cell>
          <cell r="P632">
            <v>65</v>
          </cell>
        </row>
        <row r="633">
          <cell r="J633">
            <v>0.22</v>
          </cell>
          <cell r="L633">
            <v>0.6</v>
          </cell>
          <cell r="P633">
            <v>99</v>
          </cell>
        </row>
        <row r="634">
          <cell r="J634">
            <v>0.22</v>
          </cell>
          <cell r="L634">
            <v>0.69</v>
          </cell>
          <cell r="P634">
            <v>120</v>
          </cell>
        </row>
        <row r="635">
          <cell r="J635">
            <v>0.24</v>
          </cell>
          <cell r="L635">
            <v>0.6</v>
          </cell>
          <cell r="P635">
            <v>107</v>
          </cell>
        </row>
        <row r="636">
          <cell r="J636">
            <v>0.24</v>
          </cell>
          <cell r="L636">
            <v>0.6</v>
          </cell>
          <cell r="P636">
            <v>91</v>
          </cell>
        </row>
        <row r="637">
          <cell r="J637">
            <v>0.22</v>
          </cell>
          <cell r="L637">
            <v>0.69</v>
          </cell>
          <cell r="P637">
            <v>68</v>
          </cell>
        </row>
        <row r="638">
          <cell r="J638">
            <v>0.22</v>
          </cell>
          <cell r="L638">
            <v>0.69</v>
          </cell>
          <cell r="P638">
            <v>58</v>
          </cell>
        </row>
        <row r="639">
          <cell r="J639">
            <v>0.18</v>
          </cell>
          <cell r="L639">
            <v>0.74</v>
          </cell>
          <cell r="P639">
            <v>43</v>
          </cell>
        </row>
        <row r="640">
          <cell r="J640">
            <v>0.18</v>
          </cell>
          <cell r="L640">
            <v>0.74</v>
          </cell>
          <cell r="P640">
            <v>36</v>
          </cell>
        </row>
        <row r="641">
          <cell r="J641">
            <v>0.16</v>
          </cell>
          <cell r="L641">
            <v>0.8</v>
          </cell>
          <cell r="P641">
            <v>32</v>
          </cell>
        </row>
        <row r="642">
          <cell r="J642">
            <v>0.16</v>
          </cell>
          <cell r="L642">
            <v>0.8</v>
          </cell>
          <cell r="P642">
            <v>33</v>
          </cell>
        </row>
        <row r="643">
          <cell r="J643">
            <v>0.16</v>
          </cell>
          <cell r="L643">
            <v>0.8</v>
          </cell>
          <cell r="P643">
            <v>33</v>
          </cell>
        </row>
        <row r="644">
          <cell r="J644">
            <v>0.14000000000000001</v>
          </cell>
          <cell r="L644">
            <v>0.8</v>
          </cell>
          <cell r="P644">
            <v>29</v>
          </cell>
        </row>
        <row r="645">
          <cell r="J645">
            <v>0.16</v>
          </cell>
          <cell r="L645">
            <v>0.8</v>
          </cell>
          <cell r="P645">
            <v>11</v>
          </cell>
        </row>
        <row r="646">
          <cell r="J646">
            <v>0.14000000000000001</v>
          </cell>
          <cell r="L646">
            <v>0.93</v>
          </cell>
          <cell r="P646">
            <v>8</v>
          </cell>
        </row>
        <row r="647">
          <cell r="J647">
            <v>0.14000000000000001</v>
          </cell>
          <cell r="L647">
            <v>0.93</v>
          </cell>
          <cell r="P647">
            <v>1</v>
          </cell>
        </row>
        <row r="648">
          <cell r="J648">
            <v>0.14000000000000001</v>
          </cell>
          <cell r="L648">
            <v>0.86</v>
          </cell>
          <cell r="P648">
            <v>3</v>
          </cell>
        </row>
        <row r="649">
          <cell r="J649">
            <v>0.14000000000000001</v>
          </cell>
          <cell r="L649">
            <v>0.86</v>
          </cell>
          <cell r="P649">
            <v>3</v>
          </cell>
        </row>
        <row r="650">
          <cell r="J650">
            <v>0.14000000000000001</v>
          </cell>
          <cell r="L650">
            <v>0.86</v>
          </cell>
          <cell r="P650">
            <v>12</v>
          </cell>
        </row>
        <row r="651">
          <cell r="J651">
            <v>0.16</v>
          </cell>
          <cell r="L651">
            <v>0.8</v>
          </cell>
          <cell r="P651">
            <v>38</v>
          </cell>
        </row>
        <row r="652">
          <cell r="J652">
            <v>0.18</v>
          </cell>
          <cell r="L652">
            <v>0.8</v>
          </cell>
          <cell r="P652">
            <v>64</v>
          </cell>
        </row>
        <row r="653">
          <cell r="J653">
            <v>0.22</v>
          </cell>
          <cell r="L653">
            <v>0.75</v>
          </cell>
          <cell r="P653">
            <v>59</v>
          </cell>
        </row>
        <row r="654">
          <cell r="J654">
            <v>0.3</v>
          </cell>
          <cell r="L654">
            <v>0.52</v>
          </cell>
          <cell r="P654">
            <v>97</v>
          </cell>
        </row>
        <row r="655">
          <cell r="J655">
            <v>0.28000000000000003</v>
          </cell>
          <cell r="L655">
            <v>0.61</v>
          </cell>
          <cell r="P655">
            <v>84</v>
          </cell>
        </row>
        <row r="656">
          <cell r="J656">
            <v>0.28000000000000003</v>
          </cell>
          <cell r="L656">
            <v>0.61</v>
          </cell>
          <cell r="P656">
            <v>122</v>
          </cell>
        </row>
        <row r="657">
          <cell r="J657">
            <v>0.3</v>
          </cell>
          <cell r="L657">
            <v>0.56000000000000005</v>
          </cell>
          <cell r="P657">
            <v>109</v>
          </cell>
        </row>
        <row r="658">
          <cell r="J658">
            <v>0.3</v>
          </cell>
          <cell r="L658">
            <v>0.56000000000000005</v>
          </cell>
          <cell r="P658">
            <v>123</v>
          </cell>
        </row>
        <row r="659">
          <cell r="J659">
            <v>0.3</v>
          </cell>
          <cell r="L659">
            <v>0.56000000000000005</v>
          </cell>
          <cell r="P659">
            <v>77</v>
          </cell>
        </row>
        <row r="660">
          <cell r="J660">
            <v>0.26</v>
          </cell>
          <cell r="L660">
            <v>0.65</v>
          </cell>
          <cell r="P660">
            <v>65</v>
          </cell>
        </row>
        <row r="661">
          <cell r="J661">
            <v>0.26</v>
          </cell>
          <cell r="L661">
            <v>0.65</v>
          </cell>
          <cell r="P661">
            <v>55</v>
          </cell>
        </row>
        <row r="662">
          <cell r="J662">
            <v>0.26</v>
          </cell>
          <cell r="L662">
            <v>0.65</v>
          </cell>
          <cell r="P662">
            <v>33</v>
          </cell>
        </row>
        <row r="663">
          <cell r="J663">
            <v>0.24</v>
          </cell>
          <cell r="L663">
            <v>0.7</v>
          </cell>
          <cell r="P663">
            <v>28</v>
          </cell>
        </row>
        <row r="664">
          <cell r="J664">
            <v>0.24</v>
          </cell>
          <cell r="L664">
            <v>0.7</v>
          </cell>
          <cell r="P664">
            <v>21</v>
          </cell>
        </row>
        <row r="665">
          <cell r="J665">
            <v>0.24</v>
          </cell>
          <cell r="L665">
            <v>0.65</v>
          </cell>
          <cell r="P665">
            <v>21</v>
          </cell>
        </row>
        <row r="666">
          <cell r="J666">
            <v>0.24</v>
          </cell>
          <cell r="L666">
            <v>0.65</v>
          </cell>
          <cell r="P666">
            <v>7</v>
          </cell>
        </row>
        <row r="667">
          <cell r="J667">
            <v>0.22</v>
          </cell>
          <cell r="L667">
            <v>0.64</v>
          </cell>
          <cell r="P667">
            <v>7</v>
          </cell>
        </row>
        <row r="668">
          <cell r="J668">
            <v>0.22</v>
          </cell>
          <cell r="L668">
            <v>0.64</v>
          </cell>
          <cell r="P668">
            <v>1</v>
          </cell>
        </row>
        <row r="669">
          <cell r="J669">
            <v>0.22</v>
          </cell>
          <cell r="L669">
            <v>0.64</v>
          </cell>
          <cell r="P669">
            <v>2</v>
          </cell>
        </row>
        <row r="670">
          <cell r="J670">
            <v>0.2</v>
          </cell>
          <cell r="L670">
            <v>0.59</v>
          </cell>
          <cell r="P670">
            <v>2</v>
          </cell>
        </row>
        <row r="671">
          <cell r="J671">
            <v>0.18</v>
          </cell>
          <cell r="L671">
            <v>0.64</v>
          </cell>
          <cell r="P671">
            <v>8</v>
          </cell>
        </row>
        <row r="672">
          <cell r="J672">
            <v>0.16</v>
          </cell>
          <cell r="L672">
            <v>0.69</v>
          </cell>
          <cell r="P672">
            <v>37</v>
          </cell>
        </row>
        <row r="673">
          <cell r="J673">
            <v>0.16</v>
          </cell>
          <cell r="L673">
            <v>0.64</v>
          </cell>
          <cell r="P673">
            <v>72</v>
          </cell>
        </row>
        <row r="674">
          <cell r="J674">
            <v>0.16</v>
          </cell>
          <cell r="L674">
            <v>0.59</v>
          </cell>
          <cell r="P674">
            <v>185</v>
          </cell>
        </row>
        <row r="675">
          <cell r="J675">
            <v>0.16</v>
          </cell>
          <cell r="L675">
            <v>0.59</v>
          </cell>
          <cell r="P675">
            <v>112</v>
          </cell>
        </row>
        <row r="676">
          <cell r="J676">
            <v>0.16</v>
          </cell>
          <cell r="L676">
            <v>0.59</v>
          </cell>
          <cell r="P676">
            <v>69</v>
          </cell>
        </row>
        <row r="677">
          <cell r="J677">
            <v>0.16</v>
          </cell>
          <cell r="L677">
            <v>0.59</v>
          </cell>
          <cell r="P677">
            <v>48</v>
          </cell>
        </row>
        <row r="678">
          <cell r="J678">
            <v>0.18</v>
          </cell>
          <cell r="L678">
            <v>0.55000000000000004</v>
          </cell>
          <cell r="P678">
            <v>68</v>
          </cell>
        </row>
        <row r="679">
          <cell r="J679">
            <v>0.16</v>
          </cell>
          <cell r="L679">
            <v>0.59</v>
          </cell>
          <cell r="P679">
            <v>54</v>
          </cell>
        </row>
        <row r="680">
          <cell r="J680">
            <v>0.18</v>
          </cell>
          <cell r="L680">
            <v>0.55000000000000004</v>
          </cell>
          <cell r="P680">
            <v>86</v>
          </cell>
        </row>
        <row r="681">
          <cell r="J681">
            <v>0.16</v>
          </cell>
          <cell r="L681">
            <v>0.59</v>
          </cell>
          <cell r="P681">
            <v>44</v>
          </cell>
        </row>
        <row r="682">
          <cell r="J682">
            <v>0.16</v>
          </cell>
          <cell r="L682">
            <v>0.56000000000000005</v>
          </cell>
          <cell r="P682">
            <v>86</v>
          </cell>
        </row>
        <row r="683">
          <cell r="J683">
            <v>0.16</v>
          </cell>
          <cell r="L683">
            <v>0.59</v>
          </cell>
          <cell r="P683">
            <v>161</v>
          </cell>
        </row>
        <row r="684">
          <cell r="J684">
            <v>0.16</v>
          </cell>
          <cell r="L684">
            <v>0.55000000000000004</v>
          </cell>
          <cell r="P684">
            <v>156</v>
          </cell>
        </row>
        <row r="685">
          <cell r="J685">
            <v>0.3</v>
          </cell>
          <cell r="L685">
            <v>0.61</v>
          </cell>
          <cell r="P685">
            <v>111</v>
          </cell>
        </row>
        <row r="686">
          <cell r="J686">
            <v>0.16</v>
          </cell>
          <cell r="L686">
            <v>0.59</v>
          </cell>
          <cell r="P686">
            <v>78</v>
          </cell>
        </row>
        <row r="687">
          <cell r="J687">
            <v>0.16</v>
          </cell>
          <cell r="L687">
            <v>0.59</v>
          </cell>
          <cell r="P687">
            <v>56</v>
          </cell>
        </row>
        <row r="688">
          <cell r="J688">
            <v>0.16</v>
          </cell>
          <cell r="L688">
            <v>0.59</v>
          </cell>
          <cell r="P688">
            <v>34</v>
          </cell>
        </row>
        <row r="689">
          <cell r="J689">
            <v>0.16</v>
          </cell>
          <cell r="L689">
            <v>0.64</v>
          </cell>
          <cell r="P689">
            <v>17</v>
          </cell>
        </row>
        <row r="690">
          <cell r="J690">
            <v>0.16</v>
          </cell>
          <cell r="L690">
            <v>0.64</v>
          </cell>
          <cell r="P690">
            <v>8</v>
          </cell>
        </row>
        <row r="691">
          <cell r="J691">
            <v>0.16</v>
          </cell>
          <cell r="L691">
            <v>0.69</v>
          </cell>
          <cell r="P691">
            <v>3</v>
          </cell>
        </row>
        <row r="692">
          <cell r="J692">
            <v>0.16</v>
          </cell>
          <cell r="L692">
            <v>0.69</v>
          </cell>
          <cell r="P692">
            <v>2</v>
          </cell>
        </row>
        <row r="693">
          <cell r="J693">
            <v>0.16</v>
          </cell>
          <cell r="L693">
            <v>0.69</v>
          </cell>
          <cell r="P693">
            <v>2</v>
          </cell>
        </row>
        <row r="694">
          <cell r="J694">
            <v>0.14000000000000001</v>
          </cell>
          <cell r="L694">
            <v>0.93</v>
          </cell>
          <cell r="P694">
            <v>3</v>
          </cell>
        </row>
        <row r="695">
          <cell r="J695">
            <v>0.14000000000000001</v>
          </cell>
          <cell r="L695">
            <v>0.93</v>
          </cell>
          <cell r="P695">
            <v>22</v>
          </cell>
        </row>
        <row r="696">
          <cell r="J696">
            <v>0.16</v>
          </cell>
          <cell r="L696">
            <v>0.93</v>
          </cell>
          <cell r="P696">
            <v>52</v>
          </cell>
        </row>
        <row r="697">
          <cell r="J697">
            <v>0.16</v>
          </cell>
          <cell r="L697">
            <v>0.93</v>
          </cell>
          <cell r="P697">
            <v>135</v>
          </cell>
        </row>
        <row r="698">
          <cell r="J698">
            <v>0.16</v>
          </cell>
          <cell r="L698">
            <v>0.93</v>
          </cell>
          <cell r="P698">
            <v>116</v>
          </cell>
        </row>
        <row r="699">
          <cell r="J699">
            <v>0.16</v>
          </cell>
          <cell r="L699">
            <v>0.93</v>
          </cell>
          <cell r="P699">
            <v>47</v>
          </cell>
        </row>
        <row r="700">
          <cell r="J700">
            <v>0.18</v>
          </cell>
          <cell r="L700">
            <v>0.86</v>
          </cell>
          <cell r="P700">
            <v>51</v>
          </cell>
        </row>
        <row r="701">
          <cell r="J701">
            <v>0.2</v>
          </cell>
          <cell r="L701">
            <v>0.86</v>
          </cell>
          <cell r="P701">
            <v>55</v>
          </cell>
        </row>
        <row r="702">
          <cell r="J702">
            <v>0.2</v>
          </cell>
          <cell r="L702">
            <v>0.86</v>
          </cell>
          <cell r="P702">
            <v>52</v>
          </cell>
        </row>
        <row r="703">
          <cell r="J703">
            <v>0.22</v>
          </cell>
          <cell r="L703">
            <v>0.8</v>
          </cell>
          <cell r="P703">
            <v>54</v>
          </cell>
        </row>
        <row r="704">
          <cell r="J704">
            <v>0.24</v>
          </cell>
          <cell r="L704">
            <v>0.75</v>
          </cell>
          <cell r="P704">
            <v>52</v>
          </cell>
        </row>
        <row r="705">
          <cell r="J705">
            <v>0.24</v>
          </cell>
          <cell r="L705">
            <v>0.75</v>
          </cell>
          <cell r="P705">
            <v>64</v>
          </cell>
        </row>
        <row r="706">
          <cell r="J706">
            <v>0.24</v>
          </cell>
          <cell r="L706">
            <v>0.75</v>
          </cell>
          <cell r="P706">
            <v>176</v>
          </cell>
        </row>
        <row r="707">
          <cell r="J707">
            <v>0.24</v>
          </cell>
          <cell r="L707">
            <v>0.81</v>
          </cell>
          <cell r="P707">
            <v>168</v>
          </cell>
        </row>
        <row r="708">
          <cell r="J708">
            <v>0.24</v>
          </cell>
          <cell r="L708">
            <v>0.81</v>
          </cell>
          <cell r="P708">
            <v>108</v>
          </cell>
        </row>
        <row r="709">
          <cell r="J709">
            <v>0.22</v>
          </cell>
          <cell r="L709">
            <v>0.87</v>
          </cell>
          <cell r="P709">
            <v>74</v>
          </cell>
        </row>
        <row r="710">
          <cell r="J710">
            <v>0.22</v>
          </cell>
          <cell r="L710">
            <v>0.87</v>
          </cell>
          <cell r="P710">
            <v>64</v>
          </cell>
        </row>
        <row r="711">
          <cell r="J711">
            <v>0.22</v>
          </cell>
          <cell r="L711">
            <v>0.87</v>
          </cell>
          <cell r="P711">
            <v>36</v>
          </cell>
        </row>
        <row r="712">
          <cell r="J712">
            <v>0.2</v>
          </cell>
          <cell r="L712">
            <v>0.93</v>
          </cell>
          <cell r="P712">
            <v>16</v>
          </cell>
        </row>
        <row r="713">
          <cell r="J713">
            <v>0.22</v>
          </cell>
          <cell r="L713">
            <v>0.93</v>
          </cell>
          <cell r="P713">
            <v>2</v>
          </cell>
        </row>
        <row r="714">
          <cell r="J714">
            <v>0.22</v>
          </cell>
          <cell r="L714">
            <v>0.93</v>
          </cell>
          <cell r="P714">
            <v>3</v>
          </cell>
        </row>
        <row r="715">
          <cell r="J715">
            <v>0.22</v>
          </cell>
          <cell r="L715">
            <v>0.93</v>
          </cell>
          <cell r="P715">
            <v>4</v>
          </cell>
        </row>
        <row r="716">
          <cell r="J716">
            <v>0.22</v>
          </cell>
          <cell r="L716">
            <v>0.93</v>
          </cell>
          <cell r="P716">
            <v>1</v>
          </cell>
        </row>
        <row r="717">
          <cell r="J717">
            <v>0.22</v>
          </cell>
          <cell r="L717">
            <v>0.93</v>
          </cell>
          <cell r="P717">
            <v>1</v>
          </cell>
        </row>
        <row r="718">
          <cell r="J718">
            <v>0.22</v>
          </cell>
          <cell r="L718">
            <v>0.93</v>
          </cell>
          <cell r="P718">
            <v>3</v>
          </cell>
        </row>
        <row r="719">
          <cell r="J719">
            <v>0.22</v>
          </cell>
          <cell r="L719">
            <v>0.93</v>
          </cell>
          <cell r="P719">
            <v>18</v>
          </cell>
        </row>
        <row r="720">
          <cell r="J720">
            <v>0.22</v>
          </cell>
          <cell r="L720">
            <v>0.93</v>
          </cell>
          <cell r="P720">
            <v>49</v>
          </cell>
        </row>
        <row r="721">
          <cell r="J721">
            <v>0.22</v>
          </cell>
          <cell r="L721">
            <v>0.93</v>
          </cell>
          <cell r="P721">
            <v>155</v>
          </cell>
        </row>
        <row r="722">
          <cell r="J722">
            <v>0.24</v>
          </cell>
          <cell r="L722">
            <v>0.93</v>
          </cell>
          <cell r="P722">
            <v>123</v>
          </cell>
        </row>
        <row r="723">
          <cell r="J723">
            <v>0.22</v>
          </cell>
          <cell r="L723">
            <v>1</v>
          </cell>
          <cell r="P723">
            <v>61</v>
          </cell>
        </row>
        <row r="724">
          <cell r="J724">
            <v>0.24</v>
          </cell>
          <cell r="L724">
            <v>0.93</v>
          </cell>
          <cell r="P724">
            <v>52</v>
          </cell>
        </row>
        <row r="725">
          <cell r="J725">
            <v>0.24</v>
          </cell>
          <cell r="L725">
            <v>0.93</v>
          </cell>
          <cell r="P725">
            <v>64</v>
          </cell>
        </row>
        <row r="726">
          <cell r="J726">
            <v>0.34</v>
          </cell>
          <cell r="L726">
            <v>0.93</v>
          </cell>
          <cell r="P726">
            <v>75</v>
          </cell>
        </row>
        <row r="727">
          <cell r="J727">
            <v>0.38</v>
          </cell>
          <cell r="L727">
            <v>0.82</v>
          </cell>
          <cell r="P727">
            <v>63</v>
          </cell>
        </row>
        <row r="728">
          <cell r="J728">
            <v>0.38</v>
          </cell>
          <cell r="L728">
            <v>0.76</v>
          </cell>
          <cell r="P728">
            <v>76</v>
          </cell>
        </row>
        <row r="729">
          <cell r="J729">
            <v>0.36</v>
          </cell>
          <cell r="L729">
            <v>0.71</v>
          </cell>
          <cell r="P729">
            <v>103</v>
          </cell>
        </row>
        <row r="730">
          <cell r="J730">
            <v>0.36</v>
          </cell>
          <cell r="L730">
            <v>0.53</v>
          </cell>
          <cell r="P730">
            <v>190</v>
          </cell>
        </row>
        <row r="731">
          <cell r="J731">
            <v>0.34</v>
          </cell>
          <cell r="L731">
            <v>0.42</v>
          </cell>
          <cell r="P731">
            <v>182</v>
          </cell>
        </row>
        <row r="732">
          <cell r="J732">
            <v>0.28000000000000003</v>
          </cell>
          <cell r="L732">
            <v>0.45</v>
          </cell>
          <cell r="P732">
            <v>91</v>
          </cell>
        </row>
        <row r="733">
          <cell r="J733">
            <v>0.24</v>
          </cell>
          <cell r="L733">
            <v>0.48</v>
          </cell>
          <cell r="P733">
            <v>75</v>
          </cell>
        </row>
        <row r="734">
          <cell r="J734">
            <v>0.22</v>
          </cell>
          <cell r="L734">
            <v>0.47</v>
          </cell>
          <cell r="P734">
            <v>63</v>
          </cell>
        </row>
        <row r="735">
          <cell r="J735">
            <v>0.22</v>
          </cell>
          <cell r="L735">
            <v>0.44</v>
          </cell>
          <cell r="P735">
            <v>40</v>
          </cell>
        </row>
        <row r="736">
          <cell r="J736">
            <v>0.2</v>
          </cell>
          <cell r="L736">
            <v>0.44</v>
          </cell>
          <cell r="P736">
            <v>32</v>
          </cell>
        </row>
        <row r="737">
          <cell r="J737">
            <v>0.2</v>
          </cell>
          <cell r="L737">
            <v>0.4</v>
          </cell>
          <cell r="P737">
            <v>12</v>
          </cell>
        </row>
        <row r="738">
          <cell r="J738">
            <v>0.2</v>
          </cell>
          <cell r="L738">
            <v>0.44</v>
          </cell>
          <cell r="P738">
            <v>5</v>
          </cell>
        </row>
        <row r="739">
          <cell r="J739">
            <v>0.18</v>
          </cell>
          <cell r="L739">
            <v>0.43</v>
          </cell>
          <cell r="P739">
            <v>2</v>
          </cell>
        </row>
        <row r="740">
          <cell r="J740">
            <v>0.18</v>
          </cell>
          <cell r="L740">
            <v>0.43</v>
          </cell>
          <cell r="P740">
            <v>1</v>
          </cell>
        </row>
        <row r="741">
          <cell r="J741">
            <v>0.16</v>
          </cell>
          <cell r="L741">
            <v>0.5</v>
          </cell>
          <cell r="P741">
            <v>2</v>
          </cell>
        </row>
        <row r="742">
          <cell r="J742">
            <v>0.16</v>
          </cell>
          <cell r="L742">
            <v>0.43</v>
          </cell>
          <cell r="P742">
            <v>39</v>
          </cell>
        </row>
        <row r="743">
          <cell r="J743">
            <v>0.14000000000000001</v>
          </cell>
          <cell r="L743">
            <v>0.5</v>
          </cell>
          <cell r="P743">
            <v>87</v>
          </cell>
        </row>
        <row r="744">
          <cell r="J744">
            <v>0.14000000000000001</v>
          </cell>
          <cell r="L744">
            <v>0.5</v>
          </cell>
          <cell r="P744">
            <v>188</v>
          </cell>
        </row>
        <row r="745">
          <cell r="J745">
            <v>0.16</v>
          </cell>
          <cell r="L745">
            <v>0.47</v>
          </cell>
          <cell r="P745">
            <v>133</v>
          </cell>
        </row>
        <row r="746">
          <cell r="J746">
            <v>0.18</v>
          </cell>
          <cell r="L746">
            <v>0.43</v>
          </cell>
          <cell r="P746">
            <v>52</v>
          </cell>
        </row>
        <row r="747">
          <cell r="J747">
            <v>0.18</v>
          </cell>
          <cell r="L747">
            <v>0.43</v>
          </cell>
          <cell r="P747">
            <v>64</v>
          </cell>
        </row>
        <row r="748">
          <cell r="J748">
            <v>0.2</v>
          </cell>
          <cell r="L748">
            <v>0.4</v>
          </cell>
          <cell r="P748">
            <v>69</v>
          </cell>
        </row>
        <row r="749">
          <cell r="J749">
            <v>0.2</v>
          </cell>
          <cell r="L749">
            <v>0.4</v>
          </cell>
          <cell r="P749">
            <v>51</v>
          </cell>
        </row>
        <row r="750">
          <cell r="J750">
            <v>0.22</v>
          </cell>
          <cell r="L750">
            <v>0.37</v>
          </cell>
          <cell r="P750">
            <v>47</v>
          </cell>
        </row>
        <row r="751">
          <cell r="J751">
            <v>0.22</v>
          </cell>
          <cell r="L751">
            <v>0.37</v>
          </cell>
          <cell r="P751">
            <v>60</v>
          </cell>
        </row>
        <row r="752">
          <cell r="J752">
            <v>0.22</v>
          </cell>
          <cell r="L752">
            <v>0.37</v>
          </cell>
          <cell r="P752">
            <v>78</v>
          </cell>
        </row>
        <row r="753">
          <cell r="J753">
            <v>0.2</v>
          </cell>
          <cell r="L753">
            <v>0.4</v>
          </cell>
          <cell r="P753">
            <v>175</v>
          </cell>
        </row>
        <row r="754">
          <cell r="J754">
            <v>0.2</v>
          </cell>
          <cell r="L754">
            <v>0.4</v>
          </cell>
          <cell r="P754">
            <v>147</v>
          </cell>
        </row>
        <row r="755">
          <cell r="J755">
            <v>0.2</v>
          </cell>
          <cell r="L755">
            <v>0.4</v>
          </cell>
          <cell r="P755">
            <v>96</v>
          </cell>
        </row>
        <row r="756">
          <cell r="J756">
            <v>0.2</v>
          </cell>
          <cell r="L756">
            <v>0.47</v>
          </cell>
          <cell r="P756">
            <v>109</v>
          </cell>
        </row>
        <row r="757">
          <cell r="J757">
            <v>0.18</v>
          </cell>
          <cell r="L757">
            <v>0.55000000000000004</v>
          </cell>
          <cell r="P757">
            <v>54</v>
          </cell>
        </row>
        <row r="758">
          <cell r="J758">
            <v>0.18</v>
          </cell>
          <cell r="L758">
            <v>0.51</v>
          </cell>
          <cell r="P758">
            <v>41</v>
          </cell>
        </row>
        <row r="759">
          <cell r="J759">
            <v>0.2</v>
          </cell>
          <cell r="L759">
            <v>0.47</v>
          </cell>
          <cell r="P759">
            <v>38</v>
          </cell>
        </row>
        <row r="760">
          <cell r="J760">
            <v>0.2</v>
          </cell>
          <cell r="L760">
            <v>0.44</v>
          </cell>
          <cell r="P760">
            <v>13</v>
          </cell>
        </row>
        <row r="761">
          <cell r="J761">
            <v>0.16</v>
          </cell>
          <cell r="L761">
            <v>0.59</v>
          </cell>
          <cell r="P761">
            <v>7</v>
          </cell>
        </row>
        <row r="762">
          <cell r="J762">
            <v>0.14000000000000001</v>
          </cell>
          <cell r="L762">
            <v>0.63</v>
          </cell>
          <cell r="P762">
            <v>1</v>
          </cell>
        </row>
        <row r="763">
          <cell r="J763">
            <v>0.14000000000000001</v>
          </cell>
          <cell r="L763">
            <v>0.63</v>
          </cell>
          <cell r="P763">
            <v>1</v>
          </cell>
        </row>
        <row r="764">
          <cell r="J764">
            <v>0.14000000000000001</v>
          </cell>
          <cell r="L764">
            <v>0.63</v>
          </cell>
          <cell r="P764">
            <v>7</v>
          </cell>
        </row>
        <row r="765">
          <cell r="J765">
            <v>0.16</v>
          </cell>
          <cell r="L765">
            <v>0.55000000000000004</v>
          </cell>
          <cell r="P765">
            <v>28</v>
          </cell>
        </row>
        <row r="766">
          <cell r="J766">
            <v>0.14000000000000001</v>
          </cell>
          <cell r="L766">
            <v>0.59</v>
          </cell>
          <cell r="P766">
            <v>87</v>
          </cell>
        </row>
        <row r="767">
          <cell r="J767">
            <v>0.14000000000000001</v>
          </cell>
          <cell r="L767">
            <v>0.74</v>
          </cell>
          <cell r="P767">
            <v>220</v>
          </cell>
        </row>
        <row r="768">
          <cell r="J768">
            <v>0.16</v>
          </cell>
          <cell r="L768">
            <v>0.8</v>
          </cell>
          <cell r="P768">
            <v>127</v>
          </cell>
        </row>
        <row r="769">
          <cell r="J769">
            <v>0.2</v>
          </cell>
          <cell r="L769">
            <v>0.51</v>
          </cell>
          <cell r="P769">
            <v>51</v>
          </cell>
        </row>
        <row r="770">
          <cell r="J770">
            <v>0.22</v>
          </cell>
          <cell r="L770">
            <v>0.51</v>
          </cell>
          <cell r="P770">
            <v>64</v>
          </cell>
        </row>
        <row r="771">
          <cell r="J771">
            <v>0.24</v>
          </cell>
          <cell r="L771">
            <v>0.48</v>
          </cell>
          <cell r="P771">
            <v>86</v>
          </cell>
        </row>
        <row r="772">
          <cell r="J772">
            <v>0.26</v>
          </cell>
          <cell r="L772">
            <v>0.5</v>
          </cell>
          <cell r="P772">
            <v>82</v>
          </cell>
        </row>
        <row r="773">
          <cell r="J773">
            <v>0.28000000000000003</v>
          </cell>
          <cell r="L773">
            <v>0.45</v>
          </cell>
          <cell r="P773">
            <v>91</v>
          </cell>
        </row>
        <row r="774">
          <cell r="J774">
            <v>0.28000000000000003</v>
          </cell>
          <cell r="L774">
            <v>0.48</v>
          </cell>
          <cell r="P774">
            <v>90</v>
          </cell>
        </row>
        <row r="775">
          <cell r="J775">
            <v>0.3</v>
          </cell>
          <cell r="L775">
            <v>0.42</v>
          </cell>
          <cell r="P775">
            <v>99</v>
          </cell>
        </row>
        <row r="776">
          <cell r="J776">
            <v>0.26</v>
          </cell>
          <cell r="L776">
            <v>0.56000000000000005</v>
          </cell>
          <cell r="P776">
            <v>205</v>
          </cell>
        </row>
        <row r="777">
          <cell r="J777">
            <v>0.24</v>
          </cell>
          <cell r="L777">
            <v>0.6</v>
          </cell>
          <cell r="P777">
            <v>155</v>
          </cell>
        </row>
        <row r="778">
          <cell r="J778">
            <v>0.24</v>
          </cell>
          <cell r="L778">
            <v>0.65</v>
          </cell>
          <cell r="P778">
            <v>103</v>
          </cell>
        </row>
        <row r="779">
          <cell r="J779">
            <v>0.24</v>
          </cell>
          <cell r="L779">
            <v>0.65</v>
          </cell>
          <cell r="P779">
            <v>71</v>
          </cell>
        </row>
        <row r="780">
          <cell r="J780">
            <v>0.24</v>
          </cell>
          <cell r="L780">
            <v>0.7</v>
          </cell>
          <cell r="P780">
            <v>43</v>
          </cell>
        </row>
        <row r="781">
          <cell r="J781">
            <v>0.24</v>
          </cell>
          <cell r="L781">
            <v>0.65</v>
          </cell>
          <cell r="P781">
            <v>46</v>
          </cell>
        </row>
        <row r="782">
          <cell r="J782">
            <v>0.24</v>
          </cell>
          <cell r="L782">
            <v>0.7</v>
          </cell>
          <cell r="P782">
            <v>31</v>
          </cell>
        </row>
        <row r="783">
          <cell r="J783">
            <v>0.24</v>
          </cell>
          <cell r="L783">
            <v>0.7</v>
          </cell>
          <cell r="P783">
            <v>39</v>
          </cell>
        </row>
        <row r="784">
          <cell r="J784">
            <v>0.24</v>
          </cell>
          <cell r="L784">
            <v>0.65</v>
          </cell>
          <cell r="P784">
            <v>18</v>
          </cell>
        </row>
        <row r="785">
          <cell r="J785">
            <v>0.24</v>
          </cell>
          <cell r="L785">
            <v>0.75</v>
          </cell>
          <cell r="P785">
            <v>17</v>
          </cell>
        </row>
        <row r="786">
          <cell r="J786">
            <v>0.24</v>
          </cell>
          <cell r="L786">
            <v>0.75</v>
          </cell>
          <cell r="P786">
            <v>11</v>
          </cell>
        </row>
        <row r="787">
          <cell r="J787">
            <v>0.22</v>
          </cell>
          <cell r="L787">
            <v>0.93</v>
          </cell>
          <cell r="P787">
            <v>8</v>
          </cell>
        </row>
        <row r="788">
          <cell r="J788">
            <v>0.2</v>
          </cell>
          <cell r="L788">
            <v>1</v>
          </cell>
          <cell r="P788">
            <v>9</v>
          </cell>
        </row>
        <row r="789">
          <cell r="J789">
            <v>0.2</v>
          </cell>
          <cell r="L789">
            <v>1</v>
          </cell>
          <cell r="P789">
            <v>4</v>
          </cell>
        </row>
        <row r="790">
          <cell r="J790">
            <v>0.22</v>
          </cell>
          <cell r="L790">
            <v>0.93</v>
          </cell>
          <cell r="P790">
            <v>4</v>
          </cell>
        </row>
        <row r="791">
          <cell r="J791">
            <v>0.2</v>
          </cell>
          <cell r="L791">
            <v>1</v>
          </cell>
          <cell r="P791">
            <v>10</v>
          </cell>
        </row>
        <row r="792">
          <cell r="J792">
            <v>0.2</v>
          </cell>
          <cell r="L792">
            <v>1</v>
          </cell>
          <cell r="P792">
            <v>20</v>
          </cell>
        </row>
        <row r="793">
          <cell r="J793">
            <v>0.2</v>
          </cell>
          <cell r="L793">
            <v>1</v>
          </cell>
          <cell r="P793">
            <v>34</v>
          </cell>
        </row>
        <row r="794">
          <cell r="J794">
            <v>0.22</v>
          </cell>
          <cell r="L794">
            <v>1</v>
          </cell>
          <cell r="P794">
            <v>47</v>
          </cell>
        </row>
        <row r="795">
          <cell r="J795">
            <v>0.22</v>
          </cell>
          <cell r="L795">
            <v>1</v>
          </cell>
          <cell r="P795">
            <v>52</v>
          </cell>
        </row>
        <row r="796">
          <cell r="J796">
            <v>0.22</v>
          </cell>
          <cell r="L796">
            <v>1</v>
          </cell>
          <cell r="P796">
            <v>72</v>
          </cell>
        </row>
        <row r="797">
          <cell r="J797">
            <v>0.22</v>
          </cell>
          <cell r="L797">
            <v>1</v>
          </cell>
          <cell r="P797">
            <v>55</v>
          </cell>
        </row>
        <row r="798">
          <cell r="J798">
            <v>0.22</v>
          </cell>
          <cell r="L798">
            <v>1</v>
          </cell>
          <cell r="P798">
            <v>60</v>
          </cell>
        </row>
        <row r="799">
          <cell r="J799">
            <v>0.22</v>
          </cell>
          <cell r="L799">
            <v>1</v>
          </cell>
          <cell r="P799">
            <v>71</v>
          </cell>
        </row>
        <row r="800">
          <cell r="J800">
            <v>0.24</v>
          </cell>
          <cell r="L800">
            <v>1</v>
          </cell>
          <cell r="P800">
            <v>78</v>
          </cell>
        </row>
        <row r="801">
          <cell r="J801">
            <v>0.28000000000000003</v>
          </cell>
          <cell r="L801">
            <v>0.93</v>
          </cell>
          <cell r="P801">
            <v>83</v>
          </cell>
        </row>
        <row r="802">
          <cell r="J802">
            <v>0.28000000000000003</v>
          </cell>
          <cell r="L802">
            <v>0.93</v>
          </cell>
          <cell r="P802">
            <v>84</v>
          </cell>
        </row>
        <row r="803">
          <cell r="J803">
            <v>0.3</v>
          </cell>
          <cell r="L803">
            <v>0.87</v>
          </cell>
          <cell r="P803">
            <v>69</v>
          </cell>
        </row>
        <row r="804">
          <cell r="J804">
            <v>0.26</v>
          </cell>
          <cell r="L804">
            <v>1</v>
          </cell>
          <cell r="P804">
            <v>56</v>
          </cell>
        </row>
        <row r="805">
          <cell r="J805">
            <v>0.26</v>
          </cell>
          <cell r="L805">
            <v>0.93</v>
          </cell>
          <cell r="P805">
            <v>45</v>
          </cell>
        </row>
        <row r="806">
          <cell r="J806">
            <v>0.26</v>
          </cell>
          <cell r="L806">
            <v>0.93</v>
          </cell>
          <cell r="P806">
            <v>59</v>
          </cell>
        </row>
        <row r="807">
          <cell r="J807">
            <v>0.26</v>
          </cell>
          <cell r="L807">
            <v>0.7</v>
          </cell>
          <cell r="P807">
            <v>39</v>
          </cell>
        </row>
        <row r="808">
          <cell r="J808">
            <v>0.26</v>
          </cell>
          <cell r="L808">
            <v>0.65</v>
          </cell>
          <cell r="P808">
            <v>44</v>
          </cell>
        </row>
        <row r="809">
          <cell r="J809">
            <v>0.26</v>
          </cell>
          <cell r="L809">
            <v>0.6</v>
          </cell>
          <cell r="P809">
            <v>20</v>
          </cell>
        </row>
        <row r="810">
          <cell r="J810">
            <v>0.26</v>
          </cell>
          <cell r="L810">
            <v>0.6</v>
          </cell>
          <cell r="P810">
            <v>13</v>
          </cell>
        </row>
        <row r="811">
          <cell r="J811">
            <v>0.26</v>
          </cell>
          <cell r="L811">
            <v>0.6</v>
          </cell>
          <cell r="P811">
            <v>2</v>
          </cell>
        </row>
        <row r="812">
          <cell r="J812">
            <v>0.26</v>
          </cell>
          <cell r="L812">
            <v>0.6</v>
          </cell>
          <cell r="P812">
            <v>1</v>
          </cell>
        </row>
        <row r="813">
          <cell r="J813">
            <v>0.26</v>
          </cell>
          <cell r="L813">
            <v>0.6</v>
          </cell>
          <cell r="P813">
            <v>1</v>
          </cell>
        </row>
        <row r="814">
          <cell r="J814">
            <v>0.24</v>
          </cell>
          <cell r="L814">
            <v>0.65</v>
          </cell>
          <cell r="P814">
            <v>8</v>
          </cell>
        </row>
        <row r="815">
          <cell r="J815">
            <v>0.24</v>
          </cell>
          <cell r="L815">
            <v>0.65</v>
          </cell>
          <cell r="P815">
            <v>23</v>
          </cell>
        </row>
        <row r="816">
          <cell r="J816">
            <v>0.28000000000000003</v>
          </cell>
          <cell r="L816">
            <v>0.56000000000000005</v>
          </cell>
          <cell r="P816">
            <v>45</v>
          </cell>
        </row>
        <row r="817">
          <cell r="J817">
            <v>0.3</v>
          </cell>
          <cell r="L817">
            <v>0.52</v>
          </cell>
          <cell r="P817">
            <v>89</v>
          </cell>
        </row>
        <row r="818">
          <cell r="J818">
            <v>0.32</v>
          </cell>
          <cell r="L818">
            <v>0.49</v>
          </cell>
          <cell r="P818">
            <v>117</v>
          </cell>
        </row>
        <row r="819">
          <cell r="J819">
            <v>0.34</v>
          </cell>
          <cell r="L819">
            <v>0.46</v>
          </cell>
          <cell r="P819">
            <v>174</v>
          </cell>
        </row>
        <row r="820">
          <cell r="J820">
            <v>0.34</v>
          </cell>
          <cell r="L820">
            <v>0.46</v>
          </cell>
          <cell r="P820">
            <v>182</v>
          </cell>
        </row>
        <row r="821">
          <cell r="J821">
            <v>0.34</v>
          </cell>
          <cell r="L821">
            <v>0.46</v>
          </cell>
          <cell r="P821">
            <v>161</v>
          </cell>
        </row>
        <row r="822">
          <cell r="J822">
            <v>0.34</v>
          </cell>
          <cell r="L822">
            <v>0.46</v>
          </cell>
          <cell r="P822">
            <v>182</v>
          </cell>
        </row>
        <row r="823">
          <cell r="J823">
            <v>0.34</v>
          </cell>
          <cell r="L823">
            <v>0.49</v>
          </cell>
          <cell r="P823">
            <v>157</v>
          </cell>
        </row>
        <row r="824">
          <cell r="J824">
            <v>0.34</v>
          </cell>
          <cell r="L824">
            <v>0.46</v>
          </cell>
          <cell r="P824">
            <v>121</v>
          </cell>
        </row>
        <row r="825">
          <cell r="J825">
            <v>0.3</v>
          </cell>
          <cell r="L825">
            <v>0.56000000000000005</v>
          </cell>
          <cell r="P825">
            <v>78</v>
          </cell>
        </row>
        <row r="826">
          <cell r="J826">
            <v>0.28000000000000003</v>
          </cell>
          <cell r="L826">
            <v>0.61</v>
          </cell>
          <cell r="P826">
            <v>21</v>
          </cell>
        </row>
        <row r="827">
          <cell r="J827">
            <v>0.28000000000000003</v>
          </cell>
          <cell r="L827">
            <v>0.61</v>
          </cell>
          <cell r="P827">
            <v>26</v>
          </cell>
        </row>
        <row r="828">
          <cell r="J828">
            <v>0.26</v>
          </cell>
          <cell r="L828">
            <v>0.6</v>
          </cell>
          <cell r="P828">
            <v>27</v>
          </cell>
        </row>
        <row r="829">
          <cell r="J829">
            <v>0.26</v>
          </cell>
          <cell r="L829">
            <v>0.6</v>
          </cell>
          <cell r="P829">
            <v>62</v>
          </cell>
        </row>
        <row r="830">
          <cell r="J830">
            <v>0.24</v>
          </cell>
          <cell r="L830">
            <v>0.65</v>
          </cell>
          <cell r="P830">
            <v>30</v>
          </cell>
        </row>
        <row r="831">
          <cell r="J831">
            <v>0.24</v>
          </cell>
          <cell r="L831">
            <v>0.65</v>
          </cell>
          <cell r="P831">
            <v>15</v>
          </cell>
        </row>
        <row r="832">
          <cell r="J832">
            <v>0.22</v>
          </cell>
          <cell r="L832">
            <v>0.75</v>
          </cell>
          <cell r="P832">
            <v>5</v>
          </cell>
        </row>
        <row r="833">
          <cell r="J833">
            <v>0.2</v>
          </cell>
          <cell r="L833">
            <v>0.8</v>
          </cell>
          <cell r="P833">
            <v>3</v>
          </cell>
        </row>
        <row r="834">
          <cell r="J834">
            <v>0.2</v>
          </cell>
          <cell r="L834">
            <v>0.86</v>
          </cell>
          <cell r="P834">
            <v>1</v>
          </cell>
        </row>
        <row r="835">
          <cell r="J835">
            <v>0.2</v>
          </cell>
          <cell r="L835">
            <v>0.86</v>
          </cell>
          <cell r="P835">
            <v>2</v>
          </cell>
        </row>
        <row r="836">
          <cell r="J836">
            <v>0.2</v>
          </cell>
          <cell r="L836">
            <v>0.86</v>
          </cell>
          <cell r="P836">
            <v>10</v>
          </cell>
        </row>
        <row r="837">
          <cell r="J837">
            <v>0.18</v>
          </cell>
          <cell r="L837">
            <v>0.93</v>
          </cell>
          <cell r="P837">
            <v>30</v>
          </cell>
        </row>
        <row r="838">
          <cell r="J838">
            <v>0.18</v>
          </cell>
          <cell r="L838">
            <v>0.86</v>
          </cell>
          <cell r="P838">
            <v>95</v>
          </cell>
        </row>
        <row r="839">
          <cell r="J839">
            <v>0.16</v>
          </cell>
          <cell r="L839">
            <v>1</v>
          </cell>
          <cell r="P839">
            <v>230</v>
          </cell>
        </row>
        <row r="840">
          <cell r="J840">
            <v>0.22</v>
          </cell>
          <cell r="L840">
            <v>0.8</v>
          </cell>
          <cell r="P840">
            <v>118</v>
          </cell>
        </row>
        <row r="841">
          <cell r="J841">
            <v>0.24</v>
          </cell>
          <cell r="L841">
            <v>0.75</v>
          </cell>
          <cell r="P841">
            <v>55</v>
          </cell>
        </row>
        <row r="842">
          <cell r="J842">
            <v>0.3</v>
          </cell>
          <cell r="L842">
            <v>0.65</v>
          </cell>
          <cell r="P842">
            <v>47</v>
          </cell>
        </row>
        <row r="843">
          <cell r="J843">
            <v>0.32</v>
          </cell>
          <cell r="L843">
            <v>0.62</v>
          </cell>
          <cell r="P843">
            <v>66</v>
          </cell>
        </row>
        <row r="844">
          <cell r="J844">
            <v>0.36</v>
          </cell>
          <cell r="L844">
            <v>0.56999999999999995</v>
          </cell>
          <cell r="P844">
            <v>64</v>
          </cell>
        </row>
        <row r="845">
          <cell r="J845">
            <v>0.36</v>
          </cell>
          <cell r="L845">
            <v>0.56999999999999995</v>
          </cell>
          <cell r="P845">
            <v>60</v>
          </cell>
        </row>
        <row r="846">
          <cell r="J846">
            <v>0.38</v>
          </cell>
          <cell r="L846">
            <v>0.54</v>
          </cell>
          <cell r="P846">
            <v>50</v>
          </cell>
        </row>
        <row r="847">
          <cell r="J847">
            <v>0.36</v>
          </cell>
          <cell r="L847">
            <v>0.56999999999999995</v>
          </cell>
          <cell r="P847">
            <v>114</v>
          </cell>
        </row>
        <row r="848">
          <cell r="J848">
            <v>0.32</v>
          </cell>
          <cell r="L848">
            <v>0.7</v>
          </cell>
          <cell r="P848">
            <v>216</v>
          </cell>
        </row>
        <row r="849">
          <cell r="J849">
            <v>0.34</v>
          </cell>
          <cell r="L849">
            <v>0.66</v>
          </cell>
          <cell r="P849">
            <v>175</v>
          </cell>
        </row>
        <row r="850">
          <cell r="J850">
            <v>0.32</v>
          </cell>
          <cell r="L850">
            <v>0.7</v>
          </cell>
          <cell r="P850">
            <v>128</v>
          </cell>
        </row>
        <row r="851">
          <cell r="J851">
            <v>0.32</v>
          </cell>
          <cell r="L851">
            <v>0.7</v>
          </cell>
          <cell r="P851">
            <v>88</v>
          </cell>
        </row>
        <row r="852">
          <cell r="J852">
            <v>0.32</v>
          </cell>
          <cell r="L852">
            <v>0.7</v>
          </cell>
          <cell r="P852">
            <v>78</v>
          </cell>
        </row>
        <row r="853">
          <cell r="J853">
            <v>0.28000000000000003</v>
          </cell>
          <cell r="L853">
            <v>0.81</v>
          </cell>
          <cell r="P853">
            <v>37</v>
          </cell>
        </row>
        <row r="854">
          <cell r="J854">
            <v>0.3</v>
          </cell>
          <cell r="L854">
            <v>0.81</v>
          </cell>
          <cell r="P854">
            <v>25</v>
          </cell>
        </row>
        <row r="855">
          <cell r="J855">
            <v>0.28000000000000003</v>
          </cell>
          <cell r="L855">
            <v>0.87</v>
          </cell>
          <cell r="P855">
            <v>10</v>
          </cell>
        </row>
        <row r="856">
          <cell r="J856">
            <v>0.28000000000000003</v>
          </cell>
          <cell r="L856">
            <v>0.87</v>
          </cell>
          <cell r="P856">
            <v>4</v>
          </cell>
        </row>
        <row r="857">
          <cell r="J857">
            <v>0.26</v>
          </cell>
          <cell r="L857">
            <v>0.93</v>
          </cell>
          <cell r="P857">
            <v>2</v>
          </cell>
        </row>
        <row r="858">
          <cell r="J858">
            <v>0.28000000000000003</v>
          </cell>
          <cell r="L858">
            <v>0.93</v>
          </cell>
          <cell r="P858">
            <v>1</v>
          </cell>
        </row>
        <row r="859">
          <cell r="J859">
            <v>0.26</v>
          </cell>
          <cell r="L859">
            <v>0.93</v>
          </cell>
          <cell r="P859">
            <v>3</v>
          </cell>
        </row>
        <row r="860">
          <cell r="J860">
            <v>0.26</v>
          </cell>
          <cell r="L860">
            <v>0.81</v>
          </cell>
          <cell r="P860">
            <v>2</v>
          </cell>
        </row>
        <row r="861">
          <cell r="J861">
            <v>0.26</v>
          </cell>
          <cell r="L861">
            <v>0.7</v>
          </cell>
          <cell r="P861">
            <v>39</v>
          </cell>
        </row>
        <row r="862">
          <cell r="J862">
            <v>0.24</v>
          </cell>
          <cell r="L862">
            <v>0.65</v>
          </cell>
          <cell r="P862">
            <v>100</v>
          </cell>
        </row>
        <row r="863">
          <cell r="J863">
            <v>0.24</v>
          </cell>
          <cell r="L863">
            <v>0.56000000000000005</v>
          </cell>
          <cell r="P863">
            <v>243</v>
          </cell>
        </row>
        <row r="864">
          <cell r="J864">
            <v>0.24</v>
          </cell>
          <cell r="L864">
            <v>0.52</v>
          </cell>
          <cell r="P864">
            <v>135</v>
          </cell>
        </row>
        <row r="865">
          <cell r="J865">
            <v>0.22</v>
          </cell>
          <cell r="L865">
            <v>0.47</v>
          </cell>
          <cell r="P865">
            <v>48</v>
          </cell>
        </row>
        <row r="866">
          <cell r="J866">
            <v>0.22</v>
          </cell>
          <cell r="L866">
            <v>0.47</v>
          </cell>
          <cell r="P866">
            <v>50</v>
          </cell>
        </row>
        <row r="867">
          <cell r="J867">
            <v>0.24</v>
          </cell>
          <cell r="L867">
            <v>0.38</v>
          </cell>
          <cell r="P867">
            <v>65</v>
          </cell>
        </row>
        <row r="868">
          <cell r="J868">
            <v>0.24</v>
          </cell>
          <cell r="L868">
            <v>0.32</v>
          </cell>
          <cell r="P868">
            <v>50</v>
          </cell>
        </row>
        <row r="869">
          <cell r="J869">
            <v>0.22</v>
          </cell>
          <cell r="L869">
            <v>0.37</v>
          </cell>
          <cell r="P869">
            <v>64</v>
          </cell>
        </row>
        <row r="870">
          <cell r="J870">
            <v>0.22</v>
          </cell>
          <cell r="L870">
            <v>0.35</v>
          </cell>
          <cell r="P870">
            <v>51</v>
          </cell>
        </row>
        <row r="871">
          <cell r="J871">
            <v>0.22</v>
          </cell>
          <cell r="L871">
            <v>0.35</v>
          </cell>
          <cell r="P871">
            <v>83</v>
          </cell>
        </row>
        <row r="872">
          <cell r="J872">
            <v>0.22</v>
          </cell>
          <cell r="L872">
            <v>0.32</v>
          </cell>
          <cell r="P872">
            <v>176</v>
          </cell>
        </row>
        <row r="873">
          <cell r="J873">
            <v>0.2</v>
          </cell>
          <cell r="L873">
            <v>0.32</v>
          </cell>
          <cell r="P873">
            <v>152</v>
          </cell>
        </row>
        <row r="874">
          <cell r="J874">
            <v>0.16</v>
          </cell>
          <cell r="L874">
            <v>0.4</v>
          </cell>
          <cell r="P874">
            <v>101</v>
          </cell>
        </row>
        <row r="875">
          <cell r="J875">
            <v>0.16</v>
          </cell>
          <cell r="L875">
            <v>0.4</v>
          </cell>
          <cell r="P875">
            <v>56</v>
          </cell>
        </row>
        <row r="876">
          <cell r="J876">
            <v>0.14000000000000001</v>
          </cell>
          <cell r="L876">
            <v>0.33</v>
          </cell>
          <cell r="P876">
            <v>54</v>
          </cell>
        </row>
        <row r="877">
          <cell r="J877">
            <v>0.12</v>
          </cell>
          <cell r="L877">
            <v>0.33</v>
          </cell>
          <cell r="P877">
            <v>29</v>
          </cell>
        </row>
        <row r="878">
          <cell r="J878">
            <v>0.12</v>
          </cell>
          <cell r="L878">
            <v>0.33</v>
          </cell>
          <cell r="P878">
            <v>12</v>
          </cell>
        </row>
        <row r="879">
          <cell r="J879">
            <v>0.1</v>
          </cell>
          <cell r="L879">
            <v>0.36</v>
          </cell>
          <cell r="P879">
            <v>17</v>
          </cell>
        </row>
        <row r="880">
          <cell r="J880">
            <v>0.1</v>
          </cell>
          <cell r="L880">
            <v>0.36</v>
          </cell>
          <cell r="P880">
            <v>7</v>
          </cell>
        </row>
        <row r="881">
          <cell r="J881">
            <v>0.08</v>
          </cell>
          <cell r="L881">
            <v>0.38</v>
          </cell>
          <cell r="P881">
            <v>3</v>
          </cell>
        </row>
        <row r="882">
          <cell r="J882">
            <v>0.06</v>
          </cell>
          <cell r="L882">
            <v>0.45</v>
          </cell>
          <cell r="P882">
            <v>2</v>
          </cell>
        </row>
        <row r="883">
          <cell r="J883">
            <v>0.06</v>
          </cell>
          <cell r="L883">
            <v>0.45</v>
          </cell>
          <cell r="P883">
            <v>7</v>
          </cell>
        </row>
        <row r="884">
          <cell r="J884">
            <v>0.06</v>
          </cell>
          <cell r="L884">
            <v>0.45</v>
          </cell>
          <cell r="P884">
            <v>43</v>
          </cell>
        </row>
        <row r="885">
          <cell r="J885">
            <v>0.06</v>
          </cell>
          <cell r="L885">
            <v>0.49</v>
          </cell>
          <cell r="P885">
            <v>99</v>
          </cell>
        </row>
        <row r="886">
          <cell r="J886">
            <v>0.1</v>
          </cell>
          <cell r="L886">
            <v>0.42</v>
          </cell>
          <cell r="P886">
            <v>199</v>
          </cell>
        </row>
        <row r="887">
          <cell r="J887">
            <v>0.12</v>
          </cell>
          <cell r="L887">
            <v>0.39</v>
          </cell>
          <cell r="P887">
            <v>123</v>
          </cell>
        </row>
        <row r="888">
          <cell r="J888">
            <v>0.14000000000000001</v>
          </cell>
          <cell r="L888">
            <v>0.36</v>
          </cell>
          <cell r="P888">
            <v>59</v>
          </cell>
        </row>
        <row r="889">
          <cell r="J889">
            <v>0.14000000000000001</v>
          </cell>
          <cell r="L889">
            <v>0.43</v>
          </cell>
          <cell r="P889">
            <v>41</v>
          </cell>
        </row>
        <row r="890">
          <cell r="J890">
            <v>0.18</v>
          </cell>
          <cell r="L890">
            <v>0.4</v>
          </cell>
          <cell r="P890">
            <v>61</v>
          </cell>
        </row>
        <row r="891">
          <cell r="J891">
            <v>0.18</v>
          </cell>
          <cell r="L891">
            <v>0.4</v>
          </cell>
          <cell r="P891">
            <v>69</v>
          </cell>
        </row>
        <row r="892">
          <cell r="J892">
            <v>0.2</v>
          </cell>
          <cell r="L892">
            <v>0.34</v>
          </cell>
          <cell r="P892">
            <v>58</v>
          </cell>
        </row>
        <row r="893">
          <cell r="J893">
            <v>0.2</v>
          </cell>
          <cell r="L893">
            <v>0.34</v>
          </cell>
          <cell r="P893">
            <v>64</v>
          </cell>
        </row>
        <row r="894">
          <cell r="J894">
            <v>0.2</v>
          </cell>
          <cell r="L894">
            <v>0.37</v>
          </cell>
          <cell r="P894">
            <v>79</v>
          </cell>
        </row>
        <row r="895">
          <cell r="J895">
            <v>0.2</v>
          </cell>
          <cell r="L895">
            <v>0.34</v>
          </cell>
          <cell r="P895">
            <v>166</v>
          </cell>
        </row>
        <row r="896">
          <cell r="J896">
            <v>0.18</v>
          </cell>
          <cell r="L896">
            <v>0.47</v>
          </cell>
          <cell r="P896">
            <v>170</v>
          </cell>
        </row>
        <row r="897">
          <cell r="J897">
            <v>0.14000000000000001</v>
          </cell>
          <cell r="L897">
            <v>0.86</v>
          </cell>
          <cell r="P897">
            <v>88</v>
          </cell>
        </row>
        <row r="898">
          <cell r="J898">
            <v>0.14000000000000001</v>
          </cell>
          <cell r="L898">
            <v>0.86</v>
          </cell>
          <cell r="P898">
            <v>84</v>
          </cell>
        </row>
        <row r="899">
          <cell r="J899">
            <v>0.14000000000000001</v>
          </cell>
          <cell r="L899">
            <v>0.86</v>
          </cell>
          <cell r="P899">
            <v>83</v>
          </cell>
        </row>
        <row r="900">
          <cell r="J900">
            <v>0.16</v>
          </cell>
          <cell r="L900">
            <v>0.8</v>
          </cell>
          <cell r="P900">
            <v>46</v>
          </cell>
        </row>
        <row r="901">
          <cell r="J901">
            <v>0.16</v>
          </cell>
          <cell r="L901">
            <v>0.8</v>
          </cell>
          <cell r="P901">
            <v>37</v>
          </cell>
        </row>
        <row r="902">
          <cell r="J902">
            <v>0.14000000000000001</v>
          </cell>
          <cell r="L902">
            <v>0.86</v>
          </cell>
          <cell r="P902">
            <v>16</v>
          </cell>
        </row>
        <row r="903">
          <cell r="J903">
            <v>0.14000000000000001</v>
          </cell>
          <cell r="L903">
            <v>0.8</v>
          </cell>
          <cell r="P903">
            <v>7</v>
          </cell>
        </row>
        <row r="904">
          <cell r="J904">
            <v>0.14000000000000001</v>
          </cell>
          <cell r="L904">
            <v>0.8</v>
          </cell>
          <cell r="P904">
            <v>3</v>
          </cell>
        </row>
        <row r="905">
          <cell r="J905">
            <v>0.14000000000000001</v>
          </cell>
          <cell r="L905">
            <v>0.59</v>
          </cell>
          <cell r="P905">
            <v>1</v>
          </cell>
        </row>
        <row r="906">
          <cell r="J906">
            <v>0.12</v>
          </cell>
          <cell r="L906">
            <v>0.5</v>
          </cell>
          <cell r="P906">
            <v>6</v>
          </cell>
        </row>
        <row r="907">
          <cell r="J907">
            <v>0.12</v>
          </cell>
          <cell r="L907">
            <v>0.54</v>
          </cell>
          <cell r="P907">
            <v>26</v>
          </cell>
        </row>
        <row r="908">
          <cell r="J908">
            <v>0.1</v>
          </cell>
          <cell r="L908">
            <v>0.5</v>
          </cell>
          <cell r="P908">
            <v>99</v>
          </cell>
        </row>
        <row r="909">
          <cell r="J909">
            <v>0.1</v>
          </cell>
          <cell r="L909">
            <v>0.49</v>
          </cell>
          <cell r="P909">
            <v>178</v>
          </cell>
        </row>
        <row r="910">
          <cell r="J910">
            <v>0.12</v>
          </cell>
          <cell r="L910">
            <v>0.42</v>
          </cell>
          <cell r="P910">
            <v>122</v>
          </cell>
        </row>
        <row r="911">
          <cell r="J911">
            <v>0.12</v>
          </cell>
          <cell r="L911">
            <v>0.42</v>
          </cell>
          <cell r="P911">
            <v>35</v>
          </cell>
        </row>
        <row r="912">
          <cell r="J912">
            <v>0.14000000000000001</v>
          </cell>
          <cell r="L912">
            <v>0.39</v>
          </cell>
          <cell r="P912">
            <v>45</v>
          </cell>
        </row>
        <row r="913">
          <cell r="J913">
            <v>0.16</v>
          </cell>
          <cell r="L913">
            <v>0.34</v>
          </cell>
          <cell r="P913">
            <v>69</v>
          </cell>
        </row>
        <row r="914">
          <cell r="J914">
            <v>0.18</v>
          </cell>
          <cell r="L914">
            <v>0.28999999999999998</v>
          </cell>
          <cell r="P914">
            <v>62</v>
          </cell>
        </row>
        <row r="915">
          <cell r="J915">
            <v>0.2</v>
          </cell>
          <cell r="L915">
            <v>0.27</v>
          </cell>
          <cell r="P915">
            <v>48</v>
          </cell>
        </row>
        <row r="916">
          <cell r="J916">
            <v>0.2</v>
          </cell>
          <cell r="L916">
            <v>0.25</v>
          </cell>
          <cell r="P916">
            <v>50</v>
          </cell>
        </row>
        <row r="917">
          <cell r="J917">
            <v>0.2</v>
          </cell>
          <cell r="L917">
            <v>0.27</v>
          </cell>
          <cell r="P917">
            <v>80</v>
          </cell>
        </row>
        <row r="918">
          <cell r="J918">
            <v>0.18</v>
          </cell>
          <cell r="L918">
            <v>0.26</v>
          </cell>
          <cell r="P918">
            <v>165</v>
          </cell>
        </row>
        <row r="919">
          <cell r="J919">
            <v>0.16</v>
          </cell>
          <cell r="L919">
            <v>0.28000000000000003</v>
          </cell>
          <cell r="P919">
            <v>160</v>
          </cell>
        </row>
        <row r="920">
          <cell r="J920">
            <v>0.14000000000000001</v>
          </cell>
          <cell r="L920">
            <v>0.28000000000000003</v>
          </cell>
          <cell r="P920">
            <v>112</v>
          </cell>
        </row>
        <row r="921">
          <cell r="J921">
            <v>0.14000000000000001</v>
          </cell>
          <cell r="L921">
            <v>0.31</v>
          </cell>
          <cell r="P921">
            <v>97</v>
          </cell>
        </row>
        <row r="922">
          <cell r="J922">
            <v>0.14000000000000001</v>
          </cell>
          <cell r="L922">
            <v>0.39</v>
          </cell>
          <cell r="P922">
            <v>72</v>
          </cell>
        </row>
        <row r="923">
          <cell r="J923">
            <v>0.12</v>
          </cell>
          <cell r="L923">
            <v>0.39</v>
          </cell>
          <cell r="P923">
            <v>51</v>
          </cell>
        </row>
        <row r="924">
          <cell r="J924">
            <v>0.12</v>
          </cell>
          <cell r="L924">
            <v>0.42</v>
          </cell>
          <cell r="P924">
            <v>34</v>
          </cell>
        </row>
        <row r="925">
          <cell r="J925">
            <v>0.1</v>
          </cell>
          <cell r="L925">
            <v>0.49</v>
          </cell>
          <cell r="P925">
            <v>14</v>
          </cell>
        </row>
        <row r="926">
          <cell r="J926">
            <v>0.1</v>
          </cell>
          <cell r="L926">
            <v>0.54</v>
          </cell>
          <cell r="P926">
            <v>7</v>
          </cell>
        </row>
        <row r="927">
          <cell r="J927">
            <v>0.1</v>
          </cell>
          <cell r="L927">
            <v>0.54</v>
          </cell>
          <cell r="P927">
            <v>3</v>
          </cell>
        </row>
        <row r="928">
          <cell r="J928">
            <v>0.08</v>
          </cell>
          <cell r="L928">
            <v>0.63</v>
          </cell>
          <cell r="P928">
            <v>4</v>
          </cell>
        </row>
        <row r="929">
          <cell r="J929">
            <v>0.1</v>
          </cell>
          <cell r="L929">
            <v>0.68</v>
          </cell>
          <cell r="P929">
            <v>24</v>
          </cell>
        </row>
        <row r="930">
          <cell r="J930">
            <v>0.08</v>
          </cell>
          <cell r="L930">
            <v>0.73</v>
          </cell>
          <cell r="P930">
            <v>74</v>
          </cell>
        </row>
        <row r="931">
          <cell r="J931">
            <v>0.1</v>
          </cell>
          <cell r="L931">
            <v>0.74</v>
          </cell>
          <cell r="P931">
            <v>216</v>
          </cell>
        </row>
        <row r="932">
          <cell r="J932">
            <v>0.12</v>
          </cell>
          <cell r="L932">
            <v>0.74</v>
          </cell>
          <cell r="P932">
            <v>140</v>
          </cell>
        </row>
        <row r="933">
          <cell r="J933">
            <v>0.14000000000000001</v>
          </cell>
          <cell r="L933">
            <v>0.69</v>
          </cell>
          <cell r="P933">
            <v>44</v>
          </cell>
        </row>
        <row r="934">
          <cell r="J934">
            <v>0.22</v>
          </cell>
          <cell r="L934">
            <v>0.47</v>
          </cell>
          <cell r="P934">
            <v>64</v>
          </cell>
        </row>
        <row r="935">
          <cell r="J935">
            <v>0.22</v>
          </cell>
          <cell r="L935">
            <v>0.47</v>
          </cell>
          <cell r="P935">
            <v>71</v>
          </cell>
        </row>
        <row r="936">
          <cell r="J936">
            <v>0.24</v>
          </cell>
          <cell r="L936">
            <v>0.35</v>
          </cell>
          <cell r="P936">
            <v>110</v>
          </cell>
        </row>
        <row r="937">
          <cell r="J937">
            <v>0.3</v>
          </cell>
          <cell r="L937">
            <v>0.26</v>
          </cell>
          <cell r="P937">
            <v>84</v>
          </cell>
        </row>
        <row r="938">
          <cell r="J938">
            <v>0.32</v>
          </cell>
          <cell r="L938">
            <v>0.21</v>
          </cell>
          <cell r="P938">
            <v>74</v>
          </cell>
        </row>
        <row r="939">
          <cell r="J939">
            <v>0.3</v>
          </cell>
          <cell r="L939">
            <v>0.28000000000000003</v>
          </cell>
          <cell r="P939">
            <v>125</v>
          </cell>
        </row>
        <row r="940">
          <cell r="J940">
            <v>0.3</v>
          </cell>
          <cell r="L940">
            <v>0.24</v>
          </cell>
          <cell r="P940">
            <v>211</v>
          </cell>
        </row>
        <row r="941">
          <cell r="J941">
            <v>0.28000000000000003</v>
          </cell>
          <cell r="L941">
            <v>0.28000000000000003</v>
          </cell>
          <cell r="P941">
            <v>174</v>
          </cell>
        </row>
        <row r="942">
          <cell r="J942">
            <v>0.26</v>
          </cell>
          <cell r="L942">
            <v>0.33</v>
          </cell>
          <cell r="P942">
            <v>101</v>
          </cell>
        </row>
        <row r="943">
          <cell r="J943">
            <v>0.22</v>
          </cell>
          <cell r="L943">
            <v>0.55000000000000004</v>
          </cell>
          <cell r="P943">
            <v>63</v>
          </cell>
        </row>
        <row r="944">
          <cell r="J944">
            <v>0.2</v>
          </cell>
          <cell r="L944">
            <v>0.59</v>
          </cell>
          <cell r="P944">
            <v>47</v>
          </cell>
        </row>
        <row r="945">
          <cell r="J945">
            <v>0.2</v>
          </cell>
          <cell r="L945">
            <v>0.64</v>
          </cell>
          <cell r="P945">
            <v>43</v>
          </cell>
        </row>
        <row r="946">
          <cell r="J946">
            <v>0.18</v>
          </cell>
          <cell r="L946">
            <v>0.69</v>
          </cell>
          <cell r="P946">
            <v>53</v>
          </cell>
        </row>
        <row r="947">
          <cell r="J947">
            <v>0.16</v>
          </cell>
          <cell r="L947">
            <v>0.69</v>
          </cell>
          <cell r="P947">
            <v>30</v>
          </cell>
        </row>
        <row r="948">
          <cell r="J948">
            <v>0.14000000000000001</v>
          </cell>
          <cell r="L948">
            <v>0.86</v>
          </cell>
          <cell r="P948">
            <v>24</v>
          </cell>
        </row>
        <row r="949">
          <cell r="J949">
            <v>0.14000000000000001</v>
          </cell>
          <cell r="L949">
            <v>0.8</v>
          </cell>
          <cell r="P949">
            <v>15</v>
          </cell>
        </row>
        <row r="950">
          <cell r="J950">
            <v>0.12</v>
          </cell>
          <cell r="L950">
            <v>0.8</v>
          </cell>
          <cell r="P950">
            <v>10</v>
          </cell>
        </row>
        <row r="951">
          <cell r="J951">
            <v>0.12</v>
          </cell>
          <cell r="L951">
            <v>0.74</v>
          </cell>
          <cell r="P951">
            <v>4</v>
          </cell>
        </row>
        <row r="952">
          <cell r="J952">
            <v>0.12</v>
          </cell>
          <cell r="L952">
            <v>0.74</v>
          </cell>
          <cell r="P952">
            <v>1</v>
          </cell>
        </row>
        <row r="953">
          <cell r="J953">
            <v>0.12</v>
          </cell>
          <cell r="L953">
            <v>0.93</v>
          </cell>
          <cell r="P953">
            <v>2</v>
          </cell>
        </row>
        <row r="954">
          <cell r="J954">
            <v>0.12</v>
          </cell>
          <cell r="L954">
            <v>0.8</v>
          </cell>
          <cell r="P954">
            <v>11</v>
          </cell>
        </row>
        <row r="955">
          <cell r="J955">
            <v>0.14000000000000001</v>
          </cell>
          <cell r="L955">
            <v>0.86</v>
          </cell>
          <cell r="P955">
            <v>30</v>
          </cell>
        </row>
        <row r="956">
          <cell r="J956">
            <v>0.16</v>
          </cell>
          <cell r="L956">
            <v>0.64</v>
          </cell>
          <cell r="P956">
            <v>43</v>
          </cell>
        </row>
        <row r="957">
          <cell r="J957">
            <v>0.22</v>
          </cell>
          <cell r="L957">
            <v>0.41</v>
          </cell>
          <cell r="P957">
            <v>84</v>
          </cell>
        </row>
        <row r="958">
          <cell r="J958">
            <v>0.3</v>
          </cell>
          <cell r="L958">
            <v>0.28000000000000003</v>
          </cell>
          <cell r="P958">
            <v>114</v>
          </cell>
        </row>
        <row r="959">
          <cell r="J959">
            <v>0.3</v>
          </cell>
          <cell r="L959">
            <v>0.39</v>
          </cell>
          <cell r="P959">
            <v>120</v>
          </cell>
        </row>
        <row r="960">
          <cell r="J960">
            <v>0.3</v>
          </cell>
          <cell r="L960">
            <v>0.39</v>
          </cell>
          <cell r="P960">
            <v>135</v>
          </cell>
        </row>
        <row r="961">
          <cell r="J961">
            <v>0.34</v>
          </cell>
          <cell r="L961">
            <v>0.31</v>
          </cell>
          <cell r="P961">
            <v>120</v>
          </cell>
        </row>
        <row r="962">
          <cell r="J962">
            <v>0.34</v>
          </cell>
          <cell r="L962">
            <v>0.28999999999999998</v>
          </cell>
          <cell r="P962">
            <v>174</v>
          </cell>
        </row>
        <row r="963">
          <cell r="J963">
            <v>0.34</v>
          </cell>
          <cell r="L963">
            <v>0.28999999999999998</v>
          </cell>
          <cell r="P963">
            <v>145</v>
          </cell>
        </row>
        <row r="964">
          <cell r="J964">
            <v>0.32</v>
          </cell>
          <cell r="L964">
            <v>0.31</v>
          </cell>
          <cell r="P964">
            <v>137</v>
          </cell>
        </row>
        <row r="965">
          <cell r="J965">
            <v>0.28000000000000003</v>
          </cell>
          <cell r="L965">
            <v>0.38</v>
          </cell>
          <cell r="P965">
            <v>64</v>
          </cell>
        </row>
        <row r="966">
          <cell r="J966">
            <v>0.28000000000000003</v>
          </cell>
          <cell r="L966">
            <v>0.38</v>
          </cell>
          <cell r="P966">
            <v>41</v>
          </cell>
        </row>
        <row r="967">
          <cell r="J967">
            <v>0.26</v>
          </cell>
          <cell r="L967">
            <v>0.41</v>
          </cell>
          <cell r="P967">
            <v>40</v>
          </cell>
        </row>
        <row r="968">
          <cell r="J968">
            <v>0.26</v>
          </cell>
          <cell r="L968">
            <v>0.41</v>
          </cell>
          <cell r="P968">
            <v>51</v>
          </cell>
        </row>
        <row r="969">
          <cell r="J969">
            <v>0.24</v>
          </cell>
          <cell r="L969">
            <v>0.44</v>
          </cell>
          <cell r="P969">
            <v>45</v>
          </cell>
        </row>
        <row r="970">
          <cell r="J970">
            <v>0.22</v>
          </cell>
          <cell r="L970">
            <v>0.51</v>
          </cell>
          <cell r="P970">
            <v>32</v>
          </cell>
        </row>
        <row r="971">
          <cell r="J971">
            <v>0.2</v>
          </cell>
          <cell r="L971">
            <v>0.64</v>
          </cell>
          <cell r="P971">
            <v>39</v>
          </cell>
        </row>
        <row r="972">
          <cell r="J972">
            <v>0.2</v>
          </cell>
          <cell r="L972">
            <v>0.59</v>
          </cell>
          <cell r="P972">
            <v>24</v>
          </cell>
        </row>
        <row r="973">
          <cell r="J973">
            <v>0.2</v>
          </cell>
          <cell r="L973">
            <v>0.75</v>
          </cell>
          <cell r="P973">
            <v>20</v>
          </cell>
        </row>
        <row r="974">
          <cell r="J974">
            <v>0.2</v>
          </cell>
          <cell r="L974">
            <v>0.69</v>
          </cell>
          <cell r="P974">
            <v>12</v>
          </cell>
        </row>
        <row r="975">
          <cell r="J975">
            <v>0.2</v>
          </cell>
          <cell r="L975">
            <v>0.69</v>
          </cell>
          <cell r="P975">
            <v>2</v>
          </cell>
        </row>
        <row r="976">
          <cell r="J976">
            <v>0.2</v>
          </cell>
          <cell r="L976">
            <v>0.69</v>
          </cell>
          <cell r="P976">
            <v>5</v>
          </cell>
        </row>
        <row r="977">
          <cell r="J977">
            <v>0.22</v>
          </cell>
          <cell r="L977">
            <v>0.55000000000000004</v>
          </cell>
          <cell r="P977">
            <v>3</v>
          </cell>
        </row>
        <row r="978">
          <cell r="J978">
            <v>0.22</v>
          </cell>
          <cell r="L978">
            <v>0.64</v>
          </cell>
          <cell r="P978">
            <v>12</v>
          </cell>
        </row>
        <row r="979">
          <cell r="J979">
            <v>0.24</v>
          </cell>
          <cell r="L979">
            <v>0.6</v>
          </cell>
          <cell r="P979">
            <v>47</v>
          </cell>
        </row>
        <row r="980">
          <cell r="J980">
            <v>0.3</v>
          </cell>
          <cell r="L980">
            <v>0.45</v>
          </cell>
          <cell r="P980">
            <v>105</v>
          </cell>
        </row>
        <row r="981">
          <cell r="J981">
            <v>0.32</v>
          </cell>
          <cell r="L981">
            <v>0.39</v>
          </cell>
          <cell r="P981">
            <v>112</v>
          </cell>
        </row>
        <row r="982">
          <cell r="J982">
            <v>0.36</v>
          </cell>
          <cell r="L982">
            <v>0.32</v>
          </cell>
          <cell r="P982">
            <v>152</v>
          </cell>
        </row>
        <row r="983">
          <cell r="J983">
            <v>0.38</v>
          </cell>
          <cell r="L983">
            <v>0.28999999999999998</v>
          </cell>
          <cell r="P983">
            <v>154</v>
          </cell>
        </row>
        <row r="984">
          <cell r="J984">
            <v>0.4</v>
          </cell>
          <cell r="L984">
            <v>0.3</v>
          </cell>
          <cell r="P984">
            <v>161</v>
          </cell>
        </row>
        <row r="985">
          <cell r="J985">
            <v>0.4</v>
          </cell>
          <cell r="L985">
            <v>0.3</v>
          </cell>
          <cell r="P985">
            <v>162</v>
          </cell>
        </row>
        <row r="986">
          <cell r="J986">
            <v>0.42</v>
          </cell>
          <cell r="L986">
            <v>0.28000000000000003</v>
          </cell>
          <cell r="P986">
            <v>134</v>
          </cell>
        </row>
        <row r="987">
          <cell r="J987">
            <v>0.42</v>
          </cell>
          <cell r="L987">
            <v>0.28000000000000003</v>
          </cell>
          <cell r="P987">
            <v>125</v>
          </cell>
        </row>
        <row r="988">
          <cell r="J988">
            <v>0.4</v>
          </cell>
          <cell r="L988">
            <v>0.32</v>
          </cell>
          <cell r="P988">
            <v>95</v>
          </cell>
        </row>
        <row r="989">
          <cell r="J989">
            <v>0.4</v>
          </cell>
          <cell r="L989">
            <v>0.35</v>
          </cell>
          <cell r="P989">
            <v>61</v>
          </cell>
        </row>
        <row r="990">
          <cell r="J990">
            <v>0.4</v>
          </cell>
          <cell r="L990">
            <v>0.35</v>
          </cell>
          <cell r="P990">
            <v>47</v>
          </cell>
        </row>
        <row r="991">
          <cell r="J991">
            <v>0.4</v>
          </cell>
          <cell r="L991">
            <v>0.35</v>
          </cell>
          <cell r="P991">
            <v>51</v>
          </cell>
        </row>
        <row r="992">
          <cell r="J992">
            <v>0.4</v>
          </cell>
          <cell r="L992">
            <v>0.35</v>
          </cell>
          <cell r="P992">
            <v>36</v>
          </cell>
        </row>
        <row r="993">
          <cell r="J993">
            <v>0.4</v>
          </cell>
          <cell r="L993">
            <v>0.35</v>
          </cell>
          <cell r="P993">
            <v>30</v>
          </cell>
        </row>
        <row r="994">
          <cell r="J994">
            <v>0.38</v>
          </cell>
          <cell r="L994">
            <v>0.37</v>
          </cell>
          <cell r="P994">
            <v>11</v>
          </cell>
        </row>
        <row r="995">
          <cell r="J995">
            <v>0.38</v>
          </cell>
          <cell r="L995">
            <v>0.37</v>
          </cell>
          <cell r="P995">
            <v>7</v>
          </cell>
        </row>
        <row r="996">
          <cell r="J996">
            <v>0.36</v>
          </cell>
          <cell r="L996">
            <v>0.4</v>
          </cell>
          <cell r="P996">
            <v>2</v>
          </cell>
        </row>
        <row r="997">
          <cell r="J997">
            <v>0.34</v>
          </cell>
          <cell r="L997">
            <v>0.46</v>
          </cell>
          <cell r="P997">
            <v>2</v>
          </cell>
        </row>
        <row r="998">
          <cell r="J998">
            <v>0.32</v>
          </cell>
          <cell r="L998">
            <v>0.53</v>
          </cell>
          <cell r="P998">
            <v>2</v>
          </cell>
        </row>
        <row r="999">
          <cell r="J999">
            <v>0.32</v>
          </cell>
          <cell r="L999">
            <v>0.53</v>
          </cell>
          <cell r="P999">
            <v>3</v>
          </cell>
        </row>
        <row r="1000">
          <cell r="J1000">
            <v>0.34</v>
          </cell>
          <cell r="L1000">
            <v>0.46</v>
          </cell>
          <cell r="P1000">
            <v>26</v>
          </cell>
        </row>
        <row r="1001">
          <cell r="J1001">
            <v>0.34</v>
          </cell>
          <cell r="L1001">
            <v>0.46</v>
          </cell>
          <cell r="P1001">
            <v>98</v>
          </cell>
        </row>
      </sheetData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o/Downloads/Book1%20(2)%20(1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06.442095833336" createdVersion="8" refreshedVersion="8" minRefreshableVersion="3" recordCount="1001" xr:uid="{324F329C-E966-4D1C-9435-7C3C00FCF380}">
  <cacheSource type="worksheet">
    <worksheetSource ref="A1:Y1048576" sheet="Final Data set "/>
  </cacheSource>
  <cacheFields count="25">
    <cacheField name="instant" numFmtId="0">
      <sharedItems containsString="0" containsBlank="1" containsNumber="1" containsInteger="1" minValue="1" maxValue="1000"/>
    </cacheField>
    <cacheField name="dteday" numFmtId="0">
      <sharedItems containsNonDate="0" containsDate="1" containsString="0" containsBlank="1" minDate="2011-01-01T00:00:00" maxDate="2011-02-15T00:00:00"/>
    </cacheField>
    <cacheField name="season" numFmtId="0">
      <sharedItems containsString="0" containsBlank="1" containsNumber="1" containsInteger="1" minValue="1" maxValue="1" count="2">
        <n v="1"/>
        <m/>
      </sharedItems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/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/>
    </cacheField>
    <cacheField name="weathersit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02" maxValue="0.46" count="24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  <m/>
      </sharedItems>
    </cacheField>
    <cacheField name="atemp" numFmtId="0">
      <sharedItems containsString="0" containsBlank="1" containsNumber="1" minValue="0" maxValue="0.45450000000000002" count="32">
        <n v="0.28789999999999999"/>
        <n v="0.2727"/>
        <n v="0.2576"/>
        <n v="0.19993"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  <n v="0.36359999999999998"/>
        <m/>
      </sharedItems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 count="21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  <m/>
      </sharedItems>
    </cacheField>
    <cacheField name="casual" numFmtId="0">
      <sharedItems containsString="0" containsBlank="1" containsNumber="1" containsInteger="1" minValue="0" maxValue="62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weekday_Type" numFmtId="0">
      <sharedItems containsBlank="1" count="3">
        <s v="Weekend"/>
        <s v="Weekday"/>
        <m/>
      </sharedItems>
    </cacheField>
    <cacheField name="weathersit_Type" numFmtId="0">
      <sharedItems containsBlank="1" count="5">
        <s v="Clear"/>
        <s v="Mist/Cloudy"/>
        <s v="Light Rain/Snow"/>
        <s v="Heavy Rain/Snow"/>
        <m/>
      </sharedItems>
    </cacheField>
    <cacheField name="hr_Type" numFmtId="0">
      <sharedItems containsBlank="1"/>
    </cacheField>
    <cacheField name="month_Type" numFmtId="0">
      <sharedItems containsBlank="1"/>
    </cacheField>
    <cacheField name="season_Type" numFmtId="0">
      <sharedItems containsBlank="1"/>
    </cacheField>
    <cacheField name="Tem CORRE function" numFmtId="0">
      <sharedItems containsString="0" containsBlank="1" containsNumber="1" minValue="0.22929155386993369" maxValue="0.22929155386993369"/>
    </cacheField>
    <cacheField name="Humidity Function" numFmtId="0">
      <sharedItems containsString="0" containsBlank="1" containsNumber="1" minValue="-0.25435329828790432" maxValue="-0.25435329828790432"/>
    </cacheField>
    <cacheField name="Windspeed corr Function" numFmtId="0">
      <sharedItems containsString="0" containsBlank="1" containsNumber="1" minValue="0.10399668008577614" maxValue="0.10399668008577614"/>
    </cacheField>
    <cacheField name="HOUR CORR." numFmtId="0">
      <sharedItems containsString="0" containsBlank="1" containsNumber="1" minValue="0.36604748519325236" maxValue="0.366047485193252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105.979039930557" createdVersion="8" refreshedVersion="8" minRefreshableVersion="3" recordCount="1000" xr:uid="{857ACA97-6703-464A-90E7-224F7F07BC16}">
  <cacheSource type="worksheet">
    <worksheetSource name="Append1" r:id="rId2"/>
  </cacheSource>
  <cacheFields count="23">
    <cacheField name="instant" numFmtId="0">
      <sharedItems containsSemiMixedTypes="0" containsString="0" containsNumber="1" containsInteger="1" minValue="1" maxValue="1000"/>
    </cacheField>
    <cacheField name="dteday" numFmtId="14">
      <sharedItems containsSemiMixedTypes="0" containsNonDate="0" containsDate="1" containsString="0" minDate="2011-01-01T00:00:00" maxDate="2011-02-15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2" count="2">
        <n v="1"/>
        <n v="2"/>
      </sharedItems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 count="23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</sharedItems>
    </cacheField>
    <cacheField name="dataset_2.atemp" numFmtId="0">
      <sharedItems containsSemiMixedTypes="0" containsString="0" containsNumber="1" minValue="0" maxValue="0.45450000000000002"/>
    </cacheField>
    <cacheField name="dataset_2.hum" numFmtId="0">
      <sharedItems containsSemiMixedTypes="0" containsString="0" containsNumber="1" minValue="0.21" maxValue="1"/>
    </cacheField>
    <cacheField name="dataset_2.windspeed" numFmtId="0">
      <sharedItems containsSemiMixedTypes="0" containsString="0" containsNumber="1" minValue="0" maxValue="0.58209999999999995"/>
    </cacheField>
    <cacheField name="dataset_2.casual" numFmtId="0">
      <sharedItems containsSemiMixedTypes="0" containsString="0" containsNumber="1" containsInteger="1" minValue="0" maxValue="62"/>
    </cacheField>
    <cacheField name="dataset_2.registered" numFmtId="0">
      <sharedItems containsSemiMixedTypes="0" containsString="0" containsNumber="1" containsInteger="1" minValue="0" maxValue="247"/>
    </cacheField>
    <cacheField name="dataset_2.cnt" numFmtId="0">
      <sharedItems containsSemiMixedTypes="0" containsString="0" containsNumber="1" containsInteger="1" minValue="1" maxValue="249"/>
    </cacheField>
    <cacheField name="Column1" numFmtId="0">
      <sharedItems count="2">
        <s v="Weekend"/>
        <s v="Weekday"/>
      </sharedItems>
    </cacheField>
    <cacheField name="Column2" numFmtId="0">
      <sharedItems count="4">
        <s v="Clear"/>
        <s v="Mist/Cloudy"/>
        <s v="Light Rain/Snow"/>
        <s v="Heavy Rain/Snow"/>
      </sharedItems>
    </cacheField>
    <cacheField name="Column3" numFmtId="0">
      <sharedItems count="4">
        <s v="Night"/>
        <s v="Morning"/>
        <s v="Afternoon"/>
        <s v="Evening"/>
      </sharedItems>
    </cacheField>
    <cacheField name="Column4" numFmtId="0">
      <sharedItems count="2">
        <s v="January"/>
        <s v="February"/>
      </sharedItems>
    </cacheField>
    <cacheField name="Column5" numFmtId="0">
      <sharedItems count="1">
        <s v="Spring"/>
      </sharedItems>
    </cacheField>
    <cacheField name="Column6" numFmtId="0">
      <sharedItems containsSemiMixedTypes="0" containsString="0" containsNumber="1" minValue="0.22929155386993369" maxValue="0.22929155386993369"/>
    </cacheField>
    <cacheField name="Column7" numFmtId="0">
      <sharedItems containsSemiMixedTypes="0" containsString="0" containsNumber="1" minValue="-0.25435329828790432" maxValue="-0.25435329828790432"/>
    </cacheField>
  </cacheFields>
  <extLst>
    <ext xmlns:x14="http://schemas.microsoft.com/office/spreadsheetml/2009/9/main" uri="{725AE2AE-9491-48be-B2B4-4EB974FC3084}">
      <x14:pivotCacheDefinition pivotCacheId="7373726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11-01-01T00:00:00"/>
    <x v="0"/>
    <n v="0"/>
    <n v="1"/>
    <n v="0"/>
    <b v="0"/>
    <n v="6"/>
    <n v="1"/>
    <x v="0"/>
    <x v="0"/>
    <n v="0.81"/>
    <x v="0"/>
    <n v="3"/>
    <n v="13"/>
    <n v="16"/>
    <x v="0"/>
    <x v="0"/>
    <s v="Night"/>
    <s v="January"/>
    <s v="Spring"/>
    <n v="0.22929155386993369"/>
    <n v="-0.25435329828790432"/>
    <n v="0.10399668008577614"/>
    <n v="0.36604748519325236"/>
  </r>
  <r>
    <n v="2"/>
    <d v="2011-01-01T00:00:00"/>
    <x v="0"/>
    <n v="0"/>
    <n v="1"/>
    <n v="1"/>
    <b v="0"/>
    <n v="6"/>
    <n v="1"/>
    <x v="1"/>
    <x v="1"/>
    <n v="0.8"/>
    <x v="0"/>
    <n v="8"/>
    <n v="32"/>
    <n v="40"/>
    <x v="0"/>
    <x v="0"/>
    <s v="Night"/>
    <s v="January"/>
    <s v="Spring"/>
    <n v="0.22929155386993369"/>
    <n v="-0.25435329828790432"/>
    <n v="0.10399668008577614"/>
    <n v="0.36604748519325236"/>
  </r>
  <r>
    <n v="3"/>
    <d v="2011-01-01T00:00:00"/>
    <x v="0"/>
    <n v="0"/>
    <n v="1"/>
    <n v="2"/>
    <b v="0"/>
    <n v="6"/>
    <n v="1"/>
    <x v="1"/>
    <x v="1"/>
    <n v="0.8"/>
    <x v="0"/>
    <n v="5"/>
    <n v="27"/>
    <n v="32"/>
    <x v="0"/>
    <x v="0"/>
    <s v="Night"/>
    <s v="January"/>
    <s v="Spring"/>
    <n v="0.22929155386993369"/>
    <n v="-0.25435329828790432"/>
    <n v="0.10399668008577614"/>
    <n v="0.36604748519325236"/>
  </r>
  <r>
    <n v="4"/>
    <d v="2011-01-01T00:00:00"/>
    <x v="0"/>
    <n v="0"/>
    <n v="1"/>
    <n v="3"/>
    <b v="0"/>
    <n v="6"/>
    <n v="1"/>
    <x v="0"/>
    <x v="0"/>
    <n v="0.75"/>
    <x v="0"/>
    <n v="3"/>
    <n v="10"/>
    <n v="13"/>
    <x v="0"/>
    <x v="0"/>
    <s v="Night"/>
    <s v="January"/>
    <s v="Spring"/>
    <n v="0.22929155386993369"/>
    <n v="-0.25435329828790432"/>
    <n v="0.10399668008577614"/>
    <n v="0.36604748519325236"/>
  </r>
  <r>
    <n v="5"/>
    <d v="2011-01-01T00:00:00"/>
    <x v="0"/>
    <n v="0"/>
    <n v="1"/>
    <n v="4"/>
    <b v="0"/>
    <n v="6"/>
    <n v="1"/>
    <x v="0"/>
    <x v="0"/>
    <n v="0.75"/>
    <x v="0"/>
    <n v="0"/>
    <n v="1"/>
    <n v="1"/>
    <x v="0"/>
    <x v="0"/>
    <s v="Night"/>
    <s v="January"/>
    <s v="Spring"/>
    <n v="0.22929155386993369"/>
    <n v="-0.25435329828790432"/>
    <n v="0.10399668008577614"/>
    <n v="0.36604748519325236"/>
  </r>
  <r>
    <n v="6"/>
    <d v="2011-01-01T00:00:00"/>
    <x v="0"/>
    <n v="0"/>
    <n v="1"/>
    <n v="5"/>
    <b v="0"/>
    <n v="6"/>
    <n v="2"/>
    <x v="0"/>
    <x v="2"/>
    <n v="0.75"/>
    <x v="1"/>
    <n v="0"/>
    <n v="1"/>
    <n v="1"/>
    <x v="0"/>
    <x v="1"/>
    <s v="Night"/>
    <s v="January"/>
    <s v="Spring"/>
    <n v="0.22929155386993369"/>
    <n v="-0.25435329828790432"/>
    <n v="0.10399668008577614"/>
    <n v="0.36604748519325236"/>
  </r>
  <r>
    <n v="7"/>
    <d v="2011-01-01T00:00:00"/>
    <x v="0"/>
    <n v="0"/>
    <n v="1"/>
    <n v="6"/>
    <b v="0"/>
    <n v="6"/>
    <n v="1"/>
    <x v="1"/>
    <x v="1"/>
    <n v="0.8"/>
    <x v="0"/>
    <n v="2"/>
    <n v="0"/>
    <n v="2"/>
    <x v="0"/>
    <x v="0"/>
    <s v="Morning"/>
    <s v="January"/>
    <s v="Spring"/>
    <n v="0.22929155386993369"/>
    <n v="-0.25435329828790432"/>
    <n v="0.10399668008577614"/>
    <n v="0.36604748519325236"/>
  </r>
  <r>
    <n v="8"/>
    <d v="2011-01-01T00:00:00"/>
    <x v="0"/>
    <n v="0"/>
    <n v="1"/>
    <n v="7"/>
    <b v="0"/>
    <n v="6"/>
    <n v="1"/>
    <x v="2"/>
    <x v="2"/>
    <n v="0.86"/>
    <x v="0"/>
    <n v="1"/>
    <n v="2"/>
    <n v="3"/>
    <x v="0"/>
    <x v="0"/>
    <s v="Morning"/>
    <s v="January"/>
    <s v="Spring"/>
    <n v="0.22929155386993369"/>
    <n v="-0.25435329828790432"/>
    <n v="0.10399668008577614"/>
    <n v="0.36604748519325236"/>
  </r>
  <r>
    <n v="9"/>
    <d v="2011-01-01T00:00:00"/>
    <x v="0"/>
    <n v="0"/>
    <n v="1"/>
    <n v="8"/>
    <b v="0"/>
    <n v="6"/>
    <n v="1"/>
    <x v="0"/>
    <x v="3"/>
    <n v="0.75"/>
    <x v="0"/>
    <n v="1"/>
    <n v="7"/>
    <n v="8"/>
    <x v="0"/>
    <x v="0"/>
    <s v="Morning"/>
    <s v="January"/>
    <s v="Spring"/>
    <n v="0.22929155386993369"/>
    <n v="-0.25435329828790432"/>
    <n v="0.10399668008577614"/>
    <n v="0.36604748519325236"/>
  </r>
  <r>
    <n v="10"/>
    <d v="2011-01-01T00:00:00"/>
    <x v="0"/>
    <n v="0"/>
    <n v="1"/>
    <n v="9"/>
    <b v="0"/>
    <n v="6"/>
    <n v="1"/>
    <x v="3"/>
    <x v="4"/>
    <n v="0.76"/>
    <x v="0"/>
    <n v="8"/>
    <n v="6"/>
    <n v="14"/>
    <x v="0"/>
    <x v="0"/>
    <s v="Morning"/>
    <s v="January"/>
    <s v="Spring"/>
    <n v="0.22929155386993369"/>
    <n v="-0.25435329828790432"/>
    <n v="0.10399668008577614"/>
    <n v="0.36604748519325236"/>
  </r>
  <r>
    <n v="11"/>
    <d v="2011-01-01T00:00:00"/>
    <x v="0"/>
    <n v="0"/>
    <n v="1"/>
    <n v="10"/>
    <b v="0"/>
    <n v="6"/>
    <n v="1"/>
    <x v="4"/>
    <x v="5"/>
    <n v="0.76"/>
    <x v="2"/>
    <n v="12"/>
    <n v="24"/>
    <n v="36"/>
    <x v="0"/>
    <x v="0"/>
    <s v="Morning"/>
    <s v="January"/>
    <s v="Spring"/>
    <n v="0.22929155386993369"/>
    <n v="-0.25435329828790432"/>
    <n v="0.10399668008577614"/>
    <n v="0.36604748519325236"/>
  </r>
  <r>
    <n v="12"/>
    <d v="2011-01-01T00:00:00"/>
    <x v="0"/>
    <n v="0"/>
    <n v="1"/>
    <n v="11"/>
    <b v="0"/>
    <n v="6"/>
    <n v="1"/>
    <x v="5"/>
    <x v="6"/>
    <n v="0.81"/>
    <x v="3"/>
    <n v="26"/>
    <n v="30"/>
    <n v="56"/>
    <x v="0"/>
    <x v="0"/>
    <s v="Morning"/>
    <s v="January"/>
    <s v="Spring"/>
    <n v="0.22929155386993369"/>
    <n v="-0.25435329828790432"/>
    <n v="0.10399668008577614"/>
    <n v="0.36604748519325236"/>
  </r>
  <r>
    <n v="13"/>
    <d v="2011-01-01T00:00:00"/>
    <x v="0"/>
    <n v="0"/>
    <n v="1"/>
    <n v="12"/>
    <b v="0"/>
    <n v="6"/>
    <n v="1"/>
    <x v="6"/>
    <x v="7"/>
    <n v="0.77"/>
    <x v="3"/>
    <n v="29"/>
    <n v="55"/>
    <n v="84"/>
    <x v="0"/>
    <x v="0"/>
    <s v="Afternoon"/>
    <s v="January"/>
    <s v="Spring"/>
    <n v="0.22929155386993369"/>
    <n v="-0.25435329828790432"/>
    <n v="0.10399668008577614"/>
    <n v="0.36604748519325236"/>
  </r>
  <r>
    <n v="14"/>
    <d v="2011-01-01T00:00:00"/>
    <x v="0"/>
    <n v="0"/>
    <n v="1"/>
    <n v="13"/>
    <b v="0"/>
    <n v="6"/>
    <n v="2"/>
    <x v="7"/>
    <x v="8"/>
    <n v="0.72"/>
    <x v="4"/>
    <n v="47"/>
    <n v="47"/>
    <n v="94"/>
    <x v="0"/>
    <x v="1"/>
    <s v="Afternoon"/>
    <s v="January"/>
    <s v="Spring"/>
    <n v="0.22929155386993369"/>
    <n v="-0.25435329828790432"/>
    <n v="0.10399668008577614"/>
    <n v="0.36604748519325236"/>
  </r>
  <r>
    <n v="15"/>
    <d v="2011-01-01T00:00:00"/>
    <x v="0"/>
    <n v="0"/>
    <n v="1"/>
    <n v="14"/>
    <b v="0"/>
    <n v="6"/>
    <n v="2"/>
    <x v="7"/>
    <x v="8"/>
    <n v="0.72"/>
    <x v="3"/>
    <n v="35"/>
    <n v="71"/>
    <n v="106"/>
    <x v="0"/>
    <x v="1"/>
    <s v="Afternoon"/>
    <s v="January"/>
    <s v="Spring"/>
    <n v="0.22929155386993369"/>
    <n v="-0.25435329828790432"/>
    <n v="0.10399668008577614"/>
    <n v="0.36604748519325236"/>
  </r>
  <r>
    <n v="16"/>
    <d v="2011-01-01T00:00:00"/>
    <x v="0"/>
    <n v="0"/>
    <n v="1"/>
    <n v="15"/>
    <b v="0"/>
    <n v="6"/>
    <n v="2"/>
    <x v="8"/>
    <x v="9"/>
    <n v="0.77"/>
    <x v="4"/>
    <n v="40"/>
    <n v="70"/>
    <n v="110"/>
    <x v="0"/>
    <x v="1"/>
    <s v="Afternoon"/>
    <s v="January"/>
    <s v="Spring"/>
    <n v="0.22929155386993369"/>
    <n v="-0.25435329828790432"/>
    <n v="0.10399668008577614"/>
    <n v="0.36604748519325236"/>
  </r>
  <r>
    <n v="17"/>
    <d v="2011-01-01T00:00:00"/>
    <x v="0"/>
    <n v="0"/>
    <n v="1"/>
    <n v="16"/>
    <b v="0"/>
    <n v="6"/>
    <n v="2"/>
    <x v="6"/>
    <x v="7"/>
    <n v="0.82"/>
    <x v="4"/>
    <n v="41"/>
    <n v="52"/>
    <n v="93"/>
    <x v="0"/>
    <x v="1"/>
    <s v="Afternoon"/>
    <s v="January"/>
    <s v="Spring"/>
    <n v="0.22929155386993369"/>
    <n v="-0.25435329828790432"/>
    <n v="0.10399668008577614"/>
    <n v="0.36604748519325236"/>
  </r>
  <r>
    <n v="18"/>
    <d v="2011-01-01T00:00:00"/>
    <x v="0"/>
    <n v="0"/>
    <n v="1"/>
    <n v="17"/>
    <b v="0"/>
    <n v="6"/>
    <n v="2"/>
    <x v="8"/>
    <x v="3"/>
    <n v="0.82"/>
    <x v="3"/>
    <n v="15"/>
    <n v="52"/>
    <n v="67"/>
    <x v="0"/>
    <x v="1"/>
    <s v="Evening"/>
    <s v="January"/>
    <s v="Spring"/>
    <n v="0.22929155386993369"/>
    <n v="-0.25435329828790432"/>
    <n v="0.10399668008577614"/>
    <n v="0.36604748519325236"/>
  </r>
  <r>
    <n v="19"/>
    <d v="2011-01-01T00:00:00"/>
    <x v="0"/>
    <n v="0"/>
    <n v="1"/>
    <n v="18"/>
    <b v="0"/>
    <n v="6"/>
    <n v="3"/>
    <x v="6"/>
    <x v="7"/>
    <n v="0.88"/>
    <x v="2"/>
    <n v="9"/>
    <n v="26"/>
    <n v="35"/>
    <x v="0"/>
    <x v="2"/>
    <s v="Evening"/>
    <s v="January"/>
    <s v="Spring"/>
    <n v="0.22929155386993369"/>
    <n v="-0.25435329828790432"/>
    <n v="0.10399668008577614"/>
    <n v="0.36604748519325236"/>
  </r>
  <r>
    <n v="20"/>
    <d v="2011-01-01T00:00:00"/>
    <x v="0"/>
    <n v="0"/>
    <n v="1"/>
    <n v="19"/>
    <b v="0"/>
    <n v="6"/>
    <n v="3"/>
    <x v="6"/>
    <x v="7"/>
    <n v="0.88"/>
    <x v="2"/>
    <n v="6"/>
    <n v="31"/>
    <n v="37"/>
    <x v="0"/>
    <x v="2"/>
    <s v="Evening"/>
    <s v="January"/>
    <s v="Spring"/>
    <n v="0.22929155386993369"/>
    <n v="-0.25435329828790432"/>
    <n v="0.10399668008577614"/>
    <n v="0.36604748519325236"/>
  </r>
  <r>
    <n v="21"/>
    <d v="2011-01-01T00:00:00"/>
    <x v="0"/>
    <n v="0"/>
    <n v="1"/>
    <n v="20"/>
    <b v="0"/>
    <n v="6"/>
    <n v="2"/>
    <x v="9"/>
    <x v="10"/>
    <n v="0.87"/>
    <x v="2"/>
    <n v="11"/>
    <n v="25"/>
    <n v="36"/>
    <x v="0"/>
    <x v="1"/>
    <s v="Evening"/>
    <s v="January"/>
    <s v="Spring"/>
    <n v="0.22929155386993369"/>
    <n v="-0.25435329828790432"/>
    <n v="0.10399668008577614"/>
    <n v="0.36604748519325236"/>
  </r>
  <r>
    <n v="22"/>
    <d v="2011-01-01T00:00:00"/>
    <x v="0"/>
    <n v="0"/>
    <n v="1"/>
    <n v="21"/>
    <b v="0"/>
    <n v="6"/>
    <n v="2"/>
    <x v="9"/>
    <x v="10"/>
    <n v="0.87"/>
    <x v="5"/>
    <n v="3"/>
    <n v="31"/>
    <n v="34"/>
    <x v="0"/>
    <x v="1"/>
    <s v="Night"/>
    <s v="January"/>
    <s v="Spring"/>
    <n v="0.22929155386993369"/>
    <n v="-0.25435329828790432"/>
    <n v="0.10399668008577614"/>
    <n v="0.36604748519325236"/>
  </r>
  <r>
    <n v="23"/>
    <d v="2011-01-01T00:00:00"/>
    <x v="0"/>
    <n v="0"/>
    <n v="1"/>
    <n v="22"/>
    <b v="0"/>
    <n v="6"/>
    <n v="2"/>
    <x v="9"/>
    <x v="10"/>
    <n v="0.94"/>
    <x v="6"/>
    <n v="11"/>
    <n v="17"/>
    <n v="28"/>
    <x v="0"/>
    <x v="1"/>
    <s v="Night"/>
    <s v="January"/>
    <s v="Spring"/>
    <n v="0.22929155386993369"/>
    <n v="-0.25435329828790432"/>
    <n v="0.10399668008577614"/>
    <n v="0.36604748519325236"/>
  </r>
  <r>
    <n v="24"/>
    <d v="2011-01-01T00:00:00"/>
    <x v="0"/>
    <n v="0"/>
    <n v="1"/>
    <n v="23"/>
    <b v="0"/>
    <n v="6"/>
    <n v="2"/>
    <x v="7"/>
    <x v="3"/>
    <n v="0.88"/>
    <x v="4"/>
    <n v="15"/>
    <n v="24"/>
    <n v="39"/>
    <x v="0"/>
    <x v="1"/>
    <s v="Night"/>
    <s v="January"/>
    <s v="Spring"/>
    <n v="0.22929155386993369"/>
    <n v="-0.25435329828790432"/>
    <n v="0.10399668008577614"/>
    <n v="0.36604748519325236"/>
  </r>
  <r>
    <n v="25"/>
    <d v="2011-01-02T00:00:00"/>
    <x v="0"/>
    <n v="0"/>
    <n v="1"/>
    <n v="0"/>
    <b v="0"/>
    <n v="0"/>
    <n v="2"/>
    <x v="7"/>
    <x v="8"/>
    <n v="0.88"/>
    <x v="4"/>
    <n v="4"/>
    <n v="13"/>
    <n v="17"/>
    <x v="0"/>
    <x v="1"/>
    <s v="Night"/>
    <s v="January"/>
    <s v="Spring"/>
    <n v="0.22929155386993369"/>
    <n v="-0.25435329828790432"/>
    <n v="0.10399668008577614"/>
    <n v="0.36604748519325236"/>
  </r>
  <r>
    <n v="26"/>
    <d v="2011-01-02T00:00:00"/>
    <x v="0"/>
    <n v="0"/>
    <n v="1"/>
    <n v="1"/>
    <b v="0"/>
    <n v="0"/>
    <n v="2"/>
    <x v="8"/>
    <x v="9"/>
    <n v="0.94"/>
    <x v="2"/>
    <n v="1"/>
    <n v="16"/>
    <n v="17"/>
    <x v="0"/>
    <x v="1"/>
    <s v="Night"/>
    <s v="January"/>
    <s v="Spring"/>
    <n v="0.22929155386993369"/>
    <n v="-0.25435329828790432"/>
    <n v="0.10399668008577614"/>
    <n v="0.36604748519325236"/>
  </r>
  <r>
    <n v="27"/>
    <d v="2011-01-02T00:00:00"/>
    <x v="0"/>
    <n v="0"/>
    <n v="1"/>
    <n v="2"/>
    <b v="0"/>
    <n v="0"/>
    <n v="2"/>
    <x v="6"/>
    <x v="7"/>
    <n v="1"/>
    <x v="3"/>
    <n v="1"/>
    <n v="8"/>
    <n v="9"/>
    <x v="0"/>
    <x v="1"/>
    <s v="Night"/>
    <s v="January"/>
    <s v="Spring"/>
    <n v="0.22929155386993369"/>
    <n v="-0.25435329828790432"/>
    <n v="0.10399668008577614"/>
    <n v="0.36604748519325236"/>
  </r>
  <r>
    <n v="28"/>
    <d v="2011-01-02T00:00:00"/>
    <x v="0"/>
    <n v="0"/>
    <n v="1"/>
    <n v="3"/>
    <b v="0"/>
    <n v="0"/>
    <n v="2"/>
    <x v="7"/>
    <x v="8"/>
    <n v="0.94"/>
    <x v="5"/>
    <n v="2"/>
    <n v="4"/>
    <n v="6"/>
    <x v="0"/>
    <x v="1"/>
    <s v="Night"/>
    <s v="January"/>
    <s v="Spring"/>
    <n v="0.22929155386993369"/>
    <n v="-0.25435329828790432"/>
    <n v="0.10399668008577614"/>
    <n v="0.36604748519325236"/>
  </r>
  <r>
    <n v="29"/>
    <d v="2011-01-02T00:00:00"/>
    <x v="0"/>
    <n v="0"/>
    <n v="1"/>
    <n v="4"/>
    <b v="0"/>
    <n v="0"/>
    <n v="2"/>
    <x v="7"/>
    <x v="3"/>
    <n v="0.94"/>
    <x v="5"/>
    <n v="2"/>
    <n v="1"/>
    <n v="3"/>
    <x v="0"/>
    <x v="1"/>
    <s v="Night"/>
    <s v="January"/>
    <s v="Spring"/>
    <n v="0.22929155386993369"/>
    <n v="-0.25435329828790432"/>
    <n v="0.10399668008577614"/>
    <n v="0.36604748519325236"/>
  </r>
  <r>
    <n v="30"/>
    <d v="2011-01-02T00:00:00"/>
    <x v="0"/>
    <n v="0"/>
    <n v="1"/>
    <n v="6"/>
    <b v="0"/>
    <n v="0"/>
    <n v="3"/>
    <x v="6"/>
    <x v="7"/>
    <n v="0.77"/>
    <x v="4"/>
    <n v="0"/>
    <n v="2"/>
    <n v="2"/>
    <x v="0"/>
    <x v="2"/>
    <s v="Morning"/>
    <s v="January"/>
    <s v="Spring"/>
    <n v="0.22929155386993369"/>
    <n v="-0.25435329828790432"/>
    <n v="0.10399668008577614"/>
    <n v="0.36604748519325236"/>
  </r>
  <r>
    <n v="31"/>
    <d v="2011-01-02T00:00:00"/>
    <x v="0"/>
    <n v="0"/>
    <n v="1"/>
    <n v="7"/>
    <b v="0"/>
    <n v="0"/>
    <n v="2"/>
    <x v="9"/>
    <x v="10"/>
    <n v="0.76"/>
    <x v="5"/>
    <n v="0"/>
    <n v="1"/>
    <n v="1"/>
    <x v="0"/>
    <x v="1"/>
    <s v="Morning"/>
    <s v="January"/>
    <s v="Spring"/>
    <n v="0.22929155386993369"/>
    <n v="-0.25435329828790432"/>
    <n v="0.10399668008577614"/>
    <n v="0.36604748519325236"/>
  </r>
  <r>
    <n v="32"/>
    <d v="2011-01-02T00:00:00"/>
    <x v="0"/>
    <n v="0"/>
    <n v="1"/>
    <n v="8"/>
    <b v="0"/>
    <n v="0"/>
    <n v="3"/>
    <x v="9"/>
    <x v="10"/>
    <n v="0.71"/>
    <x v="6"/>
    <n v="0"/>
    <n v="8"/>
    <n v="8"/>
    <x v="0"/>
    <x v="2"/>
    <s v="Morning"/>
    <s v="January"/>
    <s v="Spring"/>
    <n v="0.22929155386993369"/>
    <n v="-0.25435329828790432"/>
    <n v="0.10399668008577614"/>
    <n v="0.36604748519325236"/>
  </r>
  <r>
    <n v="33"/>
    <d v="2011-01-02T00:00:00"/>
    <x v="0"/>
    <n v="0"/>
    <n v="1"/>
    <n v="9"/>
    <b v="0"/>
    <n v="0"/>
    <n v="2"/>
    <x v="4"/>
    <x v="3"/>
    <n v="0.76"/>
    <x v="6"/>
    <n v="1"/>
    <n v="19"/>
    <n v="20"/>
    <x v="0"/>
    <x v="1"/>
    <s v="Morning"/>
    <s v="January"/>
    <s v="Spring"/>
    <n v="0.22929155386993369"/>
    <n v="-0.25435329828790432"/>
    <n v="0.10399668008577614"/>
    <n v="0.36604748519325236"/>
  </r>
  <r>
    <n v="34"/>
    <d v="2011-01-02T00:00:00"/>
    <x v="0"/>
    <n v="0"/>
    <n v="1"/>
    <n v="10"/>
    <b v="0"/>
    <n v="0"/>
    <n v="2"/>
    <x v="5"/>
    <x v="4"/>
    <n v="0.81"/>
    <x v="6"/>
    <n v="7"/>
    <n v="46"/>
    <n v="53"/>
    <x v="0"/>
    <x v="1"/>
    <s v="Morning"/>
    <s v="January"/>
    <s v="Spring"/>
    <n v="0.22929155386993369"/>
    <n v="-0.25435329828790432"/>
    <n v="0.10399668008577614"/>
    <n v="0.36604748519325236"/>
  </r>
  <r>
    <n v="35"/>
    <d v="2011-01-02T00:00:00"/>
    <x v="0"/>
    <n v="0"/>
    <n v="1"/>
    <n v="11"/>
    <b v="0"/>
    <n v="0"/>
    <n v="2"/>
    <x v="5"/>
    <x v="6"/>
    <n v="0.71"/>
    <x v="2"/>
    <n v="16"/>
    <n v="54"/>
    <n v="70"/>
    <x v="0"/>
    <x v="1"/>
    <s v="Morning"/>
    <s v="January"/>
    <s v="Spring"/>
    <n v="0.22929155386993369"/>
    <n v="-0.25435329828790432"/>
    <n v="0.10399668008577614"/>
    <n v="0.36604748519325236"/>
  </r>
  <r>
    <n v="36"/>
    <d v="2011-01-02T00:00:00"/>
    <x v="0"/>
    <n v="0"/>
    <n v="1"/>
    <n v="12"/>
    <b v="0"/>
    <n v="0"/>
    <n v="2"/>
    <x v="5"/>
    <x v="6"/>
    <n v="0.66"/>
    <x v="4"/>
    <n v="20"/>
    <n v="73"/>
    <n v="93"/>
    <x v="0"/>
    <x v="1"/>
    <s v="Afternoon"/>
    <s v="January"/>
    <s v="Spring"/>
    <n v="0.22929155386993369"/>
    <n v="-0.25435329828790432"/>
    <n v="0.10399668008577614"/>
    <n v="0.36604748519325236"/>
  </r>
  <r>
    <n v="37"/>
    <d v="2011-01-02T00:00:00"/>
    <x v="0"/>
    <n v="0"/>
    <n v="1"/>
    <n v="13"/>
    <b v="0"/>
    <n v="0"/>
    <n v="2"/>
    <x v="5"/>
    <x v="4"/>
    <n v="0.66"/>
    <x v="7"/>
    <n v="11"/>
    <n v="64"/>
    <n v="75"/>
    <x v="0"/>
    <x v="1"/>
    <s v="Afternoon"/>
    <s v="January"/>
    <s v="Spring"/>
    <n v="0.22929155386993369"/>
    <n v="-0.25435329828790432"/>
    <n v="0.10399668008577614"/>
    <n v="0.36604748519325236"/>
  </r>
  <r>
    <n v="38"/>
    <d v="2011-01-02T00:00:00"/>
    <x v="0"/>
    <n v="0"/>
    <n v="1"/>
    <n v="14"/>
    <b v="0"/>
    <n v="0"/>
    <n v="3"/>
    <x v="5"/>
    <x v="3"/>
    <n v="0.76"/>
    <x v="5"/>
    <n v="4"/>
    <n v="55"/>
    <n v="59"/>
    <x v="0"/>
    <x v="2"/>
    <s v="Afternoon"/>
    <s v="January"/>
    <s v="Spring"/>
    <n v="0.22929155386993369"/>
    <n v="-0.25435329828790432"/>
    <n v="0.10399668008577614"/>
    <n v="0.36604748519325236"/>
  </r>
  <r>
    <n v="39"/>
    <d v="2011-01-02T00:00:00"/>
    <x v="0"/>
    <n v="0"/>
    <n v="1"/>
    <n v="15"/>
    <b v="0"/>
    <n v="0"/>
    <n v="3"/>
    <x v="10"/>
    <x v="6"/>
    <n v="0.81"/>
    <x v="8"/>
    <n v="19"/>
    <n v="55"/>
    <n v="74"/>
    <x v="0"/>
    <x v="2"/>
    <s v="Afternoon"/>
    <s v="January"/>
    <s v="Spring"/>
    <n v="0.22929155386993369"/>
    <n v="-0.25435329828790432"/>
    <n v="0.10399668008577614"/>
    <n v="0.36604748519325236"/>
  </r>
  <r>
    <n v="40"/>
    <d v="2011-01-02T00:00:00"/>
    <x v="0"/>
    <n v="0"/>
    <n v="1"/>
    <n v="16"/>
    <b v="0"/>
    <n v="0"/>
    <n v="3"/>
    <x v="10"/>
    <x v="6"/>
    <n v="0.71"/>
    <x v="8"/>
    <n v="9"/>
    <n v="67"/>
    <n v="76"/>
    <x v="0"/>
    <x v="2"/>
    <s v="Afternoon"/>
    <s v="January"/>
    <s v="Spring"/>
    <n v="0.22929155386993369"/>
    <n v="-0.25435329828790432"/>
    <n v="0.10399668008577614"/>
    <n v="0.36604748519325236"/>
  </r>
  <r>
    <n v="41"/>
    <d v="2011-01-02T00:00:00"/>
    <x v="0"/>
    <n v="0"/>
    <n v="1"/>
    <n v="17"/>
    <b v="0"/>
    <n v="0"/>
    <n v="1"/>
    <x v="10"/>
    <x v="6"/>
    <n v="0.56999999999999995"/>
    <x v="5"/>
    <n v="7"/>
    <n v="58"/>
    <n v="65"/>
    <x v="0"/>
    <x v="0"/>
    <s v="Evening"/>
    <s v="January"/>
    <s v="Spring"/>
    <n v="0.22929155386993369"/>
    <n v="-0.25435329828790432"/>
    <n v="0.10399668008577614"/>
    <n v="0.36604748519325236"/>
  </r>
  <r>
    <n v="42"/>
    <d v="2011-01-02T00:00:00"/>
    <x v="0"/>
    <n v="0"/>
    <n v="1"/>
    <n v="18"/>
    <b v="0"/>
    <n v="0"/>
    <n v="2"/>
    <x v="5"/>
    <x v="6"/>
    <n v="0.46"/>
    <x v="9"/>
    <n v="10"/>
    <n v="43"/>
    <n v="53"/>
    <x v="0"/>
    <x v="1"/>
    <s v="Evening"/>
    <s v="January"/>
    <s v="Spring"/>
    <n v="0.22929155386993369"/>
    <n v="-0.25435329828790432"/>
    <n v="0.10399668008577614"/>
    <n v="0.36604748519325236"/>
  </r>
  <r>
    <n v="43"/>
    <d v="2011-01-02T00:00:00"/>
    <x v="0"/>
    <n v="0"/>
    <n v="1"/>
    <n v="19"/>
    <b v="0"/>
    <n v="0"/>
    <n v="1"/>
    <x v="3"/>
    <x v="0"/>
    <n v="0.42"/>
    <x v="10"/>
    <n v="1"/>
    <n v="29"/>
    <n v="30"/>
    <x v="0"/>
    <x v="0"/>
    <s v="Evening"/>
    <s v="January"/>
    <s v="Spring"/>
    <n v="0.22929155386993369"/>
    <n v="-0.25435329828790432"/>
    <n v="0.10399668008577614"/>
    <n v="0.36604748519325236"/>
  </r>
  <r>
    <n v="44"/>
    <d v="2011-01-02T00:00:00"/>
    <x v="0"/>
    <n v="0"/>
    <n v="1"/>
    <n v="20"/>
    <b v="0"/>
    <n v="0"/>
    <n v="1"/>
    <x v="11"/>
    <x v="3"/>
    <n v="0.39"/>
    <x v="11"/>
    <n v="5"/>
    <n v="17"/>
    <n v="22"/>
    <x v="0"/>
    <x v="0"/>
    <s v="Evening"/>
    <s v="January"/>
    <s v="Spring"/>
    <n v="0.22929155386993369"/>
    <n v="-0.25435329828790432"/>
    <n v="0.10399668008577614"/>
    <n v="0.36604748519325236"/>
  </r>
  <r>
    <n v="45"/>
    <d v="2011-01-02T00:00:00"/>
    <x v="0"/>
    <n v="0"/>
    <n v="1"/>
    <n v="21"/>
    <b v="0"/>
    <n v="0"/>
    <n v="1"/>
    <x v="12"/>
    <x v="11"/>
    <n v="0.44"/>
    <x v="9"/>
    <n v="11"/>
    <n v="20"/>
    <n v="31"/>
    <x v="0"/>
    <x v="0"/>
    <s v="Night"/>
    <s v="January"/>
    <s v="Spring"/>
    <n v="0.22929155386993369"/>
    <n v="-0.25435329828790432"/>
    <n v="0.10399668008577614"/>
    <n v="0.36604748519325236"/>
  </r>
  <r>
    <n v="46"/>
    <d v="2011-01-02T00:00:00"/>
    <x v="0"/>
    <n v="0"/>
    <n v="1"/>
    <n v="22"/>
    <b v="0"/>
    <n v="0"/>
    <n v="1"/>
    <x v="0"/>
    <x v="12"/>
    <n v="0.44"/>
    <x v="4"/>
    <n v="0"/>
    <n v="9"/>
    <n v="9"/>
    <x v="0"/>
    <x v="0"/>
    <s v="Night"/>
    <s v="January"/>
    <s v="Spring"/>
    <n v="0.22929155386993369"/>
    <n v="-0.25435329828790432"/>
    <n v="0.10399668008577614"/>
    <n v="0.36604748519325236"/>
  </r>
  <r>
    <n v="47"/>
    <d v="2011-01-02T00:00:00"/>
    <x v="0"/>
    <n v="0"/>
    <n v="1"/>
    <n v="23"/>
    <b v="0"/>
    <n v="0"/>
    <n v="1"/>
    <x v="1"/>
    <x v="11"/>
    <n v="0.47"/>
    <x v="8"/>
    <n v="0"/>
    <n v="8"/>
    <n v="8"/>
    <x v="0"/>
    <x v="0"/>
    <s v="Night"/>
    <s v="January"/>
    <s v="Spring"/>
    <n v="0.22929155386993369"/>
    <n v="-0.25435329828790432"/>
    <n v="0.10399668008577614"/>
    <n v="0.36604748519325236"/>
  </r>
  <r>
    <n v="48"/>
    <d v="2011-01-03T00:00:00"/>
    <x v="0"/>
    <n v="0"/>
    <n v="1"/>
    <n v="0"/>
    <b v="0"/>
    <n v="1"/>
    <n v="1"/>
    <x v="1"/>
    <x v="13"/>
    <n v="0.44"/>
    <x v="11"/>
    <n v="0"/>
    <n v="5"/>
    <n v="5"/>
    <x v="1"/>
    <x v="0"/>
    <s v="Night"/>
    <s v="January"/>
    <s v="Spring"/>
    <n v="0.22929155386993369"/>
    <n v="-0.25435329828790432"/>
    <n v="0.10399668008577614"/>
    <n v="0.36604748519325236"/>
  </r>
  <r>
    <n v="49"/>
    <d v="2011-01-03T00:00:00"/>
    <x v="0"/>
    <n v="0"/>
    <n v="1"/>
    <n v="1"/>
    <b v="0"/>
    <n v="1"/>
    <n v="1"/>
    <x v="2"/>
    <x v="3"/>
    <n v="0.44"/>
    <x v="12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50"/>
    <d v="2011-01-03T00:00:00"/>
    <x v="0"/>
    <n v="0"/>
    <n v="1"/>
    <n v="4"/>
    <b v="0"/>
    <n v="1"/>
    <n v="1"/>
    <x v="13"/>
    <x v="14"/>
    <n v="0.47"/>
    <x v="13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51"/>
    <d v="2011-01-03T00:00:00"/>
    <x v="0"/>
    <n v="0"/>
    <n v="1"/>
    <n v="5"/>
    <b v="0"/>
    <n v="1"/>
    <n v="1"/>
    <x v="13"/>
    <x v="14"/>
    <n v="0.47"/>
    <x v="3"/>
    <n v="0"/>
    <n v="3"/>
    <n v="3"/>
    <x v="1"/>
    <x v="0"/>
    <s v="Night"/>
    <s v="January"/>
    <s v="Spring"/>
    <n v="0.22929155386993369"/>
    <n v="-0.25435329828790432"/>
    <n v="0.10399668008577614"/>
    <n v="0.36604748519325236"/>
  </r>
  <r>
    <n v="52"/>
    <d v="2011-01-03T00:00:00"/>
    <x v="0"/>
    <n v="0"/>
    <n v="1"/>
    <n v="6"/>
    <b v="0"/>
    <n v="1"/>
    <n v="1"/>
    <x v="14"/>
    <x v="15"/>
    <n v="0.5"/>
    <x v="13"/>
    <n v="0"/>
    <n v="30"/>
    <n v="30"/>
    <x v="1"/>
    <x v="0"/>
    <s v="Morning"/>
    <s v="January"/>
    <s v="Spring"/>
    <n v="0.22929155386993369"/>
    <n v="-0.25435329828790432"/>
    <n v="0.10399668008577614"/>
    <n v="0.36604748519325236"/>
  </r>
  <r>
    <n v="53"/>
    <d v="2011-01-03T00:00:00"/>
    <x v="0"/>
    <n v="0"/>
    <n v="1"/>
    <n v="7"/>
    <b v="0"/>
    <n v="1"/>
    <n v="1"/>
    <x v="14"/>
    <x v="14"/>
    <n v="0.5"/>
    <x v="5"/>
    <n v="1"/>
    <n v="63"/>
    <n v="64"/>
    <x v="1"/>
    <x v="0"/>
    <s v="Morning"/>
    <s v="January"/>
    <s v="Spring"/>
    <n v="0.22929155386993369"/>
    <n v="-0.25435329828790432"/>
    <n v="0.10399668008577614"/>
    <n v="0.36604748519325236"/>
  </r>
  <r>
    <n v="54"/>
    <d v="2011-01-03T00:00:00"/>
    <x v="0"/>
    <n v="0"/>
    <n v="1"/>
    <n v="8"/>
    <b v="0"/>
    <n v="1"/>
    <n v="1"/>
    <x v="14"/>
    <x v="16"/>
    <n v="0.5"/>
    <x v="3"/>
    <n v="1"/>
    <n v="153"/>
    <n v="154"/>
    <x v="1"/>
    <x v="0"/>
    <s v="Morning"/>
    <s v="January"/>
    <s v="Spring"/>
    <n v="0.22929155386993369"/>
    <n v="-0.25435329828790432"/>
    <n v="0.10399668008577614"/>
    <n v="0.36604748519325236"/>
  </r>
  <r>
    <n v="55"/>
    <d v="2011-01-03T00:00:00"/>
    <x v="0"/>
    <n v="0"/>
    <n v="1"/>
    <n v="9"/>
    <b v="0"/>
    <n v="1"/>
    <n v="1"/>
    <x v="13"/>
    <x v="14"/>
    <n v="0.43"/>
    <x v="13"/>
    <n v="7"/>
    <n v="81"/>
    <n v="88"/>
    <x v="1"/>
    <x v="0"/>
    <s v="Morning"/>
    <s v="January"/>
    <s v="Spring"/>
    <n v="0.22929155386993369"/>
    <n v="-0.25435329828790432"/>
    <n v="0.10399668008577614"/>
    <n v="0.36604748519325236"/>
  </r>
  <r>
    <n v="56"/>
    <d v="2011-01-03T00:00:00"/>
    <x v="0"/>
    <n v="0"/>
    <n v="1"/>
    <n v="10"/>
    <b v="0"/>
    <n v="1"/>
    <n v="1"/>
    <x v="15"/>
    <x v="17"/>
    <n v="0.43"/>
    <x v="2"/>
    <n v="11"/>
    <n v="33"/>
    <n v="44"/>
    <x v="1"/>
    <x v="0"/>
    <s v="Morning"/>
    <s v="January"/>
    <s v="Spring"/>
    <n v="0.22929155386993369"/>
    <n v="-0.25435329828790432"/>
    <n v="0.10399668008577614"/>
    <n v="0.36604748519325236"/>
  </r>
  <r>
    <n v="57"/>
    <d v="2011-01-03T00:00:00"/>
    <x v="0"/>
    <n v="0"/>
    <n v="1"/>
    <n v="11"/>
    <b v="0"/>
    <n v="1"/>
    <n v="1"/>
    <x v="2"/>
    <x v="18"/>
    <n v="0.4"/>
    <x v="9"/>
    <n v="10"/>
    <n v="41"/>
    <n v="51"/>
    <x v="1"/>
    <x v="0"/>
    <s v="Morning"/>
    <s v="January"/>
    <s v="Spring"/>
    <n v="0.22929155386993369"/>
    <n v="-0.25435329828790432"/>
    <n v="0.10399668008577614"/>
    <n v="0.36604748519325236"/>
  </r>
  <r>
    <n v="58"/>
    <d v="2011-01-03T00:00:00"/>
    <x v="0"/>
    <n v="0"/>
    <n v="1"/>
    <n v="12"/>
    <b v="0"/>
    <n v="1"/>
    <n v="1"/>
    <x v="1"/>
    <x v="12"/>
    <n v="0.35"/>
    <x v="4"/>
    <n v="13"/>
    <n v="48"/>
    <n v="61"/>
    <x v="1"/>
    <x v="0"/>
    <s v="Afternoon"/>
    <s v="January"/>
    <s v="Spring"/>
    <n v="0.22929155386993369"/>
    <n v="-0.25435329828790432"/>
    <n v="0.10399668008577614"/>
    <n v="0.36604748519325236"/>
  </r>
  <r>
    <n v="59"/>
    <d v="2011-01-03T00:00:00"/>
    <x v="0"/>
    <n v="0"/>
    <n v="1"/>
    <n v="13"/>
    <b v="0"/>
    <n v="1"/>
    <n v="1"/>
    <x v="0"/>
    <x v="3"/>
    <n v="0.35"/>
    <x v="3"/>
    <n v="8"/>
    <n v="53"/>
    <n v="61"/>
    <x v="1"/>
    <x v="0"/>
    <s v="Afternoon"/>
    <s v="January"/>
    <s v="Spring"/>
    <n v="0.22929155386993369"/>
    <n v="-0.25435329828790432"/>
    <n v="0.10399668008577614"/>
    <n v="0.36604748519325236"/>
  </r>
  <r>
    <n v="60"/>
    <d v="2011-01-03T00:00:00"/>
    <x v="0"/>
    <n v="0"/>
    <n v="1"/>
    <n v="14"/>
    <b v="0"/>
    <n v="1"/>
    <n v="1"/>
    <x v="12"/>
    <x v="19"/>
    <n v="0.3"/>
    <x v="3"/>
    <n v="11"/>
    <n v="66"/>
    <n v="77"/>
    <x v="1"/>
    <x v="0"/>
    <s v="Afternoon"/>
    <s v="January"/>
    <s v="Spring"/>
    <n v="0.22929155386993369"/>
    <n v="-0.25435329828790432"/>
    <n v="0.10399668008577614"/>
    <n v="0.36604748519325236"/>
  </r>
  <r>
    <n v="61"/>
    <d v="2011-01-03T00:00:00"/>
    <x v="0"/>
    <n v="0"/>
    <n v="1"/>
    <n v="15"/>
    <b v="0"/>
    <n v="1"/>
    <n v="1"/>
    <x v="12"/>
    <x v="19"/>
    <n v="0.3"/>
    <x v="2"/>
    <n v="14"/>
    <n v="58"/>
    <n v="72"/>
    <x v="1"/>
    <x v="0"/>
    <s v="Afternoon"/>
    <s v="January"/>
    <s v="Spring"/>
    <n v="0.22929155386993369"/>
    <n v="-0.25435329828790432"/>
    <n v="0.10399668008577614"/>
    <n v="0.36604748519325236"/>
  </r>
  <r>
    <n v="62"/>
    <d v="2011-01-03T00:00:00"/>
    <x v="0"/>
    <n v="0"/>
    <n v="1"/>
    <n v="16"/>
    <b v="0"/>
    <n v="1"/>
    <n v="1"/>
    <x v="12"/>
    <x v="19"/>
    <n v="0.3"/>
    <x v="2"/>
    <n v="9"/>
    <n v="67"/>
    <n v="76"/>
    <x v="1"/>
    <x v="0"/>
    <s v="Afternoon"/>
    <s v="January"/>
    <s v="Spring"/>
    <n v="0.22929155386993369"/>
    <n v="-0.25435329828790432"/>
    <n v="0.10399668008577614"/>
    <n v="0.36604748519325236"/>
  </r>
  <r>
    <n v="63"/>
    <d v="2011-01-03T00:00:00"/>
    <x v="0"/>
    <n v="0"/>
    <n v="1"/>
    <n v="17"/>
    <b v="0"/>
    <n v="1"/>
    <n v="1"/>
    <x v="0"/>
    <x v="11"/>
    <n v="0.3"/>
    <x v="6"/>
    <n v="11"/>
    <n v="146"/>
    <n v="157"/>
    <x v="1"/>
    <x v="0"/>
    <s v="Evening"/>
    <s v="January"/>
    <s v="Spring"/>
    <n v="0.22929155386993369"/>
    <n v="-0.25435329828790432"/>
    <n v="0.10399668008577614"/>
    <n v="0.36604748519325236"/>
  </r>
  <r>
    <n v="64"/>
    <d v="2011-01-03T00:00:00"/>
    <x v="0"/>
    <n v="0"/>
    <n v="1"/>
    <n v="18"/>
    <b v="0"/>
    <n v="1"/>
    <n v="1"/>
    <x v="0"/>
    <x v="2"/>
    <n v="0.32"/>
    <x v="14"/>
    <n v="9"/>
    <n v="148"/>
    <n v="157"/>
    <x v="1"/>
    <x v="0"/>
    <s v="Evening"/>
    <s v="January"/>
    <s v="Spring"/>
    <n v="0.22929155386993369"/>
    <n v="-0.25435329828790432"/>
    <n v="0.10399668008577614"/>
    <n v="0.36604748519325236"/>
  </r>
  <r>
    <n v="65"/>
    <d v="2011-01-03T00:00:00"/>
    <x v="0"/>
    <n v="0"/>
    <n v="1"/>
    <n v="19"/>
    <b v="0"/>
    <n v="1"/>
    <n v="1"/>
    <x v="2"/>
    <x v="2"/>
    <n v="0.47"/>
    <x v="0"/>
    <n v="8"/>
    <n v="102"/>
    <n v="110"/>
    <x v="1"/>
    <x v="0"/>
    <s v="Evening"/>
    <s v="January"/>
    <s v="Spring"/>
    <n v="0.22929155386993369"/>
    <n v="-0.25435329828790432"/>
    <n v="0.10399668008577614"/>
    <n v="0.36604748519325236"/>
  </r>
  <r>
    <n v="66"/>
    <d v="2011-01-03T00:00:00"/>
    <x v="0"/>
    <n v="0"/>
    <n v="1"/>
    <n v="20"/>
    <b v="0"/>
    <n v="1"/>
    <n v="1"/>
    <x v="2"/>
    <x v="3"/>
    <n v="0.47"/>
    <x v="14"/>
    <n v="3"/>
    <n v="49"/>
    <n v="52"/>
    <x v="1"/>
    <x v="0"/>
    <s v="Evening"/>
    <s v="January"/>
    <s v="Spring"/>
    <n v="0.22929155386993369"/>
    <n v="-0.25435329828790432"/>
    <n v="0.10399668008577614"/>
    <n v="0.36604748519325236"/>
  </r>
  <r>
    <n v="67"/>
    <d v="2011-01-03T00:00:00"/>
    <x v="0"/>
    <n v="0"/>
    <n v="1"/>
    <n v="21"/>
    <b v="0"/>
    <n v="1"/>
    <n v="1"/>
    <x v="15"/>
    <x v="13"/>
    <n v="0.64"/>
    <x v="7"/>
    <n v="3"/>
    <n v="49"/>
    <n v="52"/>
    <x v="1"/>
    <x v="0"/>
    <s v="Night"/>
    <s v="January"/>
    <s v="Spring"/>
    <n v="0.22929155386993369"/>
    <n v="-0.25435329828790432"/>
    <n v="0.10399668008577614"/>
    <n v="0.36604748519325236"/>
  </r>
  <r>
    <n v="68"/>
    <d v="2011-01-03T00:00:00"/>
    <x v="0"/>
    <n v="0"/>
    <n v="1"/>
    <n v="22"/>
    <b v="0"/>
    <n v="1"/>
    <n v="1"/>
    <x v="14"/>
    <x v="20"/>
    <n v="0.69"/>
    <x v="7"/>
    <n v="0"/>
    <n v="20"/>
    <n v="20"/>
    <x v="1"/>
    <x v="0"/>
    <s v="Night"/>
    <s v="January"/>
    <s v="Spring"/>
    <n v="0.22929155386993369"/>
    <n v="-0.25435329828790432"/>
    <n v="0.10399668008577614"/>
    <n v="0.36604748519325236"/>
  </r>
  <r>
    <n v="69"/>
    <d v="2011-01-03T00:00:00"/>
    <x v="0"/>
    <n v="0"/>
    <n v="1"/>
    <n v="23"/>
    <b v="0"/>
    <n v="1"/>
    <n v="1"/>
    <x v="15"/>
    <x v="12"/>
    <n v="0.55000000000000004"/>
    <x v="14"/>
    <n v="1"/>
    <n v="11"/>
    <n v="12"/>
    <x v="1"/>
    <x v="0"/>
    <s v="Night"/>
    <s v="January"/>
    <s v="Spring"/>
    <n v="0.22929155386993369"/>
    <n v="-0.25435329828790432"/>
    <n v="0.10399668008577614"/>
    <n v="0.36604748519325236"/>
  </r>
  <r>
    <n v="70"/>
    <d v="2011-01-04T00:00:00"/>
    <x v="0"/>
    <n v="0"/>
    <n v="1"/>
    <n v="0"/>
    <b v="0"/>
    <n v="2"/>
    <n v="1"/>
    <x v="13"/>
    <x v="3"/>
    <n v="0.55000000000000004"/>
    <x v="14"/>
    <n v="0"/>
    <n v="5"/>
    <n v="5"/>
    <x v="1"/>
    <x v="0"/>
    <s v="Night"/>
    <s v="January"/>
    <s v="Spring"/>
    <n v="0.22929155386993369"/>
    <n v="-0.25435329828790432"/>
    <n v="0.10399668008577614"/>
    <n v="0.36604748519325236"/>
  </r>
  <r>
    <n v="71"/>
    <d v="2011-01-04T00:00:00"/>
    <x v="0"/>
    <n v="0"/>
    <n v="1"/>
    <n v="1"/>
    <b v="0"/>
    <n v="2"/>
    <n v="1"/>
    <x v="13"/>
    <x v="18"/>
    <n v="0.59"/>
    <x v="14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72"/>
    <d v="2011-01-04T00:00:00"/>
    <x v="0"/>
    <n v="0"/>
    <n v="1"/>
    <n v="2"/>
    <b v="0"/>
    <n v="2"/>
    <n v="1"/>
    <x v="14"/>
    <x v="20"/>
    <n v="0.63"/>
    <x v="7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73"/>
    <d v="2011-01-04T00:00:00"/>
    <x v="0"/>
    <n v="0"/>
    <n v="1"/>
    <n v="4"/>
    <b v="0"/>
    <n v="2"/>
    <n v="1"/>
    <x v="14"/>
    <x v="18"/>
    <n v="0.63"/>
    <x v="1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74"/>
    <d v="2011-01-04T00:00:00"/>
    <x v="0"/>
    <n v="0"/>
    <n v="1"/>
    <n v="5"/>
    <b v="0"/>
    <n v="2"/>
    <n v="1"/>
    <x v="16"/>
    <x v="20"/>
    <n v="0.68"/>
    <x v="14"/>
    <n v="0"/>
    <n v="4"/>
    <n v="4"/>
    <x v="1"/>
    <x v="0"/>
    <s v="Night"/>
    <s v="January"/>
    <s v="Spring"/>
    <n v="0.22929155386993369"/>
    <n v="-0.25435329828790432"/>
    <n v="0.10399668008577614"/>
    <n v="0.36604748519325236"/>
  </r>
  <r>
    <n v="75"/>
    <d v="2011-01-04T00:00:00"/>
    <x v="0"/>
    <n v="0"/>
    <n v="1"/>
    <n v="6"/>
    <b v="0"/>
    <n v="2"/>
    <n v="1"/>
    <x v="16"/>
    <x v="20"/>
    <n v="0.74"/>
    <x v="14"/>
    <n v="0"/>
    <n v="36"/>
    <n v="36"/>
    <x v="1"/>
    <x v="0"/>
    <s v="Morning"/>
    <s v="January"/>
    <s v="Spring"/>
    <n v="0.22929155386993369"/>
    <n v="-0.25435329828790432"/>
    <n v="0.10399668008577614"/>
    <n v="0.36604748519325236"/>
  </r>
  <r>
    <n v="76"/>
    <d v="2011-01-04T00:00:00"/>
    <x v="0"/>
    <n v="0"/>
    <n v="1"/>
    <n v="7"/>
    <b v="0"/>
    <n v="2"/>
    <n v="1"/>
    <x v="16"/>
    <x v="20"/>
    <n v="0.74"/>
    <x v="7"/>
    <n v="2"/>
    <n v="92"/>
    <n v="94"/>
    <x v="1"/>
    <x v="0"/>
    <s v="Morning"/>
    <s v="January"/>
    <s v="Spring"/>
    <n v="0.22929155386993369"/>
    <n v="-0.25435329828790432"/>
    <n v="0.10399668008577614"/>
    <n v="0.36604748519325236"/>
  </r>
  <r>
    <n v="77"/>
    <d v="2011-01-04T00:00:00"/>
    <x v="0"/>
    <n v="0"/>
    <n v="1"/>
    <n v="8"/>
    <b v="0"/>
    <n v="2"/>
    <n v="1"/>
    <x v="14"/>
    <x v="20"/>
    <n v="0.69"/>
    <x v="8"/>
    <n v="2"/>
    <n v="177"/>
    <n v="179"/>
    <x v="1"/>
    <x v="0"/>
    <s v="Morning"/>
    <s v="January"/>
    <s v="Spring"/>
    <n v="0.22929155386993369"/>
    <n v="-0.25435329828790432"/>
    <n v="0.10399668008577614"/>
    <n v="0.36604748519325236"/>
  </r>
  <r>
    <n v="78"/>
    <d v="2011-01-04T00:00:00"/>
    <x v="0"/>
    <n v="0"/>
    <n v="1"/>
    <n v="9"/>
    <b v="0"/>
    <n v="2"/>
    <n v="1"/>
    <x v="13"/>
    <x v="20"/>
    <n v="0.64"/>
    <x v="6"/>
    <n v="2"/>
    <n v="98"/>
    <n v="100"/>
    <x v="1"/>
    <x v="0"/>
    <s v="Morning"/>
    <s v="January"/>
    <s v="Spring"/>
    <n v="0.22929155386993369"/>
    <n v="-0.25435329828790432"/>
    <n v="0.10399668008577614"/>
    <n v="0.36604748519325236"/>
  </r>
  <r>
    <n v="79"/>
    <d v="2011-01-04T00:00:00"/>
    <x v="0"/>
    <n v="0"/>
    <n v="1"/>
    <n v="10"/>
    <b v="0"/>
    <n v="2"/>
    <n v="2"/>
    <x v="13"/>
    <x v="14"/>
    <n v="0.69"/>
    <x v="9"/>
    <n v="5"/>
    <n v="37"/>
    <n v="42"/>
    <x v="1"/>
    <x v="1"/>
    <s v="Morning"/>
    <s v="January"/>
    <s v="Spring"/>
    <n v="0.22929155386993369"/>
    <n v="-0.25435329828790432"/>
    <n v="0.10399668008577614"/>
    <n v="0.36604748519325236"/>
  </r>
  <r>
    <n v="80"/>
    <d v="2011-01-04T00:00:00"/>
    <x v="0"/>
    <n v="0"/>
    <n v="1"/>
    <n v="11"/>
    <b v="0"/>
    <n v="2"/>
    <n v="1"/>
    <x v="1"/>
    <x v="12"/>
    <n v="0.51"/>
    <x v="4"/>
    <n v="7"/>
    <n v="50"/>
    <n v="57"/>
    <x v="1"/>
    <x v="0"/>
    <s v="Morning"/>
    <s v="January"/>
    <s v="Spring"/>
    <n v="0.22929155386993369"/>
    <n v="-0.25435329828790432"/>
    <n v="0.10399668008577614"/>
    <n v="0.36604748519325236"/>
  </r>
  <r>
    <n v="81"/>
    <d v="2011-01-04T00:00:00"/>
    <x v="0"/>
    <n v="0"/>
    <n v="1"/>
    <n v="12"/>
    <b v="0"/>
    <n v="2"/>
    <n v="1"/>
    <x v="1"/>
    <x v="11"/>
    <n v="0.51"/>
    <x v="8"/>
    <n v="12"/>
    <n v="66"/>
    <n v="78"/>
    <x v="1"/>
    <x v="0"/>
    <s v="Afternoon"/>
    <s v="January"/>
    <s v="Spring"/>
    <n v="0.22929155386993369"/>
    <n v="-0.25435329828790432"/>
    <n v="0.10399668008577614"/>
    <n v="0.36604748519325236"/>
  </r>
  <r>
    <n v="82"/>
    <d v="2011-01-04T00:00:00"/>
    <x v="0"/>
    <n v="0"/>
    <n v="1"/>
    <n v="13"/>
    <b v="0"/>
    <n v="2"/>
    <n v="1"/>
    <x v="0"/>
    <x v="11"/>
    <n v="0.56000000000000005"/>
    <x v="5"/>
    <n v="18"/>
    <n v="79"/>
    <n v="97"/>
    <x v="1"/>
    <x v="0"/>
    <s v="Afternoon"/>
    <s v="January"/>
    <s v="Spring"/>
    <n v="0.22929155386993369"/>
    <n v="-0.25435329828790432"/>
    <n v="0.10399668008577614"/>
    <n v="0.36604748519325236"/>
  </r>
  <r>
    <n v="83"/>
    <d v="2011-01-04T00:00:00"/>
    <x v="0"/>
    <n v="0"/>
    <n v="1"/>
    <n v="14"/>
    <b v="0"/>
    <n v="2"/>
    <n v="1"/>
    <x v="12"/>
    <x v="2"/>
    <n v="0.52"/>
    <x v="6"/>
    <n v="9"/>
    <n v="54"/>
    <n v="63"/>
    <x v="1"/>
    <x v="0"/>
    <s v="Afternoon"/>
    <s v="January"/>
    <s v="Spring"/>
    <n v="0.22929155386993369"/>
    <n v="-0.25435329828790432"/>
    <n v="0.10399668008577614"/>
    <n v="0.36604748519325236"/>
  </r>
  <r>
    <n v="84"/>
    <d v="2011-01-04T00:00:00"/>
    <x v="0"/>
    <n v="0"/>
    <n v="1"/>
    <n v="15"/>
    <b v="0"/>
    <n v="2"/>
    <n v="1"/>
    <x v="17"/>
    <x v="1"/>
    <n v="0.52"/>
    <x v="2"/>
    <n v="17"/>
    <n v="48"/>
    <n v="65"/>
    <x v="1"/>
    <x v="0"/>
    <s v="Afternoon"/>
    <s v="January"/>
    <s v="Spring"/>
    <n v="0.22929155386993369"/>
    <n v="-0.25435329828790432"/>
    <n v="0.10399668008577614"/>
    <n v="0.36604748519325236"/>
  </r>
  <r>
    <n v="85"/>
    <d v="2011-01-04T00:00:00"/>
    <x v="0"/>
    <n v="0"/>
    <n v="1"/>
    <n v="16"/>
    <b v="0"/>
    <n v="2"/>
    <n v="1"/>
    <x v="11"/>
    <x v="0"/>
    <n v="0.49"/>
    <x v="2"/>
    <n v="15"/>
    <n v="68"/>
    <n v="83"/>
    <x v="1"/>
    <x v="0"/>
    <s v="Afternoon"/>
    <s v="January"/>
    <s v="Spring"/>
    <n v="0.22929155386993369"/>
    <n v="-0.25435329828790432"/>
    <n v="0.10399668008577614"/>
    <n v="0.36604748519325236"/>
  </r>
  <r>
    <n v="86"/>
    <d v="2011-01-04T00:00:00"/>
    <x v="0"/>
    <n v="0"/>
    <n v="1"/>
    <n v="17"/>
    <b v="0"/>
    <n v="2"/>
    <n v="1"/>
    <x v="17"/>
    <x v="1"/>
    <n v="0.48"/>
    <x v="6"/>
    <n v="10"/>
    <n v="202"/>
    <n v="212"/>
    <x v="1"/>
    <x v="0"/>
    <s v="Evening"/>
    <s v="January"/>
    <s v="Spring"/>
    <n v="0.22929155386993369"/>
    <n v="-0.25435329828790432"/>
    <n v="0.10399668008577614"/>
    <n v="0.36604748519325236"/>
  </r>
  <r>
    <n v="87"/>
    <d v="2011-01-04T00:00:00"/>
    <x v="0"/>
    <n v="0"/>
    <n v="1"/>
    <n v="18"/>
    <b v="0"/>
    <n v="2"/>
    <n v="1"/>
    <x v="12"/>
    <x v="2"/>
    <n v="0.48"/>
    <x v="5"/>
    <n v="3"/>
    <n v="179"/>
    <n v="182"/>
    <x v="1"/>
    <x v="0"/>
    <s v="Evening"/>
    <s v="January"/>
    <s v="Spring"/>
    <n v="0.22929155386993369"/>
    <n v="-0.25435329828790432"/>
    <n v="0.10399668008577614"/>
    <n v="0.36604748519325236"/>
  </r>
  <r>
    <n v="88"/>
    <d v="2011-01-04T00:00:00"/>
    <x v="0"/>
    <n v="0"/>
    <n v="1"/>
    <n v="19"/>
    <b v="0"/>
    <n v="2"/>
    <n v="1"/>
    <x v="0"/>
    <x v="2"/>
    <n v="0.48"/>
    <x v="14"/>
    <n v="2"/>
    <n v="110"/>
    <n v="112"/>
    <x v="1"/>
    <x v="0"/>
    <s v="Evening"/>
    <s v="January"/>
    <s v="Spring"/>
    <n v="0.22929155386993369"/>
    <n v="-0.25435329828790432"/>
    <n v="0.10399668008577614"/>
    <n v="0.36604748519325236"/>
  </r>
  <r>
    <n v="89"/>
    <d v="2011-01-04T00:00:00"/>
    <x v="0"/>
    <n v="0"/>
    <n v="1"/>
    <n v="20"/>
    <b v="0"/>
    <n v="2"/>
    <n v="1"/>
    <x v="0"/>
    <x v="2"/>
    <n v="0.48"/>
    <x v="14"/>
    <n v="1"/>
    <n v="53"/>
    <n v="54"/>
    <x v="1"/>
    <x v="0"/>
    <s v="Evening"/>
    <s v="January"/>
    <s v="Spring"/>
    <n v="0.22929155386993369"/>
    <n v="-0.25435329828790432"/>
    <n v="0.10399668008577614"/>
    <n v="0.36604748519325236"/>
  </r>
  <r>
    <n v="90"/>
    <d v="2011-01-04T00:00:00"/>
    <x v="0"/>
    <n v="0"/>
    <n v="1"/>
    <n v="21"/>
    <b v="0"/>
    <n v="2"/>
    <n v="1"/>
    <x v="1"/>
    <x v="1"/>
    <n v="0.64"/>
    <x v="0"/>
    <n v="0"/>
    <n v="48"/>
    <n v="48"/>
    <x v="1"/>
    <x v="0"/>
    <s v="Night"/>
    <s v="January"/>
    <s v="Spring"/>
    <n v="0.22929155386993369"/>
    <n v="-0.25435329828790432"/>
    <n v="0.10399668008577614"/>
    <n v="0.36604748519325236"/>
  </r>
  <r>
    <n v="91"/>
    <d v="2011-01-04T00:00:00"/>
    <x v="0"/>
    <n v="0"/>
    <n v="1"/>
    <n v="22"/>
    <b v="0"/>
    <n v="2"/>
    <n v="1"/>
    <x v="1"/>
    <x v="2"/>
    <n v="0.64"/>
    <x v="1"/>
    <n v="1"/>
    <n v="34"/>
    <n v="35"/>
    <x v="1"/>
    <x v="0"/>
    <s v="Night"/>
    <s v="January"/>
    <s v="Spring"/>
    <n v="0.22929155386993369"/>
    <n v="-0.25435329828790432"/>
    <n v="0.10399668008577614"/>
    <n v="0.36604748519325236"/>
  </r>
  <r>
    <n v="92"/>
    <d v="2011-01-04T00:00:00"/>
    <x v="0"/>
    <n v="0"/>
    <n v="1"/>
    <n v="23"/>
    <b v="0"/>
    <n v="2"/>
    <n v="1"/>
    <x v="2"/>
    <x v="11"/>
    <n v="0.69"/>
    <x v="1"/>
    <n v="2"/>
    <n v="9"/>
    <n v="11"/>
    <x v="1"/>
    <x v="0"/>
    <s v="Night"/>
    <s v="January"/>
    <s v="Spring"/>
    <n v="0.22929155386993369"/>
    <n v="-0.25435329828790432"/>
    <n v="0.10399668008577614"/>
    <n v="0.36604748519325236"/>
  </r>
  <r>
    <n v="93"/>
    <d v="2011-01-05T00:00:00"/>
    <x v="0"/>
    <n v="0"/>
    <n v="1"/>
    <n v="0"/>
    <b v="0"/>
    <n v="3"/>
    <n v="1"/>
    <x v="2"/>
    <x v="2"/>
    <n v="0.64"/>
    <x v="0"/>
    <n v="0"/>
    <n v="6"/>
    <n v="6"/>
    <x v="1"/>
    <x v="0"/>
    <s v="Night"/>
    <s v="January"/>
    <s v="Spring"/>
    <n v="0.22929155386993369"/>
    <n v="-0.25435329828790432"/>
    <n v="0.10399668008577614"/>
    <n v="0.36604748519325236"/>
  </r>
  <r>
    <n v="94"/>
    <d v="2011-01-05T00:00:00"/>
    <x v="0"/>
    <n v="0"/>
    <n v="1"/>
    <n v="1"/>
    <b v="0"/>
    <n v="3"/>
    <n v="1"/>
    <x v="13"/>
    <x v="13"/>
    <n v="0.74"/>
    <x v="1"/>
    <n v="0"/>
    <n v="6"/>
    <n v="6"/>
    <x v="1"/>
    <x v="0"/>
    <s v="Night"/>
    <s v="January"/>
    <s v="Spring"/>
    <n v="0.22929155386993369"/>
    <n v="-0.25435329828790432"/>
    <n v="0.10399668008577614"/>
    <n v="0.36604748519325236"/>
  </r>
  <r>
    <n v="95"/>
    <d v="2011-01-05T00:00:00"/>
    <x v="0"/>
    <n v="0"/>
    <n v="1"/>
    <n v="2"/>
    <b v="0"/>
    <n v="3"/>
    <n v="1"/>
    <x v="13"/>
    <x v="13"/>
    <n v="0.74"/>
    <x v="1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96"/>
    <d v="2011-01-05T00:00:00"/>
    <x v="0"/>
    <n v="0"/>
    <n v="1"/>
    <n v="4"/>
    <b v="0"/>
    <n v="3"/>
    <n v="1"/>
    <x v="0"/>
    <x v="11"/>
    <n v="0.48"/>
    <x v="6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97"/>
    <d v="2011-01-05T00:00:00"/>
    <x v="0"/>
    <n v="0"/>
    <n v="1"/>
    <n v="5"/>
    <b v="0"/>
    <n v="3"/>
    <n v="1"/>
    <x v="1"/>
    <x v="11"/>
    <n v="0.47"/>
    <x v="8"/>
    <n v="0"/>
    <n v="3"/>
    <n v="3"/>
    <x v="1"/>
    <x v="0"/>
    <s v="Night"/>
    <s v="January"/>
    <s v="Spring"/>
    <n v="0.22929155386993369"/>
    <n v="-0.25435329828790432"/>
    <n v="0.10399668008577614"/>
    <n v="0.36604748519325236"/>
  </r>
  <r>
    <n v="98"/>
    <d v="2011-01-05T00:00:00"/>
    <x v="0"/>
    <n v="0"/>
    <n v="1"/>
    <n v="6"/>
    <b v="0"/>
    <n v="3"/>
    <n v="1"/>
    <x v="2"/>
    <x v="13"/>
    <n v="0.47"/>
    <x v="6"/>
    <n v="0"/>
    <n v="33"/>
    <n v="33"/>
    <x v="1"/>
    <x v="0"/>
    <s v="Morning"/>
    <s v="January"/>
    <s v="Spring"/>
    <n v="0.22929155386993369"/>
    <n v="-0.25435329828790432"/>
    <n v="0.10399668008577614"/>
    <n v="0.36604748519325236"/>
  </r>
  <r>
    <n v="99"/>
    <d v="2011-01-05T00:00:00"/>
    <x v="0"/>
    <n v="0"/>
    <n v="1"/>
    <n v="7"/>
    <b v="0"/>
    <n v="3"/>
    <n v="1"/>
    <x v="15"/>
    <x v="18"/>
    <n v="0.43"/>
    <x v="5"/>
    <n v="1"/>
    <n v="87"/>
    <n v="88"/>
    <x v="1"/>
    <x v="0"/>
    <s v="Morning"/>
    <s v="January"/>
    <s v="Spring"/>
    <n v="0.22929155386993369"/>
    <n v="-0.25435329828790432"/>
    <n v="0.10399668008577614"/>
    <n v="0.36604748519325236"/>
  </r>
  <r>
    <n v="100"/>
    <d v="2011-01-05T00:00:00"/>
    <x v="0"/>
    <n v="0"/>
    <n v="1"/>
    <n v="8"/>
    <b v="0"/>
    <n v="3"/>
    <n v="1"/>
    <x v="2"/>
    <x v="18"/>
    <n v="0.4"/>
    <x v="4"/>
    <n v="3"/>
    <n v="192"/>
    <n v="195"/>
    <x v="1"/>
    <x v="0"/>
    <s v="Morning"/>
    <s v="January"/>
    <s v="Spring"/>
    <n v="0.22929155386993369"/>
    <n v="-0.25435329828790432"/>
    <n v="0.10399668008577614"/>
    <n v="0.36604748519325236"/>
  </r>
  <r>
    <n v="101"/>
    <d v="2011-01-05T00:00:00"/>
    <x v="0"/>
    <n v="0"/>
    <n v="1"/>
    <n v="9"/>
    <b v="0"/>
    <n v="3"/>
    <n v="1"/>
    <x v="1"/>
    <x v="13"/>
    <n v="0.37"/>
    <x v="9"/>
    <n v="6"/>
    <n v="109"/>
    <n v="115"/>
    <x v="1"/>
    <x v="0"/>
    <s v="Morning"/>
    <s v="January"/>
    <s v="Spring"/>
    <n v="0.22929155386993369"/>
    <n v="-0.25435329828790432"/>
    <n v="0.10399668008577614"/>
    <n v="0.36604748519325236"/>
  </r>
  <r>
    <n v="102"/>
    <d v="2011-01-05T00:00:00"/>
    <x v="0"/>
    <n v="0"/>
    <n v="1"/>
    <n v="10"/>
    <b v="0"/>
    <n v="3"/>
    <n v="1"/>
    <x v="1"/>
    <x v="13"/>
    <n v="0.37"/>
    <x v="9"/>
    <n v="4"/>
    <n v="53"/>
    <n v="57"/>
    <x v="1"/>
    <x v="0"/>
    <s v="Morning"/>
    <s v="January"/>
    <s v="Spring"/>
    <n v="0.22929155386993369"/>
    <n v="-0.25435329828790432"/>
    <n v="0.10399668008577614"/>
    <n v="0.36604748519325236"/>
  </r>
  <r>
    <n v="103"/>
    <d v="2011-01-05T00:00:00"/>
    <x v="0"/>
    <n v="0"/>
    <n v="1"/>
    <n v="11"/>
    <b v="0"/>
    <n v="3"/>
    <n v="1"/>
    <x v="12"/>
    <x v="11"/>
    <n v="0.33"/>
    <x v="9"/>
    <n v="12"/>
    <n v="34"/>
    <n v="46"/>
    <x v="1"/>
    <x v="0"/>
    <s v="Morning"/>
    <s v="January"/>
    <s v="Spring"/>
    <n v="0.22929155386993369"/>
    <n v="-0.25435329828790432"/>
    <n v="0.10399668008577614"/>
    <n v="0.36604748519325236"/>
  </r>
  <r>
    <n v="104"/>
    <d v="2011-01-05T00:00:00"/>
    <x v="0"/>
    <n v="0"/>
    <n v="1"/>
    <n v="12"/>
    <b v="0"/>
    <n v="3"/>
    <n v="1"/>
    <x v="12"/>
    <x v="11"/>
    <n v="0.33"/>
    <x v="9"/>
    <n v="5"/>
    <n v="74"/>
    <n v="79"/>
    <x v="1"/>
    <x v="0"/>
    <s v="Afternoon"/>
    <s v="January"/>
    <s v="Spring"/>
    <n v="0.22929155386993369"/>
    <n v="-0.25435329828790432"/>
    <n v="0.10399668008577614"/>
    <n v="0.36604748519325236"/>
  </r>
  <r>
    <n v="105"/>
    <d v="2011-01-05T00:00:00"/>
    <x v="0"/>
    <n v="0"/>
    <n v="1"/>
    <n v="13"/>
    <b v="0"/>
    <n v="3"/>
    <n v="1"/>
    <x v="17"/>
    <x v="2"/>
    <n v="0.3"/>
    <x v="4"/>
    <n v="6"/>
    <n v="65"/>
    <n v="71"/>
    <x v="1"/>
    <x v="0"/>
    <s v="Afternoon"/>
    <s v="January"/>
    <s v="Spring"/>
    <n v="0.22929155386993369"/>
    <n v="-0.25435329828790432"/>
    <n v="0.10399668008577614"/>
    <n v="0.36604748519325236"/>
  </r>
  <r>
    <n v="106"/>
    <d v="2011-01-05T00:00:00"/>
    <x v="0"/>
    <n v="0"/>
    <n v="1"/>
    <n v="14"/>
    <b v="0"/>
    <n v="3"/>
    <n v="1"/>
    <x v="11"/>
    <x v="0"/>
    <n v="0.28000000000000003"/>
    <x v="5"/>
    <n v="10"/>
    <n v="52"/>
    <n v="62"/>
    <x v="1"/>
    <x v="0"/>
    <s v="Afternoon"/>
    <s v="January"/>
    <s v="Spring"/>
    <n v="0.22929155386993369"/>
    <n v="-0.25435329828790432"/>
    <n v="0.10399668008577614"/>
    <n v="0.36604748519325236"/>
  </r>
  <r>
    <n v="107"/>
    <d v="2011-01-05T00:00:00"/>
    <x v="0"/>
    <n v="0"/>
    <n v="1"/>
    <n v="15"/>
    <b v="0"/>
    <n v="3"/>
    <n v="1"/>
    <x v="11"/>
    <x v="0"/>
    <n v="0.28000000000000003"/>
    <x v="5"/>
    <n v="7"/>
    <n v="55"/>
    <n v="62"/>
    <x v="1"/>
    <x v="0"/>
    <s v="Afternoon"/>
    <s v="January"/>
    <s v="Spring"/>
    <n v="0.22929155386993369"/>
    <n v="-0.25435329828790432"/>
    <n v="0.10399668008577614"/>
    <n v="0.36604748519325236"/>
  </r>
  <r>
    <n v="108"/>
    <d v="2011-01-05T00:00:00"/>
    <x v="0"/>
    <n v="0"/>
    <n v="1"/>
    <n v="16"/>
    <b v="0"/>
    <n v="3"/>
    <n v="1"/>
    <x v="11"/>
    <x v="21"/>
    <n v="0.28000000000000003"/>
    <x v="1"/>
    <n v="4"/>
    <n v="85"/>
    <n v="89"/>
    <x v="1"/>
    <x v="0"/>
    <s v="Afternoon"/>
    <s v="January"/>
    <s v="Spring"/>
    <n v="0.22929155386993369"/>
    <n v="-0.25435329828790432"/>
    <n v="0.10399668008577614"/>
    <n v="0.36604748519325236"/>
  </r>
  <r>
    <n v="109"/>
    <d v="2011-01-05T00:00:00"/>
    <x v="0"/>
    <n v="0"/>
    <n v="1"/>
    <n v="17"/>
    <b v="0"/>
    <n v="3"/>
    <n v="1"/>
    <x v="0"/>
    <x v="11"/>
    <n v="0.38"/>
    <x v="5"/>
    <n v="4"/>
    <n v="186"/>
    <n v="190"/>
    <x v="1"/>
    <x v="0"/>
    <s v="Evening"/>
    <s v="January"/>
    <s v="Spring"/>
    <n v="0.22929155386993369"/>
    <n v="-0.25435329828790432"/>
    <n v="0.10399668008577614"/>
    <n v="0.36604748519325236"/>
  </r>
  <r>
    <n v="110"/>
    <d v="2011-01-05T00:00:00"/>
    <x v="0"/>
    <n v="0"/>
    <n v="1"/>
    <n v="18"/>
    <b v="0"/>
    <n v="3"/>
    <n v="1"/>
    <x v="0"/>
    <x v="19"/>
    <n v="0.38"/>
    <x v="7"/>
    <n v="3"/>
    <n v="166"/>
    <n v="169"/>
    <x v="1"/>
    <x v="0"/>
    <s v="Evening"/>
    <s v="January"/>
    <s v="Spring"/>
    <n v="0.22929155386993369"/>
    <n v="-0.25435329828790432"/>
    <n v="0.10399668008577614"/>
    <n v="0.36604748519325236"/>
  </r>
  <r>
    <n v="111"/>
    <d v="2011-01-05T00:00:00"/>
    <x v="0"/>
    <n v="0"/>
    <n v="1"/>
    <n v="19"/>
    <b v="0"/>
    <n v="3"/>
    <n v="1"/>
    <x v="0"/>
    <x v="2"/>
    <n v="0.38"/>
    <x v="14"/>
    <n v="5"/>
    <n v="127"/>
    <n v="132"/>
    <x v="1"/>
    <x v="0"/>
    <s v="Evening"/>
    <s v="January"/>
    <s v="Spring"/>
    <n v="0.22929155386993369"/>
    <n v="-0.25435329828790432"/>
    <n v="0.10399668008577614"/>
    <n v="0.36604748519325236"/>
  </r>
  <r>
    <n v="112"/>
    <d v="2011-01-05T00:00:00"/>
    <x v="0"/>
    <n v="0"/>
    <n v="1"/>
    <n v="20"/>
    <b v="0"/>
    <n v="3"/>
    <n v="1"/>
    <x v="1"/>
    <x v="11"/>
    <n v="0.47"/>
    <x v="8"/>
    <n v="7"/>
    <n v="82"/>
    <n v="89"/>
    <x v="1"/>
    <x v="0"/>
    <s v="Evening"/>
    <s v="January"/>
    <s v="Spring"/>
    <n v="0.22929155386993369"/>
    <n v="-0.25435329828790432"/>
    <n v="0.10399668008577614"/>
    <n v="0.36604748519325236"/>
  </r>
  <r>
    <n v="113"/>
    <d v="2011-01-05T00:00:00"/>
    <x v="0"/>
    <n v="0"/>
    <n v="1"/>
    <n v="21"/>
    <b v="0"/>
    <n v="3"/>
    <n v="1"/>
    <x v="2"/>
    <x v="13"/>
    <n v="0.51"/>
    <x v="5"/>
    <n v="3"/>
    <n v="40"/>
    <n v="43"/>
    <x v="1"/>
    <x v="0"/>
    <s v="Night"/>
    <s v="January"/>
    <s v="Spring"/>
    <n v="0.22929155386993369"/>
    <n v="-0.25435329828790432"/>
    <n v="0.10399668008577614"/>
    <n v="0.36604748519325236"/>
  </r>
  <r>
    <n v="114"/>
    <d v="2011-01-05T00:00:00"/>
    <x v="0"/>
    <n v="0"/>
    <n v="1"/>
    <n v="22"/>
    <b v="0"/>
    <n v="3"/>
    <n v="1"/>
    <x v="15"/>
    <x v="13"/>
    <n v="0.55000000000000004"/>
    <x v="7"/>
    <n v="1"/>
    <n v="41"/>
    <n v="42"/>
    <x v="1"/>
    <x v="0"/>
    <s v="Night"/>
    <s v="January"/>
    <s v="Spring"/>
    <n v="0.22929155386993369"/>
    <n v="-0.25435329828790432"/>
    <n v="0.10399668008577614"/>
    <n v="0.36604748519325236"/>
  </r>
  <r>
    <n v="115"/>
    <d v="2011-01-05T00:00:00"/>
    <x v="0"/>
    <n v="0"/>
    <n v="1"/>
    <n v="23"/>
    <b v="0"/>
    <n v="3"/>
    <n v="1"/>
    <x v="2"/>
    <x v="2"/>
    <n v="0.47"/>
    <x v="0"/>
    <n v="1"/>
    <n v="18"/>
    <n v="19"/>
    <x v="1"/>
    <x v="0"/>
    <s v="Night"/>
    <s v="January"/>
    <s v="Spring"/>
    <n v="0.22929155386993369"/>
    <n v="-0.25435329828790432"/>
    <n v="0.10399668008577614"/>
    <n v="0.36604748519325236"/>
  </r>
  <r>
    <n v="116"/>
    <d v="2011-01-06T00:00:00"/>
    <x v="0"/>
    <n v="0"/>
    <n v="1"/>
    <n v="0"/>
    <b v="0"/>
    <n v="4"/>
    <n v="1"/>
    <x v="15"/>
    <x v="19"/>
    <n v="0.55000000000000004"/>
    <x v="0"/>
    <n v="0"/>
    <n v="11"/>
    <n v="11"/>
    <x v="1"/>
    <x v="0"/>
    <s v="Night"/>
    <s v="January"/>
    <s v="Spring"/>
    <n v="0.22929155386993369"/>
    <n v="-0.25435329828790432"/>
    <n v="0.10399668008577614"/>
    <n v="0.36604748519325236"/>
  </r>
  <r>
    <n v="117"/>
    <d v="2011-01-06T00:00:00"/>
    <x v="0"/>
    <n v="0"/>
    <n v="1"/>
    <n v="1"/>
    <b v="0"/>
    <n v="4"/>
    <n v="1"/>
    <x v="13"/>
    <x v="11"/>
    <n v="0.64"/>
    <x v="0"/>
    <n v="0"/>
    <n v="4"/>
    <n v="4"/>
    <x v="1"/>
    <x v="0"/>
    <s v="Night"/>
    <s v="January"/>
    <s v="Spring"/>
    <n v="0.22929155386993369"/>
    <n v="-0.25435329828790432"/>
    <n v="0.10399668008577614"/>
    <n v="0.36604748519325236"/>
  </r>
  <r>
    <n v="118"/>
    <d v="2011-01-06T00:00:00"/>
    <x v="0"/>
    <n v="0"/>
    <n v="1"/>
    <n v="2"/>
    <b v="0"/>
    <n v="4"/>
    <n v="1"/>
    <x v="13"/>
    <x v="11"/>
    <n v="0.64"/>
    <x v="0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119"/>
    <d v="2011-01-06T00:00:00"/>
    <x v="0"/>
    <n v="0"/>
    <n v="1"/>
    <n v="4"/>
    <b v="0"/>
    <n v="4"/>
    <n v="2"/>
    <x v="13"/>
    <x v="13"/>
    <n v="0.64"/>
    <x v="1"/>
    <n v="0"/>
    <n v="1"/>
    <n v="1"/>
    <x v="1"/>
    <x v="1"/>
    <s v="Night"/>
    <s v="January"/>
    <s v="Spring"/>
    <n v="0.22929155386993369"/>
    <n v="-0.25435329828790432"/>
    <n v="0.10399668008577614"/>
    <n v="0.36604748519325236"/>
  </r>
  <r>
    <n v="120"/>
    <d v="2011-01-06T00:00:00"/>
    <x v="0"/>
    <n v="0"/>
    <n v="1"/>
    <n v="5"/>
    <b v="0"/>
    <n v="4"/>
    <n v="2"/>
    <x v="14"/>
    <x v="18"/>
    <n v="0.69"/>
    <x v="1"/>
    <n v="0"/>
    <n v="4"/>
    <n v="4"/>
    <x v="1"/>
    <x v="1"/>
    <s v="Night"/>
    <s v="January"/>
    <s v="Spring"/>
    <n v="0.22929155386993369"/>
    <n v="-0.25435329828790432"/>
    <n v="0.10399668008577614"/>
    <n v="0.36604748519325236"/>
  </r>
  <r>
    <n v="121"/>
    <d v="2011-01-06T00:00:00"/>
    <x v="0"/>
    <n v="0"/>
    <n v="1"/>
    <n v="6"/>
    <b v="0"/>
    <n v="4"/>
    <n v="2"/>
    <x v="14"/>
    <x v="17"/>
    <n v="0.63"/>
    <x v="14"/>
    <n v="0"/>
    <n v="36"/>
    <n v="36"/>
    <x v="1"/>
    <x v="1"/>
    <s v="Morning"/>
    <s v="January"/>
    <s v="Spring"/>
    <n v="0.22929155386993369"/>
    <n v="-0.25435329828790432"/>
    <n v="0.10399668008577614"/>
    <n v="0.36604748519325236"/>
  </r>
  <r>
    <n v="122"/>
    <d v="2011-01-06T00:00:00"/>
    <x v="0"/>
    <n v="0"/>
    <n v="1"/>
    <n v="7"/>
    <b v="0"/>
    <n v="4"/>
    <n v="2"/>
    <x v="13"/>
    <x v="11"/>
    <n v="0.59"/>
    <x v="0"/>
    <n v="0"/>
    <n v="95"/>
    <n v="95"/>
    <x v="1"/>
    <x v="1"/>
    <s v="Morning"/>
    <s v="January"/>
    <s v="Spring"/>
    <n v="0.22929155386993369"/>
    <n v="-0.25435329828790432"/>
    <n v="0.10399668008577614"/>
    <n v="0.36604748519325236"/>
  </r>
  <r>
    <n v="123"/>
    <d v="2011-01-06T00:00:00"/>
    <x v="0"/>
    <n v="0"/>
    <n v="1"/>
    <n v="8"/>
    <b v="0"/>
    <n v="4"/>
    <n v="1"/>
    <x v="13"/>
    <x v="11"/>
    <n v="0.59"/>
    <x v="0"/>
    <n v="3"/>
    <n v="216"/>
    <n v="219"/>
    <x v="1"/>
    <x v="0"/>
    <s v="Morning"/>
    <s v="January"/>
    <s v="Spring"/>
    <n v="0.22929155386993369"/>
    <n v="-0.25435329828790432"/>
    <n v="0.10399668008577614"/>
    <n v="0.36604748519325236"/>
  </r>
  <r>
    <n v="124"/>
    <d v="2011-01-06T00:00:00"/>
    <x v="0"/>
    <n v="0"/>
    <n v="1"/>
    <n v="9"/>
    <b v="0"/>
    <n v="4"/>
    <n v="2"/>
    <x v="15"/>
    <x v="19"/>
    <n v="0.51"/>
    <x v="0"/>
    <n v="6"/>
    <n v="116"/>
    <n v="122"/>
    <x v="1"/>
    <x v="1"/>
    <s v="Morning"/>
    <s v="January"/>
    <s v="Spring"/>
    <n v="0.22929155386993369"/>
    <n v="-0.25435329828790432"/>
    <n v="0.10399668008577614"/>
    <n v="0.36604748519325236"/>
  </r>
  <r>
    <n v="125"/>
    <d v="2011-01-06T00:00:00"/>
    <x v="0"/>
    <n v="0"/>
    <n v="1"/>
    <n v="10"/>
    <b v="0"/>
    <n v="4"/>
    <n v="1"/>
    <x v="2"/>
    <x v="2"/>
    <n v="0.47"/>
    <x v="0"/>
    <n v="3"/>
    <n v="42"/>
    <n v="45"/>
    <x v="1"/>
    <x v="0"/>
    <s v="Morning"/>
    <s v="January"/>
    <s v="Spring"/>
    <n v="0.22929155386993369"/>
    <n v="-0.25435329828790432"/>
    <n v="0.10399668008577614"/>
    <n v="0.36604748519325236"/>
  </r>
  <r>
    <n v="126"/>
    <d v="2011-01-06T00:00:00"/>
    <x v="0"/>
    <n v="0"/>
    <n v="1"/>
    <n v="11"/>
    <b v="0"/>
    <n v="4"/>
    <n v="1"/>
    <x v="1"/>
    <x v="2"/>
    <n v="0.44"/>
    <x v="1"/>
    <n v="2"/>
    <n v="57"/>
    <n v="59"/>
    <x v="1"/>
    <x v="0"/>
    <s v="Morning"/>
    <s v="January"/>
    <s v="Spring"/>
    <n v="0.22929155386993369"/>
    <n v="-0.25435329828790432"/>
    <n v="0.10399668008577614"/>
    <n v="0.36604748519325236"/>
  </r>
  <r>
    <n v="127"/>
    <d v="2011-01-06T00:00:00"/>
    <x v="0"/>
    <n v="0"/>
    <n v="1"/>
    <n v="12"/>
    <b v="0"/>
    <n v="4"/>
    <n v="1"/>
    <x v="12"/>
    <x v="0"/>
    <n v="0.35"/>
    <x v="0"/>
    <n v="6"/>
    <n v="78"/>
    <n v="84"/>
    <x v="1"/>
    <x v="0"/>
    <s v="Afternoon"/>
    <s v="January"/>
    <s v="Spring"/>
    <n v="0.22929155386993369"/>
    <n v="-0.25435329828790432"/>
    <n v="0.10399668008577614"/>
    <n v="0.36604748519325236"/>
  </r>
  <r>
    <n v="128"/>
    <d v="2011-01-06T00:00:00"/>
    <x v="0"/>
    <n v="0"/>
    <n v="1"/>
    <n v="13"/>
    <b v="0"/>
    <n v="4"/>
    <n v="1"/>
    <x v="12"/>
    <x v="1"/>
    <n v="0.35"/>
    <x v="14"/>
    <n v="12"/>
    <n v="55"/>
    <n v="67"/>
    <x v="1"/>
    <x v="0"/>
    <s v="Afternoon"/>
    <s v="January"/>
    <s v="Spring"/>
    <n v="0.22929155386993369"/>
    <n v="-0.25435329828790432"/>
    <n v="0.10399668008577614"/>
    <n v="0.36604748519325236"/>
  </r>
  <r>
    <n v="129"/>
    <d v="2011-01-06T00:00:00"/>
    <x v="0"/>
    <n v="0"/>
    <n v="1"/>
    <n v="14"/>
    <b v="0"/>
    <n v="4"/>
    <n v="1"/>
    <x v="17"/>
    <x v="1"/>
    <n v="0.36"/>
    <x v="8"/>
    <n v="11"/>
    <n v="59"/>
    <n v="70"/>
    <x v="1"/>
    <x v="0"/>
    <s v="Afternoon"/>
    <s v="January"/>
    <s v="Spring"/>
    <n v="0.22929155386993369"/>
    <n v="-0.25435329828790432"/>
    <n v="0.10399668008577614"/>
    <n v="0.36604748519325236"/>
  </r>
  <r>
    <n v="130"/>
    <d v="2011-01-06T00:00:00"/>
    <x v="0"/>
    <n v="0"/>
    <n v="1"/>
    <n v="15"/>
    <b v="0"/>
    <n v="4"/>
    <n v="1"/>
    <x v="17"/>
    <x v="1"/>
    <n v="0.36"/>
    <x v="0"/>
    <n v="8"/>
    <n v="54"/>
    <n v="62"/>
    <x v="1"/>
    <x v="0"/>
    <s v="Afternoon"/>
    <s v="January"/>
    <s v="Spring"/>
    <n v="0.22929155386993369"/>
    <n v="-0.25435329828790432"/>
    <n v="0.10399668008577614"/>
    <n v="0.36604748519325236"/>
  </r>
  <r>
    <n v="131"/>
    <d v="2011-01-06T00:00:00"/>
    <x v="0"/>
    <n v="0"/>
    <n v="1"/>
    <n v="16"/>
    <b v="0"/>
    <n v="4"/>
    <n v="1"/>
    <x v="12"/>
    <x v="2"/>
    <n v="0.38"/>
    <x v="8"/>
    <n v="12"/>
    <n v="74"/>
    <n v="86"/>
    <x v="1"/>
    <x v="0"/>
    <s v="Afternoon"/>
    <s v="January"/>
    <s v="Spring"/>
    <n v="0.22929155386993369"/>
    <n v="-0.25435329828790432"/>
    <n v="0.10399668008577614"/>
    <n v="0.36604748519325236"/>
  </r>
  <r>
    <n v="132"/>
    <d v="2011-01-06T00:00:00"/>
    <x v="0"/>
    <n v="0"/>
    <n v="1"/>
    <n v="17"/>
    <b v="0"/>
    <n v="4"/>
    <n v="1"/>
    <x v="1"/>
    <x v="11"/>
    <n v="0.51"/>
    <x v="8"/>
    <n v="9"/>
    <n v="163"/>
    <n v="172"/>
    <x v="1"/>
    <x v="0"/>
    <s v="Evening"/>
    <s v="January"/>
    <s v="Spring"/>
    <n v="0.22929155386993369"/>
    <n v="-0.25435329828790432"/>
    <n v="0.10399668008577614"/>
    <n v="0.36604748519325236"/>
  </r>
  <r>
    <n v="133"/>
    <d v="2011-01-06T00:00:00"/>
    <x v="0"/>
    <n v="0"/>
    <n v="1"/>
    <n v="18"/>
    <b v="0"/>
    <n v="4"/>
    <n v="1"/>
    <x v="1"/>
    <x v="11"/>
    <n v="0.51"/>
    <x v="7"/>
    <n v="5"/>
    <n v="158"/>
    <n v="163"/>
    <x v="1"/>
    <x v="0"/>
    <s v="Evening"/>
    <s v="January"/>
    <s v="Spring"/>
    <n v="0.22929155386993369"/>
    <n v="-0.25435329828790432"/>
    <n v="0.10399668008577614"/>
    <n v="0.36604748519325236"/>
  </r>
  <r>
    <n v="134"/>
    <d v="2011-01-06T00:00:00"/>
    <x v="0"/>
    <n v="0"/>
    <n v="1"/>
    <n v="19"/>
    <b v="0"/>
    <n v="4"/>
    <n v="1"/>
    <x v="1"/>
    <x v="2"/>
    <n v="0.55000000000000004"/>
    <x v="1"/>
    <n v="3"/>
    <n v="109"/>
    <n v="112"/>
    <x v="1"/>
    <x v="0"/>
    <s v="Evening"/>
    <s v="January"/>
    <s v="Spring"/>
    <n v="0.22929155386993369"/>
    <n v="-0.25435329828790432"/>
    <n v="0.10399668008577614"/>
    <n v="0.36604748519325236"/>
  </r>
  <r>
    <n v="135"/>
    <d v="2011-01-06T00:00:00"/>
    <x v="0"/>
    <n v="0"/>
    <n v="1"/>
    <n v="20"/>
    <b v="0"/>
    <n v="4"/>
    <n v="1"/>
    <x v="2"/>
    <x v="12"/>
    <n v="0.51"/>
    <x v="8"/>
    <n v="3"/>
    <n v="66"/>
    <n v="69"/>
    <x v="1"/>
    <x v="0"/>
    <s v="Evening"/>
    <s v="January"/>
    <s v="Spring"/>
    <n v="0.22929155386993369"/>
    <n v="-0.25435329828790432"/>
    <n v="0.10399668008577614"/>
    <n v="0.36604748519325236"/>
  </r>
  <r>
    <n v="136"/>
    <d v="2011-01-06T00:00:00"/>
    <x v="0"/>
    <n v="0"/>
    <n v="1"/>
    <n v="21"/>
    <b v="0"/>
    <n v="4"/>
    <n v="2"/>
    <x v="1"/>
    <x v="12"/>
    <n v="0.55000000000000004"/>
    <x v="6"/>
    <n v="0"/>
    <n v="48"/>
    <n v="48"/>
    <x v="1"/>
    <x v="1"/>
    <s v="Night"/>
    <s v="January"/>
    <s v="Spring"/>
    <n v="0.22929155386993369"/>
    <n v="-0.25435329828790432"/>
    <n v="0.10399668008577614"/>
    <n v="0.36604748519325236"/>
  </r>
  <r>
    <n v="137"/>
    <d v="2011-01-06T00:00:00"/>
    <x v="0"/>
    <n v="0"/>
    <n v="1"/>
    <n v="22"/>
    <b v="0"/>
    <n v="4"/>
    <n v="2"/>
    <x v="1"/>
    <x v="12"/>
    <n v="0.51"/>
    <x v="3"/>
    <n v="1"/>
    <n v="51"/>
    <n v="52"/>
    <x v="1"/>
    <x v="1"/>
    <s v="Night"/>
    <s v="January"/>
    <s v="Spring"/>
    <n v="0.22929155386993369"/>
    <n v="-0.25435329828790432"/>
    <n v="0.10399668008577614"/>
    <n v="0.36604748519325236"/>
  </r>
  <r>
    <n v="138"/>
    <d v="2011-01-06T00:00:00"/>
    <x v="0"/>
    <n v="0"/>
    <n v="1"/>
    <n v="23"/>
    <b v="0"/>
    <n v="4"/>
    <n v="2"/>
    <x v="2"/>
    <x v="13"/>
    <n v="0.59"/>
    <x v="5"/>
    <n v="4"/>
    <n v="19"/>
    <n v="23"/>
    <x v="1"/>
    <x v="1"/>
    <s v="Night"/>
    <s v="January"/>
    <s v="Spring"/>
    <n v="0.22929155386993369"/>
    <n v="-0.25435329828790432"/>
    <n v="0.10399668008577614"/>
    <n v="0.36604748519325236"/>
  </r>
  <r>
    <n v="139"/>
    <d v="2011-01-07T00:00:00"/>
    <x v="0"/>
    <n v="0"/>
    <n v="1"/>
    <n v="0"/>
    <b v="0"/>
    <n v="5"/>
    <n v="2"/>
    <x v="2"/>
    <x v="13"/>
    <n v="0.64"/>
    <x v="5"/>
    <n v="4"/>
    <n v="13"/>
    <n v="17"/>
    <x v="1"/>
    <x v="1"/>
    <s v="Night"/>
    <s v="January"/>
    <s v="Spring"/>
    <n v="0.22929155386993369"/>
    <n v="-0.25435329828790432"/>
    <n v="0.10399668008577614"/>
    <n v="0.36604748519325236"/>
  </r>
  <r>
    <n v="140"/>
    <d v="2011-01-07T00:00:00"/>
    <x v="0"/>
    <n v="0"/>
    <n v="1"/>
    <n v="1"/>
    <b v="0"/>
    <n v="5"/>
    <n v="2"/>
    <x v="2"/>
    <x v="13"/>
    <n v="0.69"/>
    <x v="6"/>
    <n v="2"/>
    <n v="5"/>
    <n v="7"/>
    <x v="1"/>
    <x v="1"/>
    <s v="Night"/>
    <s v="January"/>
    <s v="Spring"/>
    <n v="0.22929155386993369"/>
    <n v="-0.25435329828790432"/>
    <n v="0.10399668008577614"/>
    <n v="0.36604748519325236"/>
  </r>
  <r>
    <n v="141"/>
    <d v="2011-01-07T00:00:00"/>
    <x v="0"/>
    <n v="0"/>
    <n v="1"/>
    <n v="2"/>
    <b v="0"/>
    <n v="5"/>
    <n v="2"/>
    <x v="2"/>
    <x v="13"/>
    <n v="0.69"/>
    <x v="6"/>
    <n v="0"/>
    <n v="1"/>
    <n v="1"/>
    <x v="1"/>
    <x v="1"/>
    <s v="Night"/>
    <s v="January"/>
    <s v="Spring"/>
    <n v="0.22929155386993369"/>
    <n v="-0.25435329828790432"/>
    <n v="0.10399668008577614"/>
    <n v="0.36604748519325236"/>
  </r>
  <r>
    <n v="142"/>
    <d v="2011-01-07T00:00:00"/>
    <x v="0"/>
    <n v="0"/>
    <n v="1"/>
    <n v="4"/>
    <b v="0"/>
    <n v="5"/>
    <n v="2"/>
    <x v="2"/>
    <x v="12"/>
    <n v="0.69"/>
    <x v="7"/>
    <n v="0"/>
    <n v="1"/>
    <n v="1"/>
    <x v="1"/>
    <x v="1"/>
    <s v="Night"/>
    <s v="January"/>
    <s v="Spring"/>
    <n v="0.22929155386993369"/>
    <n v="-0.25435329828790432"/>
    <n v="0.10399668008577614"/>
    <n v="0.36604748519325236"/>
  </r>
  <r>
    <n v="143"/>
    <d v="2011-01-07T00:00:00"/>
    <x v="0"/>
    <n v="0"/>
    <n v="1"/>
    <n v="5"/>
    <b v="0"/>
    <n v="5"/>
    <n v="3"/>
    <x v="1"/>
    <x v="1"/>
    <n v="0.55000000000000004"/>
    <x v="0"/>
    <n v="0"/>
    <n v="5"/>
    <n v="5"/>
    <x v="1"/>
    <x v="2"/>
    <s v="Night"/>
    <s v="January"/>
    <s v="Spring"/>
    <n v="0.22929155386993369"/>
    <n v="-0.25435329828790432"/>
    <n v="0.10399668008577614"/>
    <n v="0.36604748519325236"/>
  </r>
  <r>
    <n v="144"/>
    <d v="2011-01-07T00:00:00"/>
    <x v="0"/>
    <n v="0"/>
    <n v="1"/>
    <n v="6"/>
    <b v="0"/>
    <n v="5"/>
    <n v="2"/>
    <x v="2"/>
    <x v="2"/>
    <n v="0.69"/>
    <x v="0"/>
    <n v="8"/>
    <n v="26"/>
    <n v="34"/>
    <x v="1"/>
    <x v="1"/>
    <s v="Morning"/>
    <s v="January"/>
    <s v="Spring"/>
    <n v="0.22929155386993369"/>
    <n v="-0.25435329828790432"/>
    <n v="0.10399668008577614"/>
    <n v="0.36604748519325236"/>
  </r>
  <r>
    <n v="145"/>
    <d v="2011-01-07T00:00:00"/>
    <x v="0"/>
    <n v="0"/>
    <n v="1"/>
    <n v="7"/>
    <b v="0"/>
    <n v="5"/>
    <n v="1"/>
    <x v="2"/>
    <x v="12"/>
    <n v="0.69"/>
    <x v="7"/>
    <n v="8"/>
    <n v="76"/>
    <n v="84"/>
    <x v="1"/>
    <x v="0"/>
    <s v="Morning"/>
    <s v="January"/>
    <s v="Spring"/>
    <n v="0.22929155386993369"/>
    <n v="-0.25435329828790432"/>
    <n v="0.10399668008577614"/>
    <n v="0.36604748519325236"/>
  </r>
  <r>
    <n v="146"/>
    <d v="2011-01-07T00:00:00"/>
    <x v="0"/>
    <n v="0"/>
    <n v="1"/>
    <n v="8"/>
    <b v="0"/>
    <n v="5"/>
    <n v="1"/>
    <x v="2"/>
    <x v="13"/>
    <n v="0.51"/>
    <x v="2"/>
    <n v="20"/>
    <n v="190"/>
    <n v="210"/>
    <x v="1"/>
    <x v="0"/>
    <s v="Morning"/>
    <s v="January"/>
    <s v="Spring"/>
    <n v="0.22929155386993369"/>
    <n v="-0.25435329828790432"/>
    <n v="0.10399668008577614"/>
    <n v="0.36604748519325236"/>
  </r>
  <r>
    <n v="147"/>
    <d v="2011-01-07T00:00:00"/>
    <x v="0"/>
    <n v="0"/>
    <n v="1"/>
    <n v="9"/>
    <b v="0"/>
    <n v="5"/>
    <n v="1"/>
    <x v="2"/>
    <x v="18"/>
    <n v="0.47"/>
    <x v="4"/>
    <n v="9"/>
    <n v="125"/>
    <n v="134"/>
    <x v="1"/>
    <x v="0"/>
    <s v="Morning"/>
    <s v="January"/>
    <s v="Spring"/>
    <n v="0.22929155386993369"/>
    <n v="-0.25435329828790432"/>
    <n v="0.10399668008577614"/>
    <n v="0.36604748519325236"/>
  </r>
  <r>
    <n v="148"/>
    <d v="2011-01-07T00:00:00"/>
    <x v="0"/>
    <n v="0"/>
    <n v="1"/>
    <n v="10"/>
    <b v="0"/>
    <n v="5"/>
    <n v="1"/>
    <x v="1"/>
    <x v="13"/>
    <n v="0.37"/>
    <x v="9"/>
    <n v="16"/>
    <n v="47"/>
    <n v="63"/>
    <x v="1"/>
    <x v="0"/>
    <s v="Morning"/>
    <s v="January"/>
    <s v="Spring"/>
    <n v="0.22929155386993369"/>
    <n v="-0.25435329828790432"/>
    <n v="0.10399668008577614"/>
    <n v="0.36604748519325236"/>
  </r>
  <r>
    <n v="149"/>
    <d v="2011-01-07T00:00:00"/>
    <x v="0"/>
    <n v="0"/>
    <n v="1"/>
    <n v="11"/>
    <b v="0"/>
    <n v="5"/>
    <n v="2"/>
    <x v="2"/>
    <x v="13"/>
    <n v="0.4"/>
    <x v="6"/>
    <n v="19"/>
    <n v="48"/>
    <n v="67"/>
    <x v="1"/>
    <x v="1"/>
    <s v="Morning"/>
    <s v="January"/>
    <s v="Spring"/>
    <n v="0.22929155386993369"/>
    <n v="-0.25435329828790432"/>
    <n v="0.10399668008577614"/>
    <n v="0.36604748519325236"/>
  </r>
  <r>
    <n v="150"/>
    <d v="2011-01-07T00:00:00"/>
    <x v="0"/>
    <n v="0"/>
    <n v="1"/>
    <n v="12"/>
    <b v="0"/>
    <n v="5"/>
    <n v="2"/>
    <x v="2"/>
    <x v="13"/>
    <n v="0.37"/>
    <x v="2"/>
    <n v="9"/>
    <n v="50"/>
    <n v="59"/>
    <x v="1"/>
    <x v="1"/>
    <s v="Afternoon"/>
    <s v="January"/>
    <s v="Spring"/>
    <n v="0.22929155386993369"/>
    <n v="-0.25435329828790432"/>
    <n v="0.10399668008577614"/>
    <n v="0.36604748519325236"/>
  </r>
  <r>
    <n v="151"/>
    <d v="2011-01-07T00:00:00"/>
    <x v="0"/>
    <n v="0"/>
    <n v="1"/>
    <n v="13"/>
    <b v="0"/>
    <n v="5"/>
    <n v="2"/>
    <x v="2"/>
    <x v="18"/>
    <n v="0.37"/>
    <x v="3"/>
    <n v="9"/>
    <n v="64"/>
    <n v="73"/>
    <x v="1"/>
    <x v="1"/>
    <s v="Afternoon"/>
    <s v="January"/>
    <s v="Spring"/>
    <n v="0.22929155386993369"/>
    <n v="-0.25435329828790432"/>
    <n v="0.10399668008577614"/>
    <n v="0.36604748519325236"/>
  </r>
  <r>
    <n v="152"/>
    <d v="2011-01-07T00:00:00"/>
    <x v="0"/>
    <n v="0"/>
    <n v="1"/>
    <n v="14"/>
    <b v="0"/>
    <n v="5"/>
    <n v="2"/>
    <x v="2"/>
    <x v="13"/>
    <n v="0.4"/>
    <x v="2"/>
    <n v="7"/>
    <n v="43"/>
    <n v="50"/>
    <x v="1"/>
    <x v="1"/>
    <s v="Afternoon"/>
    <s v="January"/>
    <s v="Spring"/>
    <n v="0.22929155386993369"/>
    <n v="-0.25435329828790432"/>
    <n v="0.10399668008577614"/>
    <n v="0.36604748519325236"/>
  </r>
  <r>
    <n v="153"/>
    <d v="2011-01-07T00:00:00"/>
    <x v="0"/>
    <n v="0"/>
    <n v="1"/>
    <n v="15"/>
    <b v="0"/>
    <n v="5"/>
    <n v="2"/>
    <x v="2"/>
    <x v="12"/>
    <n v="0.37"/>
    <x v="8"/>
    <n v="9"/>
    <n v="63"/>
    <n v="72"/>
    <x v="1"/>
    <x v="1"/>
    <s v="Afternoon"/>
    <s v="January"/>
    <s v="Spring"/>
    <n v="0.22929155386993369"/>
    <n v="-0.25435329828790432"/>
    <n v="0.10399668008577614"/>
    <n v="0.36604748519325236"/>
  </r>
  <r>
    <n v="154"/>
    <d v="2011-01-07T00:00:00"/>
    <x v="0"/>
    <n v="0"/>
    <n v="1"/>
    <n v="16"/>
    <b v="0"/>
    <n v="5"/>
    <n v="2"/>
    <x v="2"/>
    <x v="12"/>
    <n v="0.37"/>
    <x v="8"/>
    <n v="5"/>
    <n v="82"/>
    <n v="87"/>
    <x v="1"/>
    <x v="1"/>
    <s v="Afternoon"/>
    <s v="January"/>
    <s v="Spring"/>
    <n v="0.22929155386993369"/>
    <n v="-0.25435329828790432"/>
    <n v="0.10399668008577614"/>
    <n v="0.36604748519325236"/>
  </r>
  <r>
    <n v="155"/>
    <d v="2011-01-07T00:00:00"/>
    <x v="0"/>
    <n v="0"/>
    <n v="1"/>
    <n v="17"/>
    <b v="0"/>
    <n v="5"/>
    <n v="2"/>
    <x v="2"/>
    <x v="2"/>
    <n v="0.37"/>
    <x v="0"/>
    <n v="9"/>
    <n v="178"/>
    <n v="187"/>
    <x v="1"/>
    <x v="1"/>
    <s v="Evening"/>
    <s v="January"/>
    <s v="Spring"/>
    <n v="0.22929155386993369"/>
    <n v="-0.25435329828790432"/>
    <n v="0.10399668008577614"/>
    <n v="0.36604748519325236"/>
  </r>
  <r>
    <n v="156"/>
    <d v="2011-01-07T00:00:00"/>
    <x v="0"/>
    <n v="0"/>
    <n v="1"/>
    <n v="18"/>
    <b v="0"/>
    <n v="5"/>
    <n v="1"/>
    <x v="2"/>
    <x v="11"/>
    <n v="0.4"/>
    <x v="1"/>
    <n v="7"/>
    <n v="116"/>
    <n v="123"/>
    <x v="1"/>
    <x v="0"/>
    <s v="Evening"/>
    <s v="January"/>
    <s v="Spring"/>
    <n v="0.22929155386993369"/>
    <n v="-0.25435329828790432"/>
    <n v="0.10399668008577614"/>
    <n v="0.36604748519325236"/>
  </r>
  <r>
    <n v="157"/>
    <d v="2011-01-07T00:00:00"/>
    <x v="0"/>
    <n v="0"/>
    <n v="1"/>
    <n v="19"/>
    <b v="0"/>
    <n v="5"/>
    <n v="1"/>
    <x v="13"/>
    <x v="13"/>
    <n v="0.55000000000000004"/>
    <x v="1"/>
    <n v="3"/>
    <n v="92"/>
    <n v="95"/>
    <x v="1"/>
    <x v="0"/>
    <s v="Evening"/>
    <s v="January"/>
    <s v="Spring"/>
    <n v="0.22929155386993369"/>
    <n v="-0.25435329828790432"/>
    <n v="0.10399668008577614"/>
    <n v="0.36604748519325236"/>
  </r>
  <r>
    <n v="158"/>
    <d v="2011-01-07T00:00:00"/>
    <x v="0"/>
    <n v="0"/>
    <n v="1"/>
    <n v="20"/>
    <b v="0"/>
    <n v="5"/>
    <n v="1"/>
    <x v="15"/>
    <x v="12"/>
    <n v="0.47"/>
    <x v="14"/>
    <n v="1"/>
    <n v="50"/>
    <n v="51"/>
    <x v="1"/>
    <x v="0"/>
    <s v="Evening"/>
    <s v="January"/>
    <s v="Spring"/>
    <n v="0.22929155386993369"/>
    <n v="-0.25435329828790432"/>
    <n v="0.10399668008577614"/>
    <n v="0.36604748519325236"/>
  </r>
  <r>
    <n v="159"/>
    <d v="2011-01-07T00:00:00"/>
    <x v="0"/>
    <n v="0"/>
    <n v="1"/>
    <n v="21"/>
    <b v="0"/>
    <n v="5"/>
    <n v="1"/>
    <x v="15"/>
    <x v="13"/>
    <n v="0.47"/>
    <x v="7"/>
    <n v="0"/>
    <n v="39"/>
    <n v="39"/>
    <x v="1"/>
    <x v="0"/>
    <s v="Night"/>
    <s v="January"/>
    <s v="Spring"/>
    <n v="0.22929155386993369"/>
    <n v="-0.25435329828790432"/>
    <n v="0.10399668008577614"/>
    <n v="0.36604748519325236"/>
  </r>
  <r>
    <n v="160"/>
    <d v="2011-01-07T00:00:00"/>
    <x v="0"/>
    <n v="0"/>
    <n v="1"/>
    <n v="22"/>
    <b v="0"/>
    <n v="5"/>
    <n v="2"/>
    <x v="15"/>
    <x v="13"/>
    <n v="0.43"/>
    <x v="8"/>
    <n v="2"/>
    <n v="34"/>
    <n v="36"/>
    <x v="1"/>
    <x v="1"/>
    <s v="Night"/>
    <s v="January"/>
    <s v="Spring"/>
    <n v="0.22929155386993369"/>
    <n v="-0.25435329828790432"/>
    <n v="0.10399668008577614"/>
    <n v="0.36604748519325236"/>
  </r>
  <r>
    <n v="161"/>
    <d v="2011-01-07T00:00:00"/>
    <x v="0"/>
    <n v="0"/>
    <n v="1"/>
    <n v="23"/>
    <b v="0"/>
    <n v="5"/>
    <n v="2"/>
    <x v="15"/>
    <x v="13"/>
    <n v="0.51"/>
    <x v="8"/>
    <n v="1"/>
    <n v="14"/>
    <n v="15"/>
    <x v="1"/>
    <x v="1"/>
    <s v="Night"/>
    <s v="January"/>
    <s v="Spring"/>
    <n v="0.22929155386993369"/>
    <n v="-0.25435329828790432"/>
    <n v="0.10399668008577614"/>
    <n v="0.36604748519325236"/>
  </r>
  <r>
    <n v="162"/>
    <d v="2011-01-08T00:00:00"/>
    <x v="0"/>
    <n v="0"/>
    <n v="1"/>
    <n v="0"/>
    <b v="0"/>
    <n v="6"/>
    <n v="2"/>
    <x v="15"/>
    <x v="13"/>
    <n v="0.51"/>
    <x v="8"/>
    <n v="1"/>
    <n v="24"/>
    <n v="25"/>
    <x v="0"/>
    <x v="1"/>
    <s v="Night"/>
    <s v="January"/>
    <s v="Spring"/>
    <n v="0.22929155386993369"/>
    <n v="-0.25435329828790432"/>
    <n v="0.10399668008577614"/>
    <n v="0.36604748519325236"/>
  </r>
  <r>
    <n v="163"/>
    <d v="2011-01-08T00:00:00"/>
    <x v="0"/>
    <n v="0"/>
    <n v="1"/>
    <n v="1"/>
    <b v="0"/>
    <n v="6"/>
    <n v="2"/>
    <x v="15"/>
    <x v="12"/>
    <n v="0.55000000000000004"/>
    <x v="1"/>
    <n v="1"/>
    <n v="15"/>
    <n v="16"/>
    <x v="0"/>
    <x v="1"/>
    <s v="Night"/>
    <s v="January"/>
    <s v="Spring"/>
    <n v="0.22929155386993369"/>
    <n v="-0.25435329828790432"/>
    <n v="0.10399668008577614"/>
    <n v="0.36604748519325236"/>
  </r>
  <r>
    <n v="164"/>
    <d v="2011-01-08T00:00:00"/>
    <x v="0"/>
    <n v="0"/>
    <n v="1"/>
    <n v="2"/>
    <b v="0"/>
    <n v="6"/>
    <n v="2"/>
    <x v="15"/>
    <x v="19"/>
    <n v="0.55000000000000004"/>
    <x v="0"/>
    <n v="3"/>
    <n v="13"/>
    <n v="16"/>
    <x v="0"/>
    <x v="1"/>
    <s v="Night"/>
    <s v="January"/>
    <s v="Spring"/>
    <n v="0.22929155386993369"/>
    <n v="-0.25435329828790432"/>
    <n v="0.10399668008577614"/>
    <n v="0.36604748519325236"/>
  </r>
  <r>
    <n v="165"/>
    <d v="2011-01-08T00:00:00"/>
    <x v="0"/>
    <n v="0"/>
    <n v="1"/>
    <n v="3"/>
    <b v="0"/>
    <n v="6"/>
    <n v="3"/>
    <x v="15"/>
    <x v="13"/>
    <n v="0.55000000000000004"/>
    <x v="8"/>
    <n v="0"/>
    <n v="7"/>
    <n v="7"/>
    <x v="0"/>
    <x v="2"/>
    <s v="Night"/>
    <s v="January"/>
    <s v="Spring"/>
    <n v="0.22929155386993369"/>
    <n v="-0.25435329828790432"/>
    <n v="0.10399668008577614"/>
    <n v="0.36604748519325236"/>
  </r>
  <r>
    <n v="166"/>
    <d v="2011-01-08T00:00:00"/>
    <x v="0"/>
    <n v="0"/>
    <n v="1"/>
    <n v="4"/>
    <b v="0"/>
    <n v="6"/>
    <n v="3"/>
    <x v="15"/>
    <x v="13"/>
    <n v="0.55000000000000004"/>
    <x v="8"/>
    <n v="0"/>
    <n v="1"/>
    <n v="1"/>
    <x v="0"/>
    <x v="2"/>
    <s v="Night"/>
    <s v="January"/>
    <s v="Spring"/>
    <n v="0.22929155386993369"/>
    <n v="-0.25435329828790432"/>
    <n v="0.10399668008577614"/>
    <n v="0.36604748519325236"/>
  </r>
  <r>
    <n v="167"/>
    <d v="2011-01-08T00:00:00"/>
    <x v="0"/>
    <n v="0"/>
    <n v="1"/>
    <n v="5"/>
    <b v="0"/>
    <n v="6"/>
    <n v="2"/>
    <x v="13"/>
    <x v="17"/>
    <n v="0.74"/>
    <x v="8"/>
    <n v="0"/>
    <n v="5"/>
    <n v="5"/>
    <x v="0"/>
    <x v="1"/>
    <s v="Night"/>
    <s v="January"/>
    <s v="Spring"/>
    <n v="0.22929155386993369"/>
    <n v="-0.25435329828790432"/>
    <n v="0.10399668008577614"/>
    <n v="0.36604748519325236"/>
  </r>
  <r>
    <n v="168"/>
    <d v="2011-01-08T00:00:00"/>
    <x v="0"/>
    <n v="0"/>
    <n v="1"/>
    <n v="6"/>
    <b v="0"/>
    <n v="6"/>
    <n v="2"/>
    <x v="13"/>
    <x v="17"/>
    <n v="0.74"/>
    <x v="8"/>
    <n v="0"/>
    <n v="2"/>
    <n v="2"/>
    <x v="0"/>
    <x v="1"/>
    <s v="Morning"/>
    <s v="January"/>
    <s v="Spring"/>
    <n v="0.22929155386993369"/>
    <n v="-0.25435329828790432"/>
    <n v="0.10399668008577614"/>
    <n v="0.36604748519325236"/>
  </r>
  <r>
    <n v="169"/>
    <d v="2011-01-08T00:00:00"/>
    <x v="0"/>
    <n v="0"/>
    <n v="1"/>
    <n v="7"/>
    <b v="0"/>
    <n v="6"/>
    <n v="2"/>
    <x v="13"/>
    <x v="18"/>
    <n v="0.74"/>
    <x v="14"/>
    <n v="1"/>
    <n v="8"/>
    <n v="9"/>
    <x v="0"/>
    <x v="1"/>
    <s v="Morning"/>
    <s v="January"/>
    <s v="Spring"/>
    <n v="0.22929155386993369"/>
    <n v="-0.25435329828790432"/>
    <n v="0.10399668008577614"/>
    <n v="0.36604748519325236"/>
  </r>
  <r>
    <n v="170"/>
    <d v="2011-01-08T00:00:00"/>
    <x v="0"/>
    <n v="0"/>
    <n v="1"/>
    <n v="8"/>
    <b v="0"/>
    <n v="6"/>
    <n v="3"/>
    <x v="13"/>
    <x v="18"/>
    <n v="0.93"/>
    <x v="14"/>
    <n v="0"/>
    <n v="15"/>
    <n v="15"/>
    <x v="0"/>
    <x v="2"/>
    <s v="Morning"/>
    <s v="January"/>
    <s v="Spring"/>
    <n v="0.22929155386993369"/>
    <n v="-0.25435329828790432"/>
    <n v="0.10399668008577614"/>
    <n v="0.36604748519325236"/>
  </r>
  <r>
    <n v="171"/>
    <d v="2011-01-08T00:00:00"/>
    <x v="0"/>
    <n v="0"/>
    <n v="1"/>
    <n v="9"/>
    <b v="0"/>
    <n v="6"/>
    <n v="3"/>
    <x v="13"/>
    <x v="18"/>
    <n v="0.93"/>
    <x v="14"/>
    <n v="0"/>
    <n v="20"/>
    <n v="20"/>
    <x v="0"/>
    <x v="2"/>
    <s v="Morning"/>
    <s v="January"/>
    <s v="Spring"/>
    <n v="0.22929155386993369"/>
    <n v="-0.25435329828790432"/>
    <n v="0.10399668008577614"/>
    <n v="0.36604748519325236"/>
  </r>
  <r>
    <n v="172"/>
    <d v="2011-01-08T00:00:00"/>
    <x v="0"/>
    <n v="0"/>
    <n v="1"/>
    <n v="10"/>
    <b v="0"/>
    <n v="6"/>
    <n v="2"/>
    <x v="15"/>
    <x v="13"/>
    <n v="0.8"/>
    <x v="8"/>
    <n v="5"/>
    <n v="56"/>
    <n v="61"/>
    <x v="0"/>
    <x v="1"/>
    <s v="Morning"/>
    <s v="January"/>
    <s v="Spring"/>
    <n v="0.22929155386993369"/>
    <n v="-0.25435329828790432"/>
    <n v="0.10399668008577614"/>
    <n v="0.36604748519325236"/>
  </r>
  <r>
    <n v="173"/>
    <d v="2011-01-08T00:00:00"/>
    <x v="0"/>
    <n v="0"/>
    <n v="1"/>
    <n v="11"/>
    <b v="0"/>
    <n v="6"/>
    <n v="2"/>
    <x v="2"/>
    <x v="18"/>
    <n v="0.69"/>
    <x v="13"/>
    <n v="2"/>
    <n v="60"/>
    <n v="62"/>
    <x v="0"/>
    <x v="1"/>
    <s v="Morning"/>
    <s v="January"/>
    <s v="Spring"/>
    <n v="0.22929155386993369"/>
    <n v="-0.25435329828790432"/>
    <n v="0.10399668008577614"/>
    <n v="0.36604748519325236"/>
  </r>
  <r>
    <n v="174"/>
    <d v="2011-01-08T00:00:00"/>
    <x v="0"/>
    <n v="0"/>
    <n v="1"/>
    <n v="12"/>
    <b v="0"/>
    <n v="6"/>
    <n v="2"/>
    <x v="2"/>
    <x v="18"/>
    <n v="0.59"/>
    <x v="11"/>
    <n v="8"/>
    <n v="90"/>
    <n v="98"/>
    <x v="0"/>
    <x v="1"/>
    <s v="Afternoon"/>
    <s v="January"/>
    <s v="Spring"/>
    <n v="0.22929155386993369"/>
    <n v="-0.25435329828790432"/>
    <n v="0.10399668008577614"/>
    <n v="0.36604748519325236"/>
  </r>
  <r>
    <n v="175"/>
    <d v="2011-01-08T00:00:00"/>
    <x v="0"/>
    <n v="0"/>
    <n v="1"/>
    <n v="13"/>
    <b v="0"/>
    <n v="6"/>
    <n v="1"/>
    <x v="2"/>
    <x v="18"/>
    <n v="0.44"/>
    <x v="9"/>
    <n v="7"/>
    <n v="95"/>
    <n v="102"/>
    <x v="0"/>
    <x v="0"/>
    <s v="Afternoon"/>
    <s v="January"/>
    <s v="Spring"/>
    <n v="0.22929155386993369"/>
    <n v="-0.25435329828790432"/>
    <n v="0.10399668008577614"/>
    <n v="0.36604748519325236"/>
  </r>
  <r>
    <n v="176"/>
    <d v="2011-01-08T00:00:00"/>
    <x v="0"/>
    <n v="0"/>
    <n v="1"/>
    <n v="14"/>
    <b v="0"/>
    <n v="6"/>
    <n v="1"/>
    <x v="2"/>
    <x v="17"/>
    <n v="0.32"/>
    <x v="15"/>
    <n v="12"/>
    <n v="83"/>
    <n v="95"/>
    <x v="0"/>
    <x v="0"/>
    <s v="Afternoon"/>
    <s v="January"/>
    <s v="Spring"/>
    <n v="0.22929155386993369"/>
    <n v="-0.25435329828790432"/>
    <n v="0.10399668008577614"/>
    <n v="0.36604748519325236"/>
  </r>
  <r>
    <n v="177"/>
    <d v="2011-01-08T00:00:00"/>
    <x v="0"/>
    <n v="0"/>
    <n v="1"/>
    <n v="15"/>
    <b v="0"/>
    <n v="6"/>
    <n v="1"/>
    <x v="2"/>
    <x v="17"/>
    <n v="0.32"/>
    <x v="10"/>
    <n v="5"/>
    <n v="69"/>
    <n v="74"/>
    <x v="0"/>
    <x v="0"/>
    <s v="Afternoon"/>
    <s v="January"/>
    <s v="Spring"/>
    <n v="0.22929155386993369"/>
    <n v="-0.25435329828790432"/>
    <n v="0.10399668008577614"/>
    <n v="0.36604748519325236"/>
  </r>
  <r>
    <n v="178"/>
    <d v="2011-01-08T00:00:00"/>
    <x v="0"/>
    <n v="0"/>
    <n v="1"/>
    <n v="16"/>
    <b v="0"/>
    <n v="6"/>
    <n v="1"/>
    <x v="15"/>
    <x v="14"/>
    <n v="0.28999999999999998"/>
    <x v="10"/>
    <n v="8"/>
    <n v="68"/>
    <n v="76"/>
    <x v="0"/>
    <x v="0"/>
    <s v="Afternoon"/>
    <s v="January"/>
    <s v="Spring"/>
    <n v="0.22929155386993369"/>
    <n v="-0.25435329828790432"/>
    <n v="0.10399668008577614"/>
    <n v="0.36604748519325236"/>
  </r>
  <r>
    <n v="179"/>
    <d v="2011-01-08T00:00:00"/>
    <x v="0"/>
    <n v="0"/>
    <n v="1"/>
    <n v="17"/>
    <b v="0"/>
    <n v="6"/>
    <n v="1"/>
    <x v="13"/>
    <x v="16"/>
    <n v="0.37"/>
    <x v="16"/>
    <n v="5"/>
    <n v="64"/>
    <n v="69"/>
    <x v="0"/>
    <x v="0"/>
    <s v="Evening"/>
    <s v="January"/>
    <s v="Spring"/>
    <n v="0.22929155386993369"/>
    <n v="-0.25435329828790432"/>
    <n v="0.10399668008577614"/>
    <n v="0.36604748519325236"/>
  </r>
  <r>
    <n v="180"/>
    <d v="2011-01-08T00:00:00"/>
    <x v="0"/>
    <n v="0"/>
    <n v="1"/>
    <n v="18"/>
    <b v="0"/>
    <n v="6"/>
    <n v="1"/>
    <x v="14"/>
    <x v="16"/>
    <n v="0.39"/>
    <x v="4"/>
    <n v="3"/>
    <n v="52"/>
    <n v="55"/>
    <x v="0"/>
    <x v="0"/>
    <s v="Evening"/>
    <s v="January"/>
    <s v="Spring"/>
    <n v="0.22929155386993369"/>
    <n v="-0.25435329828790432"/>
    <n v="0.10399668008577614"/>
    <n v="0.36604748519325236"/>
  </r>
  <r>
    <n v="181"/>
    <d v="2011-01-08T00:00:00"/>
    <x v="0"/>
    <n v="0"/>
    <n v="1"/>
    <n v="19"/>
    <b v="0"/>
    <n v="6"/>
    <n v="1"/>
    <x v="14"/>
    <x v="16"/>
    <n v="0.36"/>
    <x v="2"/>
    <n v="4"/>
    <n v="26"/>
    <n v="30"/>
    <x v="0"/>
    <x v="0"/>
    <s v="Evening"/>
    <s v="January"/>
    <s v="Spring"/>
    <n v="0.22929155386993369"/>
    <n v="-0.25435329828790432"/>
    <n v="0.10399668008577614"/>
    <n v="0.36604748519325236"/>
  </r>
  <r>
    <n v="182"/>
    <d v="2011-01-08T00:00:00"/>
    <x v="0"/>
    <n v="0"/>
    <n v="1"/>
    <n v="20"/>
    <b v="0"/>
    <n v="6"/>
    <n v="1"/>
    <x v="16"/>
    <x v="16"/>
    <n v="0.36"/>
    <x v="2"/>
    <n v="0"/>
    <n v="28"/>
    <n v="28"/>
    <x v="0"/>
    <x v="0"/>
    <s v="Evening"/>
    <s v="January"/>
    <s v="Spring"/>
    <n v="0.22929155386993369"/>
    <n v="-0.25435329828790432"/>
    <n v="0.10399668008577614"/>
    <n v="0.36604748519325236"/>
  </r>
  <r>
    <n v="183"/>
    <d v="2011-01-08T00:00:00"/>
    <x v="0"/>
    <n v="0"/>
    <n v="1"/>
    <n v="21"/>
    <b v="0"/>
    <n v="6"/>
    <n v="1"/>
    <x v="16"/>
    <x v="15"/>
    <n v="0.39"/>
    <x v="11"/>
    <n v="2"/>
    <n v="35"/>
    <n v="37"/>
    <x v="0"/>
    <x v="0"/>
    <s v="Night"/>
    <s v="January"/>
    <s v="Spring"/>
    <n v="0.22929155386993369"/>
    <n v="-0.25435329828790432"/>
    <n v="0.10399668008577614"/>
    <n v="0.36604748519325236"/>
  </r>
  <r>
    <n v="184"/>
    <d v="2011-01-08T00:00:00"/>
    <x v="0"/>
    <n v="0"/>
    <n v="1"/>
    <n v="22"/>
    <b v="0"/>
    <n v="6"/>
    <n v="1"/>
    <x v="16"/>
    <x v="15"/>
    <n v="0.36"/>
    <x v="13"/>
    <n v="1"/>
    <n v="33"/>
    <n v="34"/>
    <x v="0"/>
    <x v="0"/>
    <s v="Night"/>
    <s v="January"/>
    <s v="Spring"/>
    <n v="0.22929155386993369"/>
    <n v="-0.25435329828790432"/>
    <n v="0.10399668008577614"/>
    <n v="0.36604748519325236"/>
  </r>
  <r>
    <n v="185"/>
    <d v="2011-01-08T00:00:00"/>
    <x v="0"/>
    <n v="0"/>
    <n v="1"/>
    <n v="23"/>
    <b v="0"/>
    <n v="6"/>
    <n v="1"/>
    <x v="18"/>
    <x v="22"/>
    <n v="0.39"/>
    <x v="10"/>
    <n v="0"/>
    <n v="22"/>
    <n v="22"/>
    <x v="0"/>
    <x v="0"/>
    <s v="Night"/>
    <s v="January"/>
    <s v="Spring"/>
    <n v="0.22929155386993369"/>
    <n v="-0.25435329828790432"/>
    <n v="0.10399668008577614"/>
    <n v="0.36604748519325236"/>
  </r>
  <r>
    <n v="186"/>
    <d v="2011-01-09T00:00:00"/>
    <x v="0"/>
    <n v="0"/>
    <n v="1"/>
    <n v="0"/>
    <b v="0"/>
    <n v="0"/>
    <n v="1"/>
    <x v="18"/>
    <x v="23"/>
    <n v="0.42"/>
    <x v="13"/>
    <n v="1"/>
    <n v="24"/>
    <n v="25"/>
    <x v="0"/>
    <x v="0"/>
    <s v="Night"/>
    <s v="January"/>
    <s v="Spring"/>
    <n v="0.22929155386993369"/>
    <n v="-0.25435329828790432"/>
    <n v="0.10399668008577614"/>
    <n v="0.36604748519325236"/>
  </r>
  <r>
    <n v="187"/>
    <d v="2011-01-09T00:00:00"/>
    <x v="0"/>
    <n v="0"/>
    <n v="1"/>
    <n v="1"/>
    <b v="0"/>
    <n v="0"/>
    <n v="1"/>
    <x v="18"/>
    <x v="22"/>
    <n v="0.42"/>
    <x v="17"/>
    <n v="0"/>
    <n v="12"/>
    <n v="12"/>
    <x v="0"/>
    <x v="0"/>
    <s v="Night"/>
    <s v="January"/>
    <s v="Spring"/>
    <n v="0.22929155386993369"/>
    <n v="-0.25435329828790432"/>
    <n v="0.10399668008577614"/>
    <n v="0.36604748519325236"/>
  </r>
  <r>
    <n v="188"/>
    <d v="2011-01-09T00:00:00"/>
    <x v="0"/>
    <n v="0"/>
    <n v="1"/>
    <n v="2"/>
    <b v="0"/>
    <n v="0"/>
    <n v="1"/>
    <x v="18"/>
    <x v="22"/>
    <n v="0.46"/>
    <x v="17"/>
    <n v="0"/>
    <n v="11"/>
    <n v="11"/>
    <x v="0"/>
    <x v="0"/>
    <s v="Night"/>
    <s v="January"/>
    <s v="Spring"/>
    <n v="0.22929155386993369"/>
    <n v="-0.25435329828790432"/>
    <n v="0.10399668008577614"/>
    <n v="0.36604748519325236"/>
  </r>
  <r>
    <n v="189"/>
    <d v="2011-01-09T00:00:00"/>
    <x v="0"/>
    <n v="0"/>
    <n v="1"/>
    <n v="3"/>
    <b v="0"/>
    <n v="0"/>
    <n v="1"/>
    <x v="18"/>
    <x v="23"/>
    <n v="0.46"/>
    <x v="12"/>
    <n v="0"/>
    <n v="4"/>
    <n v="4"/>
    <x v="0"/>
    <x v="0"/>
    <s v="Night"/>
    <s v="January"/>
    <s v="Spring"/>
    <n v="0.22929155386993369"/>
    <n v="-0.25435329828790432"/>
    <n v="0.10399668008577614"/>
    <n v="0.36604748519325236"/>
  </r>
  <r>
    <n v="190"/>
    <d v="2011-01-09T00:00:00"/>
    <x v="0"/>
    <n v="0"/>
    <n v="1"/>
    <n v="4"/>
    <b v="0"/>
    <n v="0"/>
    <n v="1"/>
    <x v="19"/>
    <x v="24"/>
    <n v="0.53"/>
    <x v="5"/>
    <n v="0"/>
    <n v="1"/>
    <n v="1"/>
    <x v="0"/>
    <x v="0"/>
    <s v="Night"/>
    <s v="January"/>
    <s v="Spring"/>
    <n v="0.22929155386993369"/>
    <n v="-0.25435329828790432"/>
    <n v="0.10399668008577614"/>
    <n v="0.36604748519325236"/>
  </r>
  <r>
    <n v="191"/>
    <d v="2011-01-09T00:00:00"/>
    <x v="0"/>
    <n v="0"/>
    <n v="1"/>
    <n v="5"/>
    <b v="0"/>
    <n v="0"/>
    <n v="1"/>
    <x v="19"/>
    <x v="24"/>
    <n v="0.53"/>
    <x v="5"/>
    <n v="0"/>
    <n v="1"/>
    <n v="1"/>
    <x v="0"/>
    <x v="0"/>
    <s v="Night"/>
    <s v="January"/>
    <s v="Spring"/>
    <n v="0.22929155386993369"/>
    <n v="-0.25435329828790432"/>
    <n v="0.10399668008577614"/>
    <n v="0.36604748519325236"/>
  </r>
  <r>
    <n v="192"/>
    <d v="2011-01-09T00:00:00"/>
    <x v="0"/>
    <n v="0"/>
    <n v="1"/>
    <n v="6"/>
    <b v="0"/>
    <n v="0"/>
    <n v="1"/>
    <x v="18"/>
    <x v="24"/>
    <n v="0.49"/>
    <x v="3"/>
    <n v="0"/>
    <n v="1"/>
    <n v="1"/>
    <x v="0"/>
    <x v="0"/>
    <s v="Morning"/>
    <s v="January"/>
    <s v="Spring"/>
    <n v="0.22929155386993369"/>
    <n v="-0.25435329828790432"/>
    <n v="0.10399668008577614"/>
    <n v="0.36604748519325236"/>
  </r>
  <r>
    <n v="193"/>
    <d v="2011-01-09T00:00:00"/>
    <x v="0"/>
    <n v="0"/>
    <n v="1"/>
    <n v="7"/>
    <b v="0"/>
    <n v="0"/>
    <n v="1"/>
    <x v="19"/>
    <x v="24"/>
    <n v="0.53"/>
    <x v="5"/>
    <n v="1"/>
    <n v="5"/>
    <n v="6"/>
    <x v="0"/>
    <x v="0"/>
    <s v="Morning"/>
    <s v="January"/>
    <s v="Spring"/>
    <n v="0.22929155386993369"/>
    <n v="-0.25435329828790432"/>
    <n v="0.10399668008577614"/>
    <n v="0.36604748519325236"/>
  </r>
  <r>
    <n v="194"/>
    <d v="2011-01-09T00:00:00"/>
    <x v="0"/>
    <n v="0"/>
    <n v="1"/>
    <n v="8"/>
    <b v="0"/>
    <n v="0"/>
    <n v="1"/>
    <x v="18"/>
    <x v="24"/>
    <n v="0.49"/>
    <x v="3"/>
    <n v="0"/>
    <n v="10"/>
    <n v="10"/>
    <x v="0"/>
    <x v="0"/>
    <s v="Morning"/>
    <s v="January"/>
    <s v="Spring"/>
    <n v="0.22929155386993369"/>
    <n v="-0.25435329828790432"/>
    <n v="0.10399668008577614"/>
    <n v="0.36604748519325236"/>
  </r>
  <r>
    <n v="195"/>
    <d v="2011-01-09T00:00:00"/>
    <x v="0"/>
    <n v="0"/>
    <n v="1"/>
    <n v="9"/>
    <b v="0"/>
    <n v="0"/>
    <n v="1"/>
    <x v="16"/>
    <x v="23"/>
    <n v="0.46"/>
    <x v="18"/>
    <n v="0"/>
    <n v="19"/>
    <n v="19"/>
    <x v="0"/>
    <x v="0"/>
    <s v="Morning"/>
    <s v="January"/>
    <s v="Spring"/>
    <n v="0.22929155386993369"/>
    <n v="-0.25435329828790432"/>
    <n v="0.10399668008577614"/>
    <n v="0.36604748519325236"/>
  </r>
  <r>
    <n v="196"/>
    <d v="2011-01-09T00:00:00"/>
    <x v="0"/>
    <n v="0"/>
    <n v="1"/>
    <n v="10"/>
    <b v="0"/>
    <n v="0"/>
    <n v="1"/>
    <x v="14"/>
    <x v="15"/>
    <n v="0.43"/>
    <x v="13"/>
    <n v="0"/>
    <n v="49"/>
    <n v="49"/>
    <x v="0"/>
    <x v="0"/>
    <s v="Morning"/>
    <s v="January"/>
    <s v="Spring"/>
    <n v="0.22929155386993369"/>
    <n v="-0.25435329828790432"/>
    <n v="0.10399668008577614"/>
    <n v="0.36604748519325236"/>
  </r>
  <r>
    <n v="197"/>
    <d v="2011-01-09T00:00:00"/>
    <x v="0"/>
    <n v="0"/>
    <n v="1"/>
    <n v="11"/>
    <b v="0"/>
    <n v="0"/>
    <n v="1"/>
    <x v="13"/>
    <x v="16"/>
    <n v="0.4"/>
    <x v="18"/>
    <n v="2"/>
    <n v="47"/>
    <n v="49"/>
    <x v="0"/>
    <x v="0"/>
    <s v="Morning"/>
    <s v="January"/>
    <s v="Spring"/>
    <n v="0.22929155386993369"/>
    <n v="-0.25435329828790432"/>
    <n v="0.10399668008577614"/>
    <n v="0.36604748519325236"/>
  </r>
  <r>
    <n v="198"/>
    <d v="2011-01-09T00:00:00"/>
    <x v="0"/>
    <n v="0"/>
    <n v="1"/>
    <n v="12"/>
    <b v="0"/>
    <n v="0"/>
    <n v="1"/>
    <x v="15"/>
    <x v="14"/>
    <n v="0.37"/>
    <x v="10"/>
    <n v="4"/>
    <n v="79"/>
    <n v="83"/>
    <x v="0"/>
    <x v="0"/>
    <s v="Afternoon"/>
    <s v="January"/>
    <s v="Spring"/>
    <n v="0.22929155386993369"/>
    <n v="-0.25435329828790432"/>
    <n v="0.10399668008577614"/>
    <n v="0.36604748519325236"/>
  </r>
  <r>
    <n v="199"/>
    <d v="2011-01-09T00:00:00"/>
    <x v="0"/>
    <n v="0"/>
    <n v="1"/>
    <n v="13"/>
    <b v="0"/>
    <n v="0"/>
    <n v="1"/>
    <x v="2"/>
    <x v="17"/>
    <n v="0.34"/>
    <x v="10"/>
    <n v="6"/>
    <n v="69"/>
    <n v="75"/>
    <x v="0"/>
    <x v="0"/>
    <s v="Afternoon"/>
    <s v="January"/>
    <s v="Spring"/>
    <n v="0.22929155386993369"/>
    <n v="-0.25435329828790432"/>
    <n v="0.10399668008577614"/>
    <n v="0.36604748519325236"/>
  </r>
  <r>
    <n v="200"/>
    <d v="2011-01-09T00:00:00"/>
    <x v="0"/>
    <n v="0"/>
    <n v="1"/>
    <n v="14"/>
    <b v="0"/>
    <n v="0"/>
    <n v="1"/>
    <x v="1"/>
    <x v="18"/>
    <n v="0.32"/>
    <x v="17"/>
    <n v="8"/>
    <n v="64"/>
    <n v="72"/>
    <x v="0"/>
    <x v="0"/>
    <s v="Afternoon"/>
    <s v="January"/>
    <s v="Spring"/>
    <n v="0.22929155386993369"/>
    <n v="-0.25435329828790432"/>
    <n v="0.10399668008577614"/>
    <n v="0.36604748519325236"/>
  </r>
  <r>
    <n v="201"/>
    <d v="2011-01-09T00:00:00"/>
    <x v="0"/>
    <n v="0"/>
    <n v="1"/>
    <n v="15"/>
    <b v="0"/>
    <n v="0"/>
    <n v="1"/>
    <x v="1"/>
    <x v="13"/>
    <n v="0.35"/>
    <x v="11"/>
    <n v="5"/>
    <n v="77"/>
    <n v="82"/>
    <x v="0"/>
    <x v="0"/>
    <s v="Afternoon"/>
    <s v="January"/>
    <s v="Spring"/>
    <n v="0.22929155386993369"/>
    <n v="-0.25435329828790432"/>
    <n v="0.10399668008577614"/>
    <n v="0.36604748519325236"/>
  </r>
  <r>
    <n v="202"/>
    <d v="2011-01-09T00:00:00"/>
    <x v="0"/>
    <n v="0"/>
    <n v="1"/>
    <n v="16"/>
    <b v="0"/>
    <n v="0"/>
    <n v="1"/>
    <x v="2"/>
    <x v="17"/>
    <n v="0.34"/>
    <x v="10"/>
    <n v="13"/>
    <n v="79"/>
    <n v="92"/>
    <x v="0"/>
    <x v="0"/>
    <s v="Afternoon"/>
    <s v="January"/>
    <s v="Spring"/>
    <n v="0.22929155386993369"/>
    <n v="-0.25435329828790432"/>
    <n v="0.10399668008577614"/>
    <n v="0.36604748519325236"/>
  </r>
  <r>
    <n v="203"/>
    <d v="2011-01-09T00:00:00"/>
    <x v="0"/>
    <n v="0"/>
    <n v="1"/>
    <n v="17"/>
    <b v="0"/>
    <n v="0"/>
    <n v="1"/>
    <x v="15"/>
    <x v="20"/>
    <n v="0.37"/>
    <x v="13"/>
    <n v="3"/>
    <n v="59"/>
    <n v="62"/>
    <x v="0"/>
    <x v="0"/>
    <s v="Evening"/>
    <s v="January"/>
    <s v="Spring"/>
    <n v="0.22929155386993369"/>
    <n v="-0.25435329828790432"/>
    <n v="0.10399668008577614"/>
    <n v="0.36604748519325236"/>
  </r>
  <r>
    <n v="204"/>
    <d v="2011-01-09T00:00:00"/>
    <x v="0"/>
    <n v="0"/>
    <n v="1"/>
    <n v="18"/>
    <b v="0"/>
    <n v="0"/>
    <n v="1"/>
    <x v="13"/>
    <x v="14"/>
    <n v="0.4"/>
    <x v="9"/>
    <n v="4"/>
    <n v="44"/>
    <n v="48"/>
    <x v="0"/>
    <x v="0"/>
    <s v="Evening"/>
    <s v="January"/>
    <s v="Spring"/>
    <n v="0.22929155386993369"/>
    <n v="-0.25435329828790432"/>
    <n v="0.10399668008577614"/>
    <n v="0.36604748519325236"/>
  </r>
  <r>
    <n v="205"/>
    <d v="2011-01-09T00:00:00"/>
    <x v="0"/>
    <n v="0"/>
    <n v="1"/>
    <n v="19"/>
    <b v="0"/>
    <n v="0"/>
    <n v="1"/>
    <x v="13"/>
    <x v="14"/>
    <n v="0.43"/>
    <x v="9"/>
    <n v="1"/>
    <n v="40"/>
    <n v="41"/>
    <x v="0"/>
    <x v="0"/>
    <s v="Evening"/>
    <s v="January"/>
    <s v="Spring"/>
    <n v="0.22929155386993369"/>
    <n v="-0.25435329828790432"/>
    <n v="0.10399668008577614"/>
    <n v="0.36604748519325236"/>
  </r>
  <r>
    <n v="206"/>
    <d v="2011-01-09T00:00:00"/>
    <x v="0"/>
    <n v="0"/>
    <n v="1"/>
    <n v="20"/>
    <b v="0"/>
    <n v="0"/>
    <n v="1"/>
    <x v="14"/>
    <x v="16"/>
    <n v="0.46"/>
    <x v="2"/>
    <n v="0"/>
    <n v="38"/>
    <n v="38"/>
    <x v="0"/>
    <x v="0"/>
    <s v="Evening"/>
    <s v="January"/>
    <s v="Spring"/>
    <n v="0.22929155386993369"/>
    <n v="-0.25435329828790432"/>
    <n v="0.10399668008577614"/>
    <n v="0.36604748519325236"/>
  </r>
  <r>
    <n v="207"/>
    <d v="2011-01-09T00:00:00"/>
    <x v="0"/>
    <n v="0"/>
    <n v="1"/>
    <n v="21"/>
    <b v="0"/>
    <n v="0"/>
    <n v="1"/>
    <x v="14"/>
    <x v="15"/>
    <n v="0.46"/>
    <x v="12"/>
    <n v="1"/>
    <n v="19"/>
    <n v="20"/>
    <x v="0"/>
    <x v="0"/>
    <s v="Night"/>
    <s v="January"/>
    <s v="Spring"/>
    <n v="0.22929155386993369"/>
    <n v="-0.25435329828790432"/>
    <n v="0.10399668008577614"/>
    <n v="0.36604748519325236"/>
  </r>
  <r>
    <n v="208"/>
    <d v="2011-01-09T00:00:00"/>
    <x v="0"/>
    <n v="0"/>
    <n v="1"/>
    <n v="22"/>
    <b v="0"/>
    <n v="0"/>
    <n v="1"/>
    <x v="14"/>
    <x v="16"/>
    <n v="0.46"/>
    <x v="4"/>
    <n v="5"/>
    <n v="10"/>
    <n v="15"/>
    <x v="0"/>
    <x v="0"/>
    <s v="Night"/>
    <s v="January"/>
    <s v="Spring"/>
    <n v="0.22929155386993369"/>
    <n v="-0.25435329828790432"/>
    <n v="0.10399668008577614"/>
    <n v="0.36604748519325236"/>
  </r>
  <r>
    <n v="209"/>
    <d v="2011-01-09T00:00:00"/>
    <x v="0"/>
    <n v="0"/>
    <n v="1"/>
    <n v="23"/>
    <b v="0"/>
    <n v="0"/>
    <n v="1"/>
    <x v="16"/>
    <x v="14"/>
    <n v="0.5"/>
    <x v="5"/>
    <n v="0"/>
    <n v="6"/>
    <n v="6"/>
    <x v="0"/>
    <x v="0"/>
    <s v="Night"/>
    <s v="January"/>
    <s v="Spring"/>
    <n v="0.22929155386993369"/>
    <n v="-0.25435329828790432"/>
    <n v="0.10399668008577614"/>
    <n v="0.36604748519325236"/>
  </r>
  <r>
    <n v="210"/>
    <d v="2011-01-10T00:00:00"/>
    <x v="0"/>
    <n v="0"/>
    <n v="1"/>
    <n v="0"/>
    <b v="0"/>
    <n v="1"/>
    <n v="1"/>
    <x v="16"/>
    <x v="16"/>
    <n v="0.5"/>
    <x v="3"/>
    <n v="2"/>
    <n v="3"/>
    <n v="5"/>
    <x v="1"/>
    <x v="0"/>
    <s v="Night"/>
    <s v="January"/>
    <s v="Spring"/>
    <n v="0.22929155386993369"/>
    <n v="-0.25435329828790432"/>
    <n v="0.10399668008577614"/>
    <n v="0.36604748519325236"/>
  </r>
  <r>
    <n v="211"/>
    <d v="2011-01-10T00:00:00"/>
    <x v="0"/>
    <n v="0"/>
    <n v="1"/>
    <n v="1"/>
    <b v="0"/>
    <n v="1"/>
    <n v="1"/>
    <x v="16"/>
    <x v="16"/>
    <n v="0.5"/>
    <x v="3"/>
    <n v="1"/>
    <n v="0"/>
    <n v="1"/>
    <x v="1"/>
    <x v="0"/>
    <s v="Night"/>
    <s v="January"/>
    <s v="Spring"/>
    <n v="0.22929155386993369"/>
    <n v="-0.25435329828790432"/>
    <n v="0.10399668008577614"/>
    <n v="0.36604748519325236"/>
  </r>
  <r>
    <n v="212"/>
    <d v="2011-01-10T00:00:00"/>
    <x v="0"/>
    <n v="0"/>
    <n v="1"/>
    <n v="2"/>
    <b v="0"/>
    <n v="1"/>
    <n v="1"/>
    <x v="16"/>
    <x v="16"/>
    <n v="0.5"/>
    <x v="6"/>
    <n v="0"/>
    <n v="3"/>
    <n v="3"/>
    <x v="1"/>
    <x v="0"/>
    <s v="Night"/>
    <s v="January"/>
    <s v="Spring"/>
    <n v="0.22929155386993369"/>
    <n v="-0.25435329828790432"/>
    <n v="0.10399668008577614"/>
    <n v="0.36604748519325236"/>
  </r>
  <r>
    <n v="213"/>
    <d v="2011-01-10T00:00:00"/>
    <x v="0"/>
    <n v="0"/>
    <n v="1"/>
    <n v="3"/>
    <b v="0"/>
    <n v="1"/>
    <n v="1"/>
    <x v="16"/>
    <x v="16"/>
    <n v="0.5"/>
    <x v="6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214"/>
    <d v="2011-01-10T00:00:00"/>
    <x v="0"/>
    <n v="0"/>
    <n v="1"/>
    <n v="4"/>
    <b v="0"/>
    <n v="1"/>
    <n v="1"/>
    <x v="18"/>
    <x v="16"/>
    <n v="0.54"/>
    <x v="7"/>
    <n v="1"/>
    <n v="2"/>
    <n v="3"/>
    <x v="1"/>
    <x v="0"/>
    <s v="Night"/>
    <s v="January"/>
    <s v="Spring"/>
    <n v="0.22929155386993369"/>
    <n v="-0.25435329828790432"/>
    <n v="0.10399668008577614"/>
    <n v="0.36604748519325236"/>
  </r>
  <r>
    <n v="215"/>
    <d v="2011-01-10T00:00:00"/>
    <x v="0"/>
    <n v="0"/>
    <n v="1"/>
    <n v="5"/>
    <b v="0"/>
    <n v="1"/>
    <n v="1"/>
    <x v="18"/>
    <x v="15"/>
    <n v="0.54"/>
    <x v="2"/>
    <n v="0"/>
    <n v="3"/>
    <n v="3"/>
    <x v="1"/>
    <x v="0"/>
    <s v="Night"/>
    <s v="January"/>
    <s v="Spring"/>
    <n v="0.22929155386993369"/>
    <n v="-0.25435329828790432"/>
    <n v="0.10399668008577614"/>
    <n v="0.36604748519325236"/>
  </r>
  <r>
    <n v="216"/>
    <d v="2011-01-10T00:00:00"/>
    <x v="0"/>
    <n v="0"/>
    <n v="1"/>
    <n v="6"/>
    <b v="0"/>
    <n v="1"/>
    <n v="1"/>
    <x v="16"/>
    <x v="16"/>
    <n v="0.5"/>
    <x v="3"/>
    <n v="0"/>
    <n v="31"/>
    <n v="31"/>
    <x v="1"/>
    <x v="0"/>
    <s v="Morning"/>
    <s v="January"/>
    <s v="Spring"/>
    <n v="0.22929155386993369"/>
    <n v="-0.25435329828790432"/>
    <n v="0.10399668008577614"/>
    <n v="0.36604748519325236"/>
  </r>
  <r>
    <n v="217"/>
    <d v="2011-01-10T00:00:00"/>
    <x v="0"/>
    <n v="0"/>
    <n v="1"/>
    <n v="7"/>
    <b v="0"/>
    <n v="1"/>
    <n v="1"/>
    <x v="16"/>
    <x v="16"/>
    <n v="0.5"/>
    <x v="6"/>
    <n v="2"/>
    <n v="75"/>
    <n v="77"/>
    <x v="1"/>
    <x v="0"/>
    <s v="Morning"/>
    <s v="January"/>
    <s v="Spring"/>
    <n v="0.22929155386993369"/>
    <n v="-0.25435329828790432"/>
    <n v="0.10399668008577614"/>
    <n v="0.36604748519325236"/>
  </r>
  <r>
    <n v="218"/>
    <d v="2011-01-10T00:00:00"/>
    <x v="0"/>
    <n v="0"/>
    <n v="1"/>
    <n v="8"/>
    <b v="0"/>
    <n v="1"/>
    <n v="2"/>
    <x v="16"/>
    <x v="16"/>
    <n v="0.5"/>
    <x v="3"/>
    <n v="4"/>
    <n v="184"/>
    <n v="188"/>
    <x v="1"/>
    <x v="1"/>
    <s v="Morning"/>
    <s v="January"/>
    <s v="Spring"/>
    <n v="0.22929155386993369"/>
    <n v="-0.25435329828790432"/>
    <n v="0.10399668008577614"/>
    <n v="0.36604748519325236"/>
  </r>
  <r>
    <n v="219"/>
    <d v="2011-01-10T00:00:00"/>
    <x v="0"/>
    <n v="0"/>
    <n v="1"/>
    <n v="9"/>
    <b v="0"/>
    <n v="1"/>
    <n v="2"/>
    <x v="14"/>
    <x v="16"/>
    <n v="0.5"/>
    <x v="2"/>
    <n v="2"/>
    <n v="92"/>
    <n v="94"/>
    <x v="1"/>
    <x v="1"/>
    <s v="Morning"/>
    <s v="January"/>
    <s v="Spring"/>
    <n v="0.22929155386993369"/>
    <n v="-0.25435329828790432"/>
    <n v="0.10399668008577614"/>
    <n v="0.36604748519325236"/>
  </r>
  <r>
    <n v="220"/>
    <d v="2011-01-10T00:00:00"/>
    <x v="0"/>
    <n v="0"/>
    <n v="1"/>
    <n v="10"/>
    <b v="0"/>
    <n v="1"/>
    <n v="2"/>
    <x v="14"/>
    <x v="16"/>
    <n v="0.5"/>
    <x v="4"/>
    <n v="0"/>
    <n v="31"/>
    <n v="31"/>
    <x v="1"/>
    <x v="1"/>
    <s v="Morning"/>
    <s v="January"/>
    <s v="Spring"/>
    <n v="0.22929155386993369"/>
    <n v="-0.25435329828790432"/>
    <n v="0.10399668008577614"/>
    <n v="0.36604748519325236"/>
  </r>
  <r>
    <n v="221"/>
    <d v="2011-01-10T00:00:00"/>
    <x v="0"/>
    <n v="0"/>
    <n v="1"/>
    <n v="11"/>
    <b v="0"/>
    <n v="1"/>
    <n v="2"/>
    <x v="13"/>
    <x v="14"/>
    <n v="0.47"/>
    <x v="3"/>
    <n v="2"/>
    <n v="28"/>
    <n v="30"/>
    <x v="1"/>
    <x v="1"/>
    <s v="Morning"/>
    <s v="January"/>
    <s v="Spring"/>
    <n v="0.22929155386993369"/>
    <n v="-0.25435329828790432"/>
    <n v="0.10399668008577614"/>
    <n v="0.36604748519325236"/>
  </r>
  <r>
    <n v="222"/>
    <d v="2011-01-10T00:00:00"/>
    <x v="0"/>
    <n v="0"/>
    <n v="1"/>
    <n v="12"/>
    <b v="0"/>
    <n v="1"/>
    <n v="2"/>
    <x v="2"/>
    <x v="18"/>
    <n v="0.4"/>
    <x v="3"/>
    <n v="5"/>
    <n v="47"/>
    <n v="52"/>
    <x v="1"/>
    <x v="1"/>
    <s v="Afternoon"/>
    <s v="January"/>
    <s v="Spring"/>
    <n v="0.22929155386993369"/>
    <n v="-0.25435329828790432"/>
    <n v="0.10399668008577614"/>
    <n v="0.36604748519325236"/>
  </r>
  <r>
    <n v="223"/>
    <d v="2011-01-10T00:00:00"/>
    <x v="0"/>
    <n v="0"/>
    <n v="1"/>
    <n v="13"/>
    <b v="0"/>
    <n v="1"/>
    <n v="2"/>
    <x v="2"/>
    <x v="18"/>
    <n v="0.4"/>
    <x v="3"/>
    <n v="4"/>
    <n v="50"/>
    <n v="54"/>
    <x v="1"/>
    <x v="1"/>
    <s v="Afternoon"/>
    <s v="January"/>
    <s v="Spring"/>
    <n v="0.22929155386993369"/>
    <n v="-0.25435329828790432"/>
    <n v="0.10399668008577614"/>
    <n v="0.36604748519325236"/>
  </r>
  <r>
    <n v="224"/>
    <d v="2011-01-10T00:00:00"/>
    <x v="0"/>
    <n v="0"/>
    <n v="1"/>
    <n v="14"/>
    <b v="0"/>
    <n v="1"/>
    <n v="2"/>
    <x v="2"/>
    <x v="13"/>
    <n v="0.4"/>
    <x v="6"/>
    <n v="0"/>
    <n v="47"/>
    <n v="47"/>
    <x v="1"/>
    <x v="1"/>
    <s v="Afternoon"/>
    <s v="January"/>
    <s v="Spring"/>
    <n v="0.22929155386993369"/>
    <n v="-0.25435329828790432"/>
    <n v="0.10399668008577614"/>
    <n v="0.36604748519325236"/>
  </r>
  <r>
    <n v="225"/>
    <d v="2011-01-10T00:00:00"/>
    <x v="0"/>
    <n v="0"/>
    <n v="1"/>
    <n v="15"/>
    <b v="0"/>
    <n v="1"/>
    <n v="2"/>
    <x v="2"/>
    <x v="13"/>
    <n v="0.4"/>
    <x v="6"/>
    <n v="2"/>
    <n v="43"/>
    <n v="45"/>
    <x v="1"/>
    <x v="1"/>
    <s v="Afternoon"/>
    <s v="January"/>
    <s v="Spring"/>
    <n v="0.22929155386993369"/>
    <n v="-0.25435329828790432"/>
    <n v="0.10399668008577614"/>
    <n v="0.36604748519325236"/>
  </r>
  <r>
    <n v="226"/>
    <d v="2011-01-10T00:00:00"/>
    <x v="0"/>
    <n v="0"/>
    <n v="1"/>
    <n v="16"/>
    <b v="0"/>
    <n v="1"/>
    <n v="1"/>
    <x v="2"/>
    <x v="12"/>
    <n v="0.4"/>
    <x v="7"/>
    <n v="4"/>
    <n v="70"/>
    <n v="74"/>
    <x v="1"/>
    <x v="0"/>
    <s v="Afternoon"/>
    <s v="January"/>
    <s v="Spring"/>
    <n v="0.22929155386993369"/>
    <n v="-0.25435329828790432"/>
    <n v="0.10399668008577614"/>
    <n v="0.36604748519325236"/>
  </r>
  <r>
    <n v="227"/>
    <d v="2011-01-10T00:00:00"/>
    <x v="0"/>
    <n v="0"/>
    <n v="1"/>
    <n v="17"/>
    <b v="0"/>
    <n v="1"/>
    <n v="1"/>
    <x v="2"/>
    <x v="11"/>
    <n v="0.4"/>
    <x v="14"/>
    <n v="4"/>
    <n v="174"/>
    <n v="178"/>
    <x v="1"/>
    <x v="0"/>
    <s v="Evening"/>
    <s v="January"/>
    <s v="Spring"/>
    <n v="0.22929155386993369"/>
    <n v="-0.25435329828790432"/>
    <n v="0.10399668008577614"/>
    <n v="0.36604748519325236"/>
  </r>
  <r>
    <n v="228"/>
    <d v="2011-01-10T00:00:00"/>
    <x v="0"/>
    <n v="0"/>
    <n v="1"/>
    <n v="18"/>
    <b v="0"/>
    <n v="1"/>
    <n v="1"/>
    <x v="2"/>
    <x v="13"/>
    <n v="0.4"/>
    <x v="6"/>
    <n v="1"/>
    <n v="154"/>
    <n v="155"/>
    <x v="1"/>
    <x v="0"/>
    <s v="Evening"/>
    <s v="January"/>
    <s v="Spring"/>
    <n v="0.22929155386993369"/>
    <n v="-0.25435329828790432"/>
    <n v="0.10399668008577614"/>
    <n v="0.36604748519325236"/>
  </r>
  <r>
    <n v="229"/>
    <d v="2011-01-10T00:00:00"/>
    <x v="0"/>
    <n v="0"/>
    <n v="1"/>
    <n v="19"/>
    <b v="0"/>
    <n v="1"/>
    <n v="1"/>
    <x v="13"/>
    <x v="17"/>
    <n v="0.47"/>
    <x v="8"/>
    <n v="3"/>
    <n v="92"/>
    <n v="95"/>
    <x v="1"/>
    <x v="0"/>
    <s v="Evening"/>
    <s v="January"/>
    <s v="Spring"/>
    <n v="0.22929155386993369"/>
    <n v="-0.25435329828790432"/>
    <n v="0.10399668008577614"/>
    <n v="0.36604748519325236"/>
  </r>
  <r>
    <n v="230"/>
    <d v="2011-01-10T00:00:00"/>
    <x v="0"/>
    <n v="0"/>
    <n v="1"/>
    <n v="20"/>
    <b v="0"/>
    <n v="1"/>
    <n v="1"/>
    <x v="13"/>
    <x v="17"/>
    <n v="0.5"/>
    <x v="8"/>
    <n v="1"/>
    <n v="73"/>
    <n v="74"/>
    <x v="1"/>
    <x v="0"/>
    <s v="Evening"/>
    <s v="January"/>
    <s v="Spring"/>
    <n v="0.22929155386993369"/>
    <n v="-0.25435329828790432"/>
    <n v="0.10399668008577614"/>
    <n v="0.36604748519325236"/>
  </r>
  <r>
    <n v="231"/>
    <d v="2011-01-10T00:00:00"/>
    <x v="0"/>
    <n v="0"/>
    <n v="1"/>
    <n v="21"/>
    <b v="0"/>
    <n v="1"/>
    <n v="1"/>
    <x v="14"/>
    <x v="14"/>
    <n v="0.59"/>
    <x v="5"/>
    <n v="1"/>
    <n v="37"/>
    <n v="38"/>
    <x v="1"/>
    <x v="0"/>
    <s v="Night"/>
    <s v="January"/>
    <s v="Spring"/>
    <n v="0.22929155386993369"/>
    <n v="-0.25435329828790432"/>
    <n v="0.10399668008577614"/>
    <n v="0.36604748519325236"/>
  </r>
  <r>
    <n v="232"/>
    <d v="2011-01-10T00:00:00"/>
    <x v="0"/>
    <n v="0"/>
    <n v="1"/>
    <n v="22"/>
    <b v="0"/>
    <n v="1"/>
    <n v="1"/>
    <x v="14"/>
    <x v="20"/>
    <n v="0.59"/>
    <x v="8"/>
    <n v="2"/>
    <n v="22"/>
    <n v="24"/>
    <x v="1"/>
    <x v="0"/>
    <s v="Night"/>
    <s v="January"/>
    <s v="Spring"/>
    <n v="0.22929155386993369"/>
    <n v="-0.25435329828790432"/>
    <n v="0.10399668008577614"/>
    <n v="0.36604748519325236"/>
  </r>
  <r>
    <n v="233"/>
    <d v="2011-01-10T00:00:00"/>
    <x v="0"/>
    <n v="0"/>
    <n v="1"/>
    <n v="23"/>
    <b v="0"/>
    <n v="1"/>
    <n v="1"/>
    <x v="14"/>
    <x v="20"/>
    <n v="0.59"/>
    <x v="8"/>
    <n v="0"/>
    <n v="18"/>
    <n v="18"/>
    <x v="1"/>
    <x v="0"/>
    <s v="Night"/>
    <s v="January"/>
    <s v="Spring"/>
    <n v="0.22929155386993369"/>
    <n v="-0.25435329828790432"/>
    <n v="0.10399668008577614"/>
    <n v="0.36604748519325236"/>
  </r>
  <r>
    <n v="234"/>
    <d v="2011-01-11T00:00:00"/>
    <x v="0"/>
    <n v="0"/>
    <n v="1"/>
    <n v="0"/>
    <b v="0"/>
    <n v="2"/>
    <n v="1"/>
    <x v="14"/>
    <x v="17"/>
    <n v="0.59"/>
    <x v="14"/>
    <n v="2"/>
    <n v="10"/>
    <n v="12"/>
    <x v="1"/>
    <x v="0"/>
    <s v="Night"/>
    <s v="January"/>
    <s v="Spring"/>
    <n v="0.22929155386993369"/>
    <n v="-0.25435329828790432"/>
    <n v="0.10399668008577614"/>
    <n v="0.36604748519325236"/>
  </r>
  <r>
    <n v="235"/>
    <d v="2011-01-11T00:00:00"/>
    <x v="0"/>
    <n v="0"/>
    <n v="1"/>
    <n v="1"/>
    <b v="0"/>
    <n v="2"/>
    <n v="1"/>
    <x v="14"/>
    <x v="20"/>
    <n v="0.59"/>
    <x v="8"/>
    <n v="0"/>
    <n v="3"/>
    <n v="3"/>
    <x v="1"/>
    <x v="0"/>
    <s v="Night"/>
    <s v="January"/>
    <s v="Spring"/>
    <n v="0.22929155386993369"/>
    <n v="-0.25435329828790432"/>
    <n v="0.10399668008577614"/>
    <n v="0.36604748519325236"/>
  </r>
  <r>
    <n v="236"/>
    <d v="2011-01-11T00:00:00"/>
    <x v="0"/>
    <n v="0"/>
    <n v="1"/>
    <n v="2"/>
    <b v="0"/>
    <n v="2"/>
    <n v="2"/>
    <x v="13"/>
    <x v="20"/>
    <n v="0.55000000000000004"/>
    <x v="5"/>
    <n v="0"/>
    <n v="3"/>
    <n v="3"/>
    <x v="1"/>
    <x v="1"/>
    <s v="Night"/>
    <s v="January"/>
    <s v="Spring"/>
    <n v="0.22929155386993369"/>
    <n v="-0.25435329828790432"/>
    <n v="0.10399668008577614"/>
    <n v="0.36604748519325236"/>
  </r>
  <r>
    <n v="237"/>
    <d v="2011-01-11T00:00:00"/>
    <x v="0"/>
    <n v="0"/>
    <n v="1"/>
    <n v="5"/>
    <b v="0"/>
    <n v="2"/>
    <n v="2"/>
    <x v="13"/>
    <x v="18"/>
    <n v="0.55000000000000004"/>
    <x v="7"/>
    <n v="0"/>
    <n v="6"/>
    <n v="6"/>
    <x v="1"/>
    <x v="1"/>
    <s v="Night"/>
    <s v="January"/>
    <s v="Spring"/>
    <n v="0.22929155386993369"/>
    <n v="-0.25435329828790432"/>
    <n v="0.10399668008577614"/>
    <n v="0.36604748519325236"/>
  </r>
  <r>
    <n v="238"/>
    <d v="2011-01-11T00:00:00"/>
    <x v="0"/>
    <n v="0"/>
    <n v="1"/>
    <n v="6"/>
    <b v="0"/>
    <n v="2"/>
    <n v="2"/>
    <x v="13"/>
    <x v="18"/>
    <n v="0.55000000000000004"/>
    <x v="7"/>
    <n v="0"/>
    <n v="27"/>
    <n v="27"/>
    <x v="1"/>
    <x v="1"/>
    <s v="Morning"/>
    <s v="January"/>
    <s v="Spring"/>
    <n v="0.22929155386993369"/>
    <n v="-0.25435329828790432"/>
    <n v="0.10399668008577614"/>
    <n v="0.36604748519325236"/>
  </r>
  <r>
    <n v="239"/>
    <d v="2011-01-11T00:00:00"/>
    <x v="0"/>
    <n v="0"/>
    <n v="1"/>
    <n v="7"/>
    <b v="0"/>
    <n v="2"/>
    <n v="2"/>
    <x v="13"/>
    <x v="11"/>
    <n v="0.55000000000000004"/>
    <x v="0"/>
    <n v="2"/>
    <n v="97"/>
    <n v="99"/>
    <x v="1"/>
    <x v="1"/>
    <s v="Morning"/>
    <s v="January"/>
    <s v="Spring"/>
    <n v="0.22929155386993369"/>
    <n v="-0.25435329828790432"/>
    <n v="0.10399668008577614"/>
    <n v="0.36604748519325236"/>
  </r>
  <r>
    <n v="240"/>
    <d v="2011-01-11T00:00:00"/>
    <x v="0"/>
    <n v="0"/>
    <n v="1"/>
    <n v="8"/>
    <b v="0"/>
    <n v="2"/>
    <n v="2"/>
    <x v="15"/>
    <x v="12"/>
    <n v="0.51"/>
    <x v="1"/>
    <n v="3"/>
    <n v="214"/>
    <n v="217"/>
    <x v="1"/>
    <x v="1"/>
    <s v="Morning"/>
    <s v="January"/>
    <s v="Spring"/>
    <n v="0.22929155386993369"/>
    <n v="-0.25435329828790432"/>
    <n v="0.10399668008577614"/>
    <n v="0.36604748519325236"/>
  </r>
  <r>
    <n v="241"/>
    <d v="2011-01-11T00:00:00"/>
    <x v="0"/>
    <n v="0"/>
    <n v="1"/>
    <n v="9"/>
    <b v="0"/>
    <n v="2"/>
    <n v="2"/>
    <x v="15"/>
    <x v="13"/>
    <n v="0.51"/>
    <x v="8"/>
    <n v="3"/>
    <n v="127"/>
    <n v="130"/>
    <x v="1"/>
    <x v="1"/>
    <s v="Morning"/>
    <s v="January"/>
    <s v="Spring"/>
    <n v="0.22929155386993369"/>
    <n v="-0.25435329828790432"/>
    <n v="0.10399668008577614"/>
    <n v="0.36604748519325236"/>
  </r>
  <r>
    <n v="242"/>
    <d v="2011-01-11T00:00:00"/>
    <x v="0"/>
    <n v="0"/>
    <n v="1"/>
    <n v="10"/>
    <b v="0"/>
    <n v="2"/>
    <n v="2"/>
    <x v="2"/>
    <x v="12"/>
    <n v="0.51"/>
    <x v="8"/>
    <n v="3"/>
    <n v="51"/>
    <n v="54"/>
    <x v="1"/>
    <x v="1"/>
    <s v="Morning"/>
    <s v="January"/>
    <s v="Spring"/>
    <n v="0.22929155386993369"/>
    <n v="-0.25435329828790432"/>
    <n v="0.10399668008577614"/>
    <n v="0.36604748519325236"/>
  </r>
  <r>
    <n v="243"/>
    <d v="2011-01-11T00:00:00"/>
    <x v="0"/>
    <n v="0"/>
    <n v="1"/>
    <n v="11"/>
    <b v="0"/>
    <n v="2"/>
    <n v="2"/>
    <x v="2"/>
    <x v="12"/>
    <n v="0.47"/>
    <x v="7"/>
    <n v="4"/>
    <n v="31"/>
    <n v="35"/>
    <x v="1"/>
    <x v="1"/>
    <s v="Morning"/>
    <s v="January"/>
    <s v="Spring"/>
    <n v="0.22929155386993369"/>
    <n v="-0.25435329828790432"/>
    <n v="0.10399668008577614"/>
    <n v="0.36604748519325236"/>
  </r>
  <r>
    <n v="244"/>
    <d v="2011-01-11T00:00:00"/>
    <x v="0"/>
    <n v="0"/>
    <n v="1"/>
    <n v="12"/>
    <b v="0"/>
    <n v="2"/>
    <n v="2"/>
    <x v="2"/>
    <x v="11"/>
    <n v="0.51"/>
    <x v="14"/>
    <n v="2"/>
    <n v="55"/>
    <n v="57"/>
    <x v="1"/>
    <x v="1"/>
    <s v="Afternoon"/>
    <s v="January"/>
    <s v="Spring"/>
    <n v="0.22929155386993369"/>
    <n v="-0.25435329828790432"/>
    <n v="0.10399668008577614"/>
    <n v="0.36604748519325236"/>
  </r>
  <r>
    <n v="245"/>
    <d v="2011-01-11T00:00:00"/>
    <x v="0"/>
    <n v="0"/>
    <n v="1"/>
    <n v="13"/>
    <b v="0"/>
    <n v="2"/>
    <n v="2"/>
    <x v="2"/>
    <x v="11"/>
    <n v="0.59"/>
    <x v="1"/>
    <n v="6"/>
    <n v="46"/>
    <n v="52"/>
    <x v="1"/>
    <x v="1"/>
    <s v="Afternoon"/>
    <s v="January"/>
    <s v="Spring"/>
    <n v="0.22929155386993369"/>
    <n v="-0.25435329828790432"/>
    <n v="0.10399668008577614"/>
    <n v="0.36604748519325236"/>
  </r>
  <r>
    <n v="246"/>
    <d v="2011-01-11T00:00:00"/>
    <x v="0"/>
    <n v="0"/>
    <n v="1"/>
    <n v="14"/>
    <b v="0"/>
    <n v="2"/>
    <n v="2"/>
    <x v="2"/>
    <x v="11"/>
    <n v="0.59"/>
    <x v="1"/>
    <n v="3"/>
    <n v="60"/>
    <n v="63"/>
    <x v="1"/>
    <x v="1"/>
    <s v="Afternoon"/>
    <s v="January"/>
    <s v="Spring"/>
    <n v="0.22929155386993369"/>
    <n v="-0.25435329828790432"/>
    <n v="0.10399668008577614"/>
    <n v="0.36604748519325236"/>
  </r>
  <r>
    <n v="247"/>
    <d v="2011-01-11T00:00:00"/>
    <x v="0"/>
    <n v="0"/>
    <n v="1"/>
    <n v="15"/>
    <b v="0"/>
    <n v="2"/>
    <n v="2"/>
    <x v="13"/>
    <x v="13"/>
    <n v="0.8"/>
    <x v="1"/>
    <n v="2"/>
    <n v="45"/>
    <n v="47"/>
    <x v="1"/>
    <x v="1"/>
    <s v="Afternoon"/>
    <s v="January"/>
    <s v="Spring"/>
    <n v="0.22929155386993369"/>
    <n v="-0.25435329828790432"/>
    <n v="0.10399668008577614"/>
    <n v="0.36604748519325236"/>
  </r>
  <r>
    <n v="248"/>
    <d v="2011-01-11T00:00:00"/>
    <x v="0"/>
    <n v="0"/>
    <n v="1"/>
    <n v="16"/>
    <b v="0"/>
    <n v="2"/>
    <n v="2"/>
    <x v="13"/>
    <x v="20"/>
    <n v="0.86"/>
    <x v="6"/>
    <n v="4"/>
    <n v="72"/>
    <n v="76"/>
    <x v="1"/>
    <x v="1"/>
    <s v="Afternoon"/>
    <s v="January"/>
    <s v="Spring"/>
    <n v="0.22929155386993369"/>
    <n v="-0.25435329828790432"/>
    <n v="0.10399668008577614"/>
    <n v="0.36604748519325236"/>
  </r>
  <r>
    <n v="249"/>
    <d v="2011-01-11T00:00:00"/>
    <x v="0"/>
    <n v="0"/>
    <n v="1"/>
    <n v="17"/>
    <b v="0"/>
    <n v="2"/>
    <n v="2"/>
    <x v="13"/>
    <x v="20"/>
    <n v="0.86"/>
    <x v="6"/>
    <n v="6"/>
    <n v="130"/>
    <n v="136"/>
    <x v="1"/>
    <x v="1"/>
    <s v="Evening"/>
    <s v="January"/>
    <s v="Spring"/>
    <n v="0.22929155386993369"/>
    <n v="-0.25435329828790432"/>
    <n v="0.10399668008577614"/>
    <n v="0.36604748519325236"/>
  </r>
  <r>
    <n v="250"/>
    <d v="2011-01-11T00:00:00"/>
    <x v="0"/>
    <n v="0"/>
    <n v="1"/>
    <n v="18"/>
    <b v="0"/>
    <n v="2"/>
    <n v="3"/>
    <x v="13"/>
    <x v="18"/>
    <n v="0.93"/>
    <x v="14"/>
    <n v="1"/>
    <n v="94"/>
    <n v="95"/>
    <x v="1"/>
    <x v="2"/>
    <s v="Evening"/>
    <s v="January"/>
    <s v="Spring"/>
    <n v="0.22929155386993369"/>
    <n v="-0.25435329828790432"/>
    <n v="0.10399668008577614"/>
    <n v="0.36604748519325236"/>
  </r>
  <r>
    <n v="251"/>
    <d v="2011-01-11T00:00:00"/>
    <x v="0"/>
    <n v="0"/>
    <n v="1"/>
    <n v="19"/>
    <b v="0"/>
    <n v="2"/>
    <n v="3"/>
    <x v="13"/>
    <x v="11"/>
    <n v="0.93"/>
    <x v="0"/>
    <n v="0"/>
    <n v="51"/>
    <n v="51"/>
    <x v="1"/>
    <x v="2"/>
    <s v="Evening"/>
    <s v="January"/>
    <s v="Spring"/>
    <n v="0.22929155386993369"/>
    <n v="-0.25435329828790432"/>
    <n v="0.10399668008577614"/>
    <n v="0.36604748519325236"/>
  </r>
  <r>
    <n v="252"/>
    <d v="2011-01-11T00:00:00"/>
    <x v="0"/>
    <n v="0"/>
    <n v="1"/>
    <n v="20"/>
    <b v="0"/>
    <n v="2"/>
    <n v="3"/>
    <x v="13"/>
    <x v="20"/>
    <n v="0.93"/>
    <x v="5"/>
    <n v="0"/>
    <n v="32"/>
    <n v="32"/>
    <x v="1"/>
    <x v="2"/>
    <s v="Evening"/>
    <s v="January"/>
    <s v="Spring"/>
    <n v="0.22929155386993369"/>
    <n v="-0.25435329828790432"/>
    <n v="0.10399668008577614"/>
    <n v="0.36604748519325236"/>
  </r>
  <r>
    <n v="253"/>
    <d v="2011-01-11T00:00:00"/>
    <x v="0"/>
    <n v="0"/>
    <n v="1"/>
    <n v="21"/>
    <b v="0"/>
    <n v="2"/>
    <n v="3"/>
    <x v="13"/>
    <x v="13"/>
    <n v="0.86"/>
    <x v="1"/>
    <n v="0"/>
    <n v="20"/>
    <n v="20"/>
    <x v="1"/>
    <x v="2"/>
    <s v="Night"/>
    <s v="January"/>
    <s v="Spring"/>
    <n v="0.22929155386993369"/>
    <n v="-0.25435329828790432"/>
    <n v="0.10399668008577614"/>
    <n v="0.36604748519325236"/>
  </r>
  <r>
    <n v="254"/>
    <d v="2011-01-11T00:00:00"/>
    <x v="0"/>
    <n v="0"/>
    <n v="1"/>
    <n v="22"/>
    <b v="0"/>
    <n v="2"/>
    <n v="3"/>
    <x v="13"/>
    <x v="18"/>
    <n v="0.93"/>
    <x v="14"/>
    <n v="1"/>
    <n v="28"/>
    <n v="29"/>
    <x v="1"/>
    <x v="2"/>
    <s v="Night"/>
    <s v="January"/>
    <s v="Spring"/>
    <n v="0.22929155386993369"/>
    <n v="-0.25435329828790432"/>
    <n v="0.10399668008577614"/>
    <n v="0.36604748519325236"/>
  </r>
  <r>
    <n v="255"/>
    <d v="2011-01-11T00:00:00"/>
    <x v="0"/>
    <n v="0"/>
    <n v="1"/>
    <n v="23"/>
    <b v="0"/>
    <n v="2"/>
    <n v="3"/>
    <x v="13"/>
    <x v="13"/>
    <n v="0.93"/>
    <x v="1"/>
    <n v="1"/>
    <n v="18"/>
    <n v="19"/>
    <x v="1"/>
    <x v="2"/>
    <s v="Night"/>
    <s v="January"/>
    <s v="Spring"/>
    <n v="0.22929155386993369"/>
    <n v="-0.25435329828790432"/>
    <n v="0.10399668008577614"/>
    <n v="0.36604748519325236"/>
  </r>
  <r>
    <n v="256"/>
    <d v="2011-01-12T00:00:00"/>
    <x v="0"/>
    <n v="0"/>
    <n v="1"/>
    <n v="0"/>
    <b v="0"/>
    <n v="3"/>
    <n v="2"/>
    <x v="13"/>
    <x v="13"/>
    <n v="0.86"/>
    <x v="1"/>
    <n v="0"/>
    <n v="7"/>
    <n v="7"/>
    <x v="1"/>
    <x v="1"/>
    <s v="Night"/>
    <s v="January"/>
    <s v="Spring"/>
    <n v="0.22929155386993369"/>
    <n v="-0.25435329828790432"/>
    <n v="0.10399668008577614"/>
    <n v="0.36604748519325236"/>
  </r>
  <r>
    <n v="257"/>
    <d v="2011-01-12T00:00:00"/>
    <x v="0"/>
    <n v="0"/>
    <n v="1"/>
    <n v="1"/>
    <b v="0"/>
    <n v="3"/>
    <n v="2"/>
    <x v="13"/>
    <x v="18"/>
    <n v="0.86"/>
    <x v="14"/>
    <n v="0"/>
    <n v="6"/>
    <n v="6"/>
    <x v="1"/>
    <x v="1"/>
    <s v="Night"/>
    <s v="January"/>
    <s v="Spring"/>
    <n v="0.22929155386993369"/>
    <n v="-0.25435329828790432"/>
    <n v="0.10399668008577614"/>
    <n v="0.36604748519325236"/>
  </r>
  <r>
    <n v="258"/>
    <d v="2011-01-12T00:00:00"/>
    <x v="0"/>
    <n v="0"/>
    <n v="1"/>
    <n v="2"/>
    <b v="0"/>
    <n v="3"/>
    <n v="1"/>
    <x v="14"/>
    <x v="20"/>
    <n v="0.86"/>
    <x v="7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259"/>
    <d v="2011-01-12T00:00:00"/>
    <x v="0"/>
    <n v="0"/>
    <n v="1"/>
    <n v="5"/>
    <b v="0"/>
    <n v="3"/>
    <n v="1"/>
    <x v="14"/>
    <x v="20"/>
    <n v="0.86"/>
    <x v="8"/>
    <n v="0"/>
    <n v="5"/>
    <n v="5"/>
    <x v="1"/>
    <x v="0"/>
    <s v="Night"/>
    <s v="January"/>
    <s v="Spring"/>
    <n v="0.22929155386993369"/>
    <n v="-0.25435329828790432"/>
    <n v="0.10399668008577614"/>
    <n v="0.36604748519325236"/>
  </r>
  <r>
    <n v="260"/>
    <d v="2011-01-12T00:00:00"/>
    <x v="0"/>
    <n v="0"/>
    <n v="1"/>
    <n v="6"/>
    <b v="0"/>
    <n v="3"/>
    <n v="1"/>
    <x v="16"/>
    <x v="20"/>
    <n v="0.93"/>
    <x v="7"/>
    <n v="0"/>
    <n v="16"/>
    <n v="16"/>
    <x v="1"/>
    <x v="0"/>
    <s v="Morning"/>
    <s v="January"/>
    <s v="Spring"/>
    <n v="0.22929155386993369"/>
    <n v="-0.25435329828790432"/>
    <n v="0.10399668008577614"/>
    <n v="0.36604748519325236"/>
  </r>
  <r>
    <n v="261"/>
    <d v="2011-01-12T00:00:00"/>
    <x v="0"/>
    <n v="0"/>
    <n v="1"/>
    <n v="7"/>
    <b v="0"/>
    <n v="3"/>
    <n v="1"/>
    <x v="14"/>
    <x v="20"/>
    <n v="0.69"/>
    <x v="7"/>
    <n v="0"/>
    <n v="54"/>
    <n v="54"/>
    <x v="1"/>
    <x v="0"/>
    <s v="Morning"/>
    <s v="January"/>
    <s v="Spring"/>
    <n v="0.22929155386993369"/>
    <n v="-0.25435329828790432"/>
    <n v="0.10399668008577614"/>
    <n v="0.36604748519325236"/>
  </r>
  <r>
    <n v="262"/>
    <d v="2011-01-12T00:00:00"/>
    <x v="0"/>
    <n v="0"/>
    <n v="1"/>
    <n v="8"/>
    <b v="0"/>
    <n v="3"/>
    <n v="1"/>
    <x v="13"/>
    <x v="17"/>
    <n v="0.59"/>
    <x v="8"/>
    <n v="3"/>
    <n v="125"/>
    <n v="128"/>
    <x v="1"/>
    <x v="0"/>
    <s v="Morning"/>
    <s v="January"/>
    <s v="Spring"/>
    <n v="0.22929155386993369"/>
    <n v="-0.25435329828790432"/>
    <n v="0.10399668008577614"/>
    <n v="0.36604748519325236"/>
  </r>
  <r>
    <n v="263"/>
    <d v="2011-01-12T00:00:00"/>
    <x v="0"/>
    <n v="0"/>
    <n v="1"/>
    <n v="9"/>
    <b v="0"/>
    <n v="3"/>
    <n v="1"/>
    <x v="13"/>
    <x v="14"/>
    <n v="0.59"/>
    <x v="9"/>
    <n v="3"/>
    <n v="78"/>
    <n v="81"/>
    <x v="1"/>
    <x v="0"/>
    <s v="Morning"/>
    <s v="January"/>
    <s v="Spring"/>
    <n v="0.22929155386993369"/>
    <n v="-0.25435329828790432"/>
    <n v="0.10399668008577614"/>
    <n v="0.36604748519325236"/>
  </r>
  <r>
    <n v="264"/>
    <d v="2011-01-12T00:00:00"/>
    <x v="0"/>
    <n v="0"/>
    <n v="1"/>
    <n v="10"/>
    <b v="0"/>
    <n v="3"/>
    <n v="1"/>
    <x v="15"/>
    <x v="18"/>
    <n v="0.55000000000000004"/>
    <x v="6"/>
    <n v="0"/>
    <n v="39"/>
    <n v="39"/>
    <x v="1"/>
    <x v="0"/>
    <s v="Morning"/>
    <s v="January"/>
    <s v="Spring"/>
    <n v="0.22929155386993369"/>
    <n v="-0.25435329828790432"/>
    <n v="0.10399668008577614"/>
    <n v="0.36604748519325236"/>
  </r>
  <r>
    <n v="265"/>
    <d v="2011-01-12T00:00:00"/>
    <x v="0"/>
    <n v="0"/>
    <n v="1"/>
    <n v="11"/>
    <b v="0"/>
    <n v="3"/>
    <n v="1"/>
    <x v="2"/>
    <x v="18"/>
    <n v="0.51"/>
    <x v="13"/>
    <n v="3"/>
    <n v="32"/>
    <n v="35"/>
    <x v="1"/>
    <x v="0"/>
    <s v="Morning"/>
    <s v="January"/>
    <s v="Spring"/>
    <n v="0.22929155386993369"/>
    <n v="-0.25435329828790432"/>
    <n v="0.10399668008577614"/>
    <n v="0.36604748519325236"/>
  </r>
  <r>
    <n v="266"/>
    <d v="2011-01-12T00:00:00"/>
    <x v="0"/>
    <n v="0"/>
    <n v="1"/>
    <n v="12"/>
    <b v="0"/>
    <n v="3"/>
    <n v="1"/>
    <x v="2"/>
    <x v="20"/>
    <n v="0.47"/>
    <x v="19"/>
    <n v="3"/>
    <n v="52"/>
    <n v="55"/>
    <x v="1"/>
    <x v="0"/>
    <s v="Afternoon"/>
    <s v="January"/>
    <s v="Spring"/>
    <n v="0.22929155386993369"/>
    <n v="-0.25435329828790432"/>
    <n v="0.10399668008577614"/>
    <n v="0.36604748519325236"/>
  </r>
  <r>
    <n v="267"/>
    <d v="2011-01-12T00:00:00"/>
    <x v="0"/>
    <n v="0"/>
    <n v="1"/>
    <n v="13"/>
    <b v="0"/>
    <n v="3"/>
    <n v="1"/>
    <x v="1"/>
    <x v="13"/>
    <n v="0.44"/>
    <x v="11"/>
    <n v="0"/>
    <n v="49"/>
    <n v="49"/>
    <x v="1"/>
    <x v="0"/>
    <s v="Afternoon"/>
    <s v="January"/>
    <s v="Spring"/>
    <n v="0.22929155386993369"/>
    <n v="-0.25435329828790432"/>
    <n v="0.10399668008577614"/>
    <n v="0.36604748519325236"/>
  </r>
  <r>
    <n v="268"/>
    <d v="2011-01-12T00:00:00"/>
    <x v="0"/>
    <n v="0"/>
    <n v="1"/>
    <n v="14"/>
    <b v="0"/>
    <n v="3"/>
    <n v="1"/>
    <x v="2"/>
    <x v="18"/>
    <n v="0.47"/>
    <x v="9"/>
    <n v="0"/>
    <n v="44"/>
    <n v="44"/>
    <x v="1"/>
    <x v="0"/>
    <s v="Afternoon"/>
    <s v="January"/>
    <s v="Spring"/>
    <n v="0.22929155386993369"/>
    <n v="-0.25435329828790432"/>
    <n v="0.10399668008577614"/>
    <n v="0.36604748519325236"/>
  </r>
  <r>
    <n v="269"/>
    <d v="2011-01-12T00:00:00"/>
    <x v="0"/>
    <n v="0"/>
    <n v="1"/>
    <n v="15"/>
    <b v="0"/>
    <n v="3"/>
    <n v="1"/>
    <x v="2"/>
    <x v="17"/>
    <n v="0.47"/>
    <x v="12"/>
    <n v="1"/>
    <n v="48"/>
    <n v="49"/>
    <x v="1"/>
    <x v="0"/>
    <s v="Afternoon"/>
    <s v="January"/>
    <s v="Spring"/>
    <n v="0.22929155386993369"/>
    <n v="-0.25435329828790432"/>
    <n v="0.10399668008577614"/>
    <n v="0.36604748519325236"/>
  </r>
  <r>
    <n v="270"/>
    <d v="2011-01-12T00:00:00"/>
    <x v="0"/>
    <n v="0"/>
    <n v="1"/>
    <n v="16"/>
    <b v="0"/>
    <n v="3"/>
    <n v="1"/>
    <x v="1"/>
    <x v="13"/>
    <n v="0.44"/>
    <x v="9"/>
    <n v="5"/>
    <n v="63"/>
    <n v="68"/>
    <x v="1"/>
    <x v="0"/>
    <s v="Afternoon"/>
    <s v="January"/>
    <s v="Spring"/>
    <n v="0.22929155386993369"/>
    <n v="-0.25435329828790432"/>
    <n v="0.10399668008577614"/>
    <n v="0.36604748519325236"/>
  </r>
  <r>
    <n v="271"/>
    <d v="2011-01-12T00:00:00"/>
    <x v="0"/>
    <n v="0"/>
    <n v="1"/>
    <n v="17"/>
    <b v="0"/>
    <n v="3"/>
    <n v="1"/>
    <x v="2"/>
    <x v="18"/>
    <n v="0.47"/>
    <x v="11"/>
    <n v="0"/>
    <n v="139"/>
    <n v="139"/>
    <x v="1"/>
    <x v="0"/>
    <s v="Evening"/>
    <s v="January"/>
    <s v="Spring"/>
    <n v="0.22929155386993369"/>
    <n v="-0.25435329828790432"/>
    <n v="0.10399668008577614"/>
    <n v="0.36604748519325236"/>
  </r>
  <r>
    <n v="272"/>
    <d v="2011-01-12T00:00:00"/>
    <x v="0"/>
    <n v="0"/>
    <n v="1"/>
    <n v="18"/>
    <b v="0"/>
    <n v="3"/>
    <n v="1"/>
    <x v="2"/>
    <x v="20"/>
    <n v="0.47"/>
    <x v="18"/>
    <n v="2"/>
    <n v="135"/>
    <n v="137"/>
    <x v="1"/>
    <x v="0"/>
    <s v="Evening"/>
    <s v="January"/>
    <s v="Spring"/>
    <n v="0.22929155386993369"/>
    <n v="-0.25435329828790432"/>
    <n v="0.10399668008577614"/>
    <n v="0.36604748519325236"/>
  </r>
  <r>
    <n v="273"/>
    <d v="2011-01-12T00:00:00"/>
    <x v="0"/>
    <n v="0"/>
    <n v="1"/>
    <n v="19"/>
    <b v="0"/>
    <n v="3"/>
    <n v="1"/>
    <x v="15"/>
    <x v="20"/>
    <n v="0.47"/>
    <x v="12"/>
    <n v="1"/>
    <n v="82"/>
    <n v="83"/>
    <x v="1"/>
    <x v="0"/>
    <s v="Evening"/>
    <s v="January"/>
    <s v="Spring"/>
    <n v="0.22929155386993369"/>
    <n v="-0.25435329828790432"/>
    <n v="0.10399668008577614"/>
    <n v="0.36604748519325236"/>
  </r>
  <r>
    <n v="274"/>
    <d v="2011-01-12T00:00:00"/>
    <x v="0"/>
    <n v="0"/>
    <n v="1"/>
    <n v="20"/>
    <b v="0"/>
    <n v="3"/>
    <n v="1"/>
    <x v="13"/>
    <x v="14"/>
    <n v="0.5"/>
    <x v="9"/>
    <n v="2"/>
    <n v="54"/>
    <n v="56"/>
    <x v="1"/>
    <x v="0"/>
    <s v="Evening"/>
    <s v="January"/>
    <s v="Spring"/>
    <n v="0.22929155386993369"/>
    <n v="-0.25435329828790432"/>
    <n v="0.10399668008577614"/>
    <n v="0.36604748519325236"/>
  </r>
  <r>
    <n v="275"/>
    <d v="2011-01-12T00:00:00"/>
    <x v="0"/>
    <n v="0"/>
    <n v="1"/>
    <n v="21"/>
    <b v="0"/>
    <n v="3"/>
    <n v="1"/>
    <x v="13"/>
    <x v="14"/>
    <n v="0.55000000000000004"/>
    <x v="9"/>
    <n v="0"/>
    <n v="57"/>
    <n v="57"/>
    <x v="1"/>
    <x v="0"/>
    <s v="Night"/>
    <s v="January"/>
    <s v="Spring"/>
    <n v="0.22929155386993369"/>
    <n v="-0.25435329828790432"/>
    <n v="0.10399668008577614"/>
    <n v="0.36604748519325236"/>
  </r>
  <r>
    <n v="276"/>
    <d v="2011-01-12T00:00:00"/>
    <x v="0"/>
    <n v="0"/>
    <n v="1"/>
    <n v="22"/>
    <b v="0"/>
    <n v="3"/>
    <n v="1"/>
    <x v="13"/>
    <x v="16"/>
    <n v="0.55000000000000004"/>
    <x v="10"/>
    <n v="1"/>
    <n v="32"/>
    <n v="33"/>
    <x v="1"/>
    <x v="0"/>
    <s v="Night"/>
    <s v="January"/>
    <s v="Spring"/>
    <n v="0.22929155386993369"/>
    <n v="-0.25435329828790432"/>
    <n v="0.10399668008577614"/>
    <n v="0.36604748519325236"/>
  </r>
  <r>
    <n v="277"/>
    <d v="2011-01-12T00:00:00"/>
    <x v="0"/>
    <n v="0"/>
    <n v="1"/>
    <n v="23"/>
    <b v="0"/>
    <n v="3"/>
    <n v="1"/>
    <x v="14"/>
    <x v="15"/>
    <n v="0.59"/>
    <x v="12"/>
    <n v="1"/>
    <n v="19"/>
    <n v="20"/>
    <x v="1"/>
    <x v="0"/>
    <s v="Night"/>
    <s v="January"/>
    <s v="Spring"/>
    <n v="0.22929155386993369"/>
    <n v="-0.25435329828790432"/>
    <n v="0.10399668008577614"/>
    <n v="0.36604748519325236"/>
  </r>
  <r>
    <n v="278"/>
    <d v="2011-01-13T00:00:00"/>
    <x v="0"/>
    <n v="0"/>
    <n v="1"/>
    <n v="0"/>
    <b v="0"/>
    <n v="4"/>
    <n v="1"/>
    <x v="14"/>
    <x v="16"/>
    <n v="0.59"/>
    <x v="3"/>
    <n v="1"/>
    <n v="6"/>
    <n v="7"/>
    <x v="1"/>
    <x v="0"/>
    <s v="Night"/>
    <s v="January"/>
    <s v="Spring"/>
    <n v="0.22929155386993369"/>
    <n v="-0.25435329828790432"/>
    <n v="0.10399668008577614"/>
    <n v="0.36604748519325236"/>
  </r>
  <r>
    <n v="279"/>
    <d v="2011-01-13T00:00:00"/>
    <x v="0"/>
    <n v="0"/>
    <n v="1"/>
    <n v="1"/>
    <b v="0"/>
    <n v="4"/>
    <n v="1"/>
    <x v="14"/>
    <x v="16"/>
    <n v="0.5"/>
    <x v="3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280"/>
    <d v="2011-01-13T00:00:00"/>
    <x v="0"/>
    <n v="0"/>
    <n v="1"/>
    <n v="2"/>
    <b v="0"/>
    <n v="4"/>
    <n v="1"/>
    <x v="14"/>
    <x v="16"/>
    <n v="0.5"/>
    <x v="11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281"/>
    <d v="2011-01-13T00:00:00"/>
    <x v="0"/>
    <n v="0"/>
    <n v="1"/>
    <n v="3"/>
    <b v="0"/>
    <n v="4"/>
    <n v="1"/>
    <x v="14"/>
    <x v="16"/>
    <n v="0.5"/>
    <x v="9"/>
    <n v="0"/>
    <n v="3"/>
    <n v="3"/>
    <x v="1"/>
    <x v="0"/>
    <s v="Night"/>
    <s v="January"/>
    <s v="Spring"/>
    <n v="0.22929155386993369"/>
    <n v="-0.25435329828790432"/>
    <n v="0.10399668008577614"/>
    <n v="0.36604748519325236"/>
  </r>
  <r>
    <n v="282"/>
    <d v="2011-01-13T00:00:00"/>
    <x v="0"/>
    <n v="0"/>
    <n v="1"/>
    <n v="4"/>
    <b v="0"/>
    <n v="4"/>
    <n v="1"/>
    <x v="14"/>
    <x v="16"/>
    <n v="0.5"/>
    <x v="2"/>
    <n v="0"/>
    <n v="4"/>
    <n v="4"/>
    <x v="1"/>
    <x v="0"/>
    <s v="Night"/>
    <s v="January"/>
    <s v="Spring"/>
    <n v="0.22929155386993369"/>
    <n v="-0.25435329828790432"/>
    <n v="0.10399668008577614"/>
    <n v="0.36604748519325236"/>
  </r>
  <r>
    <n v="283"/>
    <d v="2011-01-13T00:00:00"/>
    <x v="0"/>
    <n v="0"/>
    <n v="1"/>
    <n v="5"/>
    <b v="0"/>
    <n v="4"/>
    <n v="1"/>
    <x v="14"/>
    <x v="16"/>
    <n v="0.5"/>
    <x v="4"/>
    <n v="0"/>
    <n v="3"/>
    <n v="3"/>
    <x v="1"/>
    <x v="0"/>
    <s v="Night"/>
    <s v="January"/>
    <s v="Spring"/>
    <n v="0.22929155386993369"/>
    <n v="-0.25435329828790432"/>
    <n v="0.10399668008577614"/>
    <n v="0.36604748519325236"/>
  </r>
  <r>
    <n v="284"/>
    <d v="2011-01-13T00:00:00"/>
    <x v="0"/>
    <n v="0"/>
    <n v="1"/>
    <n v="6"/>
    <b v="0"/>
    <n v="4"/>
    <n v="1"/>
    <x v="16"/>
    <x v="20"/>
    <n v="0.54"/>
    <x v="7"/>
    <n v="0"/>
    <n v="28"/>
    <n v="28"/>
    <x v="1"/>
    <x v="0"/>
    <s v="Morning"/>
    <s v="January"/>
    <s v="Spring"/>
    <n v="0.22929155386993369"/>
    <n v="-0.25435329828790432"/>
    <n v="0.10399668008577614"/>
    <n v="0.36604748519325236"/>
  </r>
  <r>
    <n v="285"/>
    <d v="2011-01-13T00:00:00"/>
    <x v="0"/>
    <n v="0"/>
    <n v="1"/>
    <n v="7"/>
    <b v="0"/>
    <n v="4"/>
    <n v="1"/>
    <x v="16"/>
    <x v="20"/>
    <n v="0.54"/>
    <x v="7"/>
    <n v="0"/>
    <n v="72"/>
    <n v="72"/>
    <x v="1"/>
    <x v="0"/>
    <s v="Morning"/>
    <s v="January"/>
    <s v="Spring"/>
    <n v="0.22929155386993369"/>
    <n v="-0.25435329828790432"/>
    <n v="0.10399668008577614"/>
    <n v="0.36604748519325236"/>
  </r>
  <r>
    <n v="286"/>
    <d v="2011-01-13T00:00:00"/>
    <x v="0"/>
    <n v="0"/>
    <n v="1"/>
    <n v="8"/>
    <b v="0"/>
    <n v="4"/>
    <n v="1"/>
    <x v="14"/>
    <x v="14"/>
    <n v="0.5"/>
    <x v="5"/>
    <n v="5"/>
    <n v="197"/>
    <n v="202"/>
    <x v="1"/>
    <x v="0"/>
    <s v="Morning"/>
    <s v="January"/>
    <s v="Spring"/>
    <n v="0.22929155386993369"/>
    <n v="-0.25435329828790432"/>
    <n v="0.10399668008577614"/>
    <n v="0.36604748519325236"/>
  </r>
  <r>
    <n v="287"/>
    <d v="2011-01-13T00:00:00"/>
    <x v="0"/>
    <n v="0"/>
    <n v="1"/>
    <n v="9"/>
    <b v="0"/>
    <n v="4"/>
    <n v="1"/>
    <x v="14"/>
    <x v="16"/>
    <n v="0.5"/>
    <x v="9"/>
    <n v="2"/>
    <n v="137"/>
    <n v="139"/>
    <x v="1"/>
    <x v="0"/>
    <s v="Morning"/>
    <s v="January"/>
    <s v="Spring"/>
    <n v="0.22929155386993369"/>
    <n v="-0.25435329828790432"/>
    <n v="0.10399668008577614"/>
    <n v="0.36604748519325236"/>
  </r>
  <r>
    <n v="288"/>
    <d v="2011-01-13T00:00:00"/>
    <x v="0"/>
    <n v="0"/>
    <n v="1"/>
    <n v="10"/>
    <b v="0"/>
    <n v="4"/>
    <n v="2"/>
    <x v="13"/>
    <x v="14"/>
    <n v="0.5"/>
    <x v="11"/>
    <n v="2"/>
    <n v="36"/>
    <n v="38"/>
    <x v="1"/>
    <x v="1"/>
    <s v="Morning"/>
    <s v="January"/>
    <s v="Spring"/>
    <n v="0.22929155386993369"/>
    <n v="-0.25435329828790432"/>
    <n v="0.10399668008577614"/>
    <n v="0.36604748519325236"/>
  </r>
  <r>
    <n v="289"/>
    <d v="2011-01-13T00:00:00"/>
    <x v="0"/>
    <n v="0"/>
    <n v="1"/>
    <n v="11"/>
    <b v="0"/>
    <n v="4"/>
    <n v="2"/>
    <x v="2"/>
    <x v="17"/>
    <n v="0.44"/>
    <x v="10"/>
    <n v="4"/>
    <n v="33"/>
    <n v="37"/>
    <x v="1"/>
    <x v="1"/>
    <s v="Morning"/>
    <s v="January"/>
    <s v="Spring"/>
    <n v="0.22929155386993369"/>
    <n v="-0.25435329828790432"/>
    <n v="0.10399668008577614"/>
    <n v="0.36604748519325236"/>
  </r>
  <r>
    <n v="290"/>
    <d v="2011-01-13T00:00:00"/>
    <x v="0"/>
    <n v="0"/>
    <n v="1"/>
    <n v="12"/>
    <b v="0"/>
    <n v="4"/>
    <n v="1"/>
    <x v="2"/>
    <x v="17"/>
    <n v="0.44"/>
    <x v="12"/>
    <n v="3"/>
    <n v="49"/>
    <n v="52"/>
    <x v="1"/>
    <x v="0"/>
    <s v="Afternoon"/>
    <s v="January"/>
    <s v="Spring"/>
    <n v="0.22929155386993369"/>
    <n v="-0.25435329828790432"/>
    <n v="0.10399668008577614"/>
    <n v="0.36604748519325236"/>
  </r>
  <r>
    <n v="291"/>
    <d v="2011-01-13T00:00:00"/>
    <x v="0"/>
    <n v="0"/>
    <n v="1"/>
    <n v="13"/>
    <b v="0"/>
    <n v="4"/>
    <n v="1"/>
    <x v="1"/>
    <x v="13"/>
    <n v="0.41"/>
    <x v="10"/>
    <n v="2"/>
    <n v="81"/>
    <n v="83"/>
    <x v="1"/>
    <x v="0"/>
    <s v="Afternoon"/>
    <s v="January"/>
    <s v="Spring"/>
    <n v="0.22929155386993369"/>
    <n v="-0.25435329828790432"/>
    <n v="0.10399668008577614"/>
    <n v="0.36604748519325236"/>
  </r>
  <r>
    <n v="292"/>
    <d v="2011-01-13T00:00:00"/>
    <x v="0"/>
    <n v="0"/>
    <n v="1"/>
    <n v="14"/>
    <b v="0"/>
    <n v="4"/>
    <n v="1"/>
    <x v="1"/>
    <x v="13"/>
    <n v="0.41"/>
    <x v="13"/>
    <n v="3"/>
    <n v="39"/>
    <n v="42"/>
    <x v="1"/>
    <x v="0"/>
    <s v="Afternoon"/>
    <s v="January"/>
    <s v="Spring"/>
    <n v="0.22929155386993369"/>
    <n v="-0.25435329828790432"/>
    <n v="0.10399668008577614"/>
    <n v="0.36604748519325236"/>
  </r>
  <r>
    <n v="293"/>
    <d v="2011-01-13T00:00:00"/>
    <x v="0"/>
    <n v="0"/>
    <n v="1"/>
    <n v="15"/>
    <b v="0"/>
    <n v="4"/>
    <n v="1"/>
    <x v="0"/>
    <x v="12"/>
    <n v="0.38"/>
    <x v="4"/>
    <n v="5"/>
    <n v="55"/>
    <n v="60"/>
    <x v="1"/>
    <x v="0"/>
    <s v="Afternoon"/>
    <s v="January"/>
    <s v="Spring"/>
    <n v="0.22929155386993369"/>
    <n v="-0.25435329828790432"/>
    <n v="0.10399668008577614"/>
    <n v="0.36604748519325236"/>
  </r>
  <r>
    <n v="294"/>
    <d v="2011-01-13T00:00:00"/>
    <x v="0"/>
    <n v="0"/>
    <n v="1"/>
    <n v="16"/>
    <b v="0"/>
    <n v="4"/>
    <n v="1"/>
    <x v="0"/>
    <x v="12"/>
    <n v="0.38"/>
    <x v="11"/>
    <n v="2"/>
    <n v="76"/>
    <n v="78"/>
    <x v="1"/>
    <x v="0"/>
    <s v="Afternoon"/>
    <s v="January"/>
    <s v="Spring"/>
    <n v="0.22929155386993369"/>
    <n v="-0.25435329828790432"/>
    <n v="0.10399668008577614"/>
    <n v="0.36604748519325236"/>
  </r>
  <r>
    <n v="295"/>
    <d v="2011-01-13T00:00:00"/>
    <x v="0"/>
    <n v="0"/>
    <n v="1"/>
    <n v="17"/>
    <b v="0"/>
    <n v="4"/>
    <n v="1"/>
    <x v="2"/>
    <x v="18"/>
    <n v="0.4"/>
    <x v="3"/>
    <n v="4"/>
    <n v="158"/>
    <n v="162"/>
    <x v="1"/>
    <x v="0"/>
    <s v="Evening"/>
    <s v="January"/>
    <s v="Spring"/>
    <n v="0.22929155386993369"/>
    <n v="-0.25435329828790432"/>
    <n v="0.10399668008577614"/>
    <n v="0.36604748519325236"/>
  </r>
  <r>
    <n v="296"/>
    <d v="2011-01-13T00:00:00"/>
    <x v="0"/>
    <n v="0"/>
    <n v="1"/>
    <n v="18"/>
    <b v="0"/>
    <n v="4"/>
    <n v="1"/>
    <x v="2"/>
    <x v="18"/>
    <n v="0.4"/>
    <x v="9"/>
    <n v="3"/>
    <n v="141"/>
    <n v="144"/>
    <x v="1"/>
    <x v="0"/>
    <s v="Evening"/>
    <s v="January"/>
    <s v="Spring"/>
    <n v="0.22929155386993369"/>
    <n v="-0.25435329828790432"/>
    <n v="0.10399668008577614"/>
    <n v="0.36604748519325236"/>
  </r>
  <r>
    <n v="297"/>
    <d v="2011-01-13T00:00:00"/>
    <x v="0"/>
    <n v="0"/>
    <n v="1"/>
    <n v="19"/>
    <b v="0"/>
    <n v="4"/>
    <n v="1"/>
    <x v="13"/>
    <x v="20"/>
    <n v="0.47"/>
    <x v="2"/>
    <n v="1"/>
    <n v="98"/>
    <n v="99"/>
    <x v="1"/>
    <x v="0"/>
    <s v="Evening"/>
    <s v="January"/>
    <s v="Spring"/>
    <n v="0.22929155386993369"/>
    <n v="-0.25435329828790432"/>
    <n v="0.10399668008577614"/>
    <n v="0.36604748519325236"/>
  </r>
  <r>
    <n v="298"/>
    <d v="2011-01-13T00:00:00"/>
    <x v="0"/>
    <n v="0"/>
    <n v="1"/>
    <n v="20"/>
    <b v="0"/>
    <n v="4"/>
    <n v="1"/>
    <x v="13"/>
    <x v="20"/>
    <n v="0.47"/>
    <x v="6"/>
    <n v="0"/>
    <n v="64"/>
    <n v="64"/>
    <x v="1"/>
    <x v="0"/>
    <s v="Evening"/>
    <s v="January"/>
    <s v="Spring"/>
    <n v="0.22929155386993369"/>
    <n v="-0.25435329828790432"/>
    <n v="0.10399668008577614"/>
    <n v="0.36604748519325236"/>
  </r>
  <r>
    <n v="299"/>
    <d v="2011-01-13T00:00:00"/>
    <x v="0"/>
    <n v="0"/>
    <n v="1"/>
    <n v="21"/>
    <b v="0"/>
    <n v="4"/>
    <n v="1"/>
    <x v="14"/>
    <x v="16"/>
    <n v="0.46"/>
    <x v="4"/>
    <n v="0"/>
    <n v="40"/>
    <n v="40"/>
    <x v="1"/>
    <x v="0"/>
    <s v="Night"/>
    <s v="January"/>
    <s v="Spring"/>
    <n v="0.22929155386993369"/>
    <n v="-0.25435329828790432"/>
    <n v="0.10399668008577614"/>
    <n v="0.36604748519325236"/>
  </r>
  <r>
    <n v="300"/>
    <d v="2011-01-13T00:00:00"/>
    <x v="0"/>
    <n v="0"/>
    <n v="1"/>
    <n v="22"/>
    <b v="0"/>
    <n v="4"/>
    <n v="1"/>
    <x v="14"/>
    <x v="16"/>
    <n v="0.46"/>
    <x v="9"/>
    <n v="0"/>
    <n v="30"/>
    <n v="30"/>
    <x v="1"/>
    <x v="0"/>
    <s v="Night"/>
    <s v="January"/>
    <s v="Spring"/>
    <n v="0.22929155386993369"/>
    <n v="-0.25435329828790432"/>
    <n v="0.10399668008577614"/>
    <n v="0.36604748519325236"/>
  </r>
  <r>
    <n v="301"/>
    <d v="2011-01-13T00:00:00"/>
    <x v="0"/>
    <n v="0"/>
    <n v="1"/>
    <n v="23"/>
    <b v="0"/>
    <n v="4"/>
    <n v="1"/>
    <x v="16"/>
    <x v="14"/>
    <n v="0.5"/>
    <x v="5"/>
    <n v="1"/>
    <n v="14"/>
    <n v="15"/>
    <x v="1"/>
    <x v="0"/>
    <s v="Night"/>
    <s v="January"/>
    <s v="Spring"/>
    <n v="0.22929155386993369"/>
    <n v="-0.25435329828790432"/>
    <n v="0.10399668008577614"/>
    <n v="0.36604748519325236"/>
  </r>
  <r>
    <n v="302"/>
    <d v="2011-01-14T00:00:00"/>
    <x v="0"/>
    <n v="0"/>
    <n v="1"/>
    <n v="0"/>
    <b v="0"/>
    <n v="5"/>
    <n v="1"/>
    <x v="16"/>
    <x v="14"/>
    <n v="0.5"/>
    <x v="5"/>
    <n v="0"/>
    <n v="14"/>
    <n v="14"/>
    <x v="1"/>
    <x v="0"/>
    <s v="Night"/>
    <s v="January"/>
    <s v="Spring"/>
    <n v="0.22929155386993369"/>
    <n v="-0.25435329828790432"/>
    <n v="0.10399668008577614"/>
    <n v="0.36604748519325236"/>
  </r>
  <r>
    <n v="303"/>
    <d v="2011-01-14T00:00:00"/>
    <x v="0"/>
    <n v="0"/>
    <n v="1"/>
    <n v="1"/>
    <b v="0"/>
    <n v="5"/>
    <n v="1"/>
    <x v="18"/>
    <x v="16"/>
    <n v="0.54"/>
    <x v="8"/>
    <n v="0"/>
    <n v="5"/>
    <n v="5"/>
    <x v="1"/>
    <x v="0"/>
    <s v="Night"/>
    <s v="January"/>
    <s v="Spring"/>
    <n v="0.22929155386993369"/>
    <n v="-0.25435329828790432"/>
    <n v="0.10399668008577614"/>
    <n v="0.36604748519325236"/>
  </r>
  <r>
    <n v="304"/>
    <d v="2011-01-14T00:00:00"/>
    <x v="0"/>
    <n v="0"/>
    <n v="1"/>
    <n v="2"/>
    <b v="0"/>
    <n v="5"/>
    <n v="1"/>
    <x v="18"/>
    <x v="16"/>
    <n v="0.54"/>
    <x v="7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305"/>
    <d v="2011-01-14T00:00:00"/>
    <x v="0"/>
    <n v="0"/>
    <n v="1"/>
    <n v="3"/>
    <b v="0"/>
    <n v="5"/>
    <n v="1"/>
    <x v="18"/>
    <x v="14"/>
    <n v="0.54"/>
    <x v="14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306"/>
    <d v="2011-01-14T00:00:00"/>
    <x v="0"/>
    <n v="0"/>
    <n v="1"/>
    <n v="5"/>
    <b v="0"/>
    <n v="5"/>
    <n v="1"/>
    <x v="18"/>
    <x v="14"/>
    <n v="0.54"/>
    <x v="1"/>
    <n v="0"/>
    <n v="8"/>
    <n v="8"/>
    <x v="1"/>
    <x v="0"/>
    <s v="Night"/>
    <s v="January"/>
    <s v="Spring"/>
    <n v="0.22929155386993369"/>
    <n v="-0.25435329828790432"/>
    <n v="0.10399668008577614"/>
    <n v="0.36604748519325236"/>
  </r>
  <r>
    <n v="307"/>
    <d v="2011-01-14T00:00:00"/>
    <x v="0"/>
    <n v="0"/>
    <n v="1"/>
    <n v="6"/>
    <b v="0"/>
    <n v="5"/>
    <n v="1"/>
    <x v="18"/>
    <x v="18"/>
    <n v="0.54"/>
    <x v="0"/>
    <n v="0"/>
    <n v="17"/>
    <n v="17"/>
    <x v="1"/>
    <x v="0"/>
    <s v="Morning"/>
    <s v="January"/>
    <s v="Spring"/>
    <n v="0.22929155386993369"/>
    <n v="-0.25435329828790432"/>
    <n v="0.10399668008577614"/>
    <n v="0.36604748519325236"/>
  </r>
  <r>
    <n v="308"/>
    <d v="2011-01-14T00:00:00"/>
    <x v="0"/>
    <n v="0"/>
    <n v="1"/>
    <n v="7"/>
    <b v="0"/>
    <n v="5"/>
    <n v="1"/>
    <x v="18"/>
    <x v="16"/>
    <n v="0.74"/>
    <x v="8"/>
    <n v="0"/>
    <n v="70"/>
    <n v="70"/>
    <x v="1"/>
    <x v="0"/>
    <s v="Morning"/>
    <s v="January"/>
    <s v="Spring"/>
    <n v="0.22929155386993369"/>
    <n v="-0.25435329828790432"/>
    <n v="0.10399668008577614"/>
    <n v="0.36604748519325236"/>
  </r>
  <r>
    <n v="309"/>
    <d v="2011-01-14T00:00:00"/>
    <x v="0"/>
    <n v="0"/>
    <n v="1"/>
    <n v="8"/>
    <b v="0"/>
    <n v="5"/>
    <n v="1"/>
    <x v="16"/>
    <x v="17"/>
    <n v="0.68"/>
    <x v="0"/>
    <n v="2"/>
    <n v="156"/>
    <n v="158"/>
    <x v="1"/>
    <x v="0"/>
    <s v="Morning"/>
    <s v="January"/>
    <s v="Spring"/>
    <n v="0.22929155386993369"/>
    <n v="-0.25435329828790432"/>
    <n v="0.10399668008577614"/>
    <n v="0.36604748519325236"/>
  </r>
  <r>
    <n v="310"/>
    <d v="2011-01-14T00:00:00"/>
    <x v="0"/>
    <n v="0"/>
    <n v="1"/>
    <n v="9"/>
    <b v="0"/>
    <n v="5"/>
    <n v="1"/>
    <x v="14"/>
    <x v="20"/>
    <n v="0.69"/>
    <x v="7"/>
    <n v="0"/>
    <n v="117"/>
    <n v="117"/>
    <x v="1"/>
    <x v="0"/>
    <s v="Morning"/>
    <s v="January"/>
    <s v="Spring"/>
    <n v="0.22929155386993369"/>
    <n v="-0.25435329828790432"/>
    <n v="0.10399668008577614"/>
    <n v="0.36604748519325236"/>
  </r>
  <r>
    <n v="311"/>
    <d v="2011-01-14T00:00:00"/>
    <x v="0"/>
    <n v="0"/>
    <n v="1"/>
    <n v="10"/>
    <b v="0"/>
    <n v="5"/>
    <n v="1"/>
    <x v="15"/>
    <x v="18"/>
    <n v="0.55000000000000004"/>
    <x v="5"/>
    <n v="4"/>
    <n v="40"/>
    <n v="44"/>
    <x v="1"/>
    <x v="0"/>
    <s v="Morning"/>
    <s v="January"/>
    <s v="Spring"/>
    <n v="0.22929155386993369"/>
    <n v="-0.25435329828790432"/>
    <n v="0.10399668008577614"/>
    <n v="0.36604748519325236"/>
  </r>
  <r>
    <n v="312"/>
    <d v="2011-01-14T00:00:00"/>
    <x v="0"/>
    <n v="0"/>
    <n v="1"/>
    <n v="11"/>
    <b v="0"/>
    <n v="5"/>
    <n v="1"/>
    <x v="15"/>
    <x v="17"/>
    <n v="0.51"/>
    <x v="3"/>
    <n v="6"/>
    <n v="47"/>
    <n v="53"/>
    <x v="1"/>
    <x v="0"/>
    <s v="Morning"/>
    <s v="January"/>
    <s v="Spring"/>
    <n v="0.22929155386993369"/>
    <n v="-0.25435329828790432"/>
    <n v="0.10399668008577614"/>
    <n v="0.36604748519325236"/>
  </r>
  <r>
    <n v="313"/>
    <d v="2011-01-14T00:00:00"/>
    <x v="0"/>
    <n v="0"/>
    <n v="1"/>
    <n v="12"/>
    <b v="0"/>
    <n v="5"/>
    <n v="1"/>
    <x v="2"/>
    <x v="13"/>
    <n v="0.44"/>
    <x v="2"/>
    <n v="2"/>
    <n v="59"/>
    <n v="61"/>
    <x v="1"/>
    <x v="0"/>
    <s v="Afternoon"/>
    <s v="January"/>
    <s v="Spring"/>
    <n v="0.22929155386993369"/>
    <n v="-0.25435329828790432"/>
    <n v="0.10399668008577614"/>
    <n v="0.36604748519325236"/>
  </r>
  <r>
    <n v="314"/>
    <d v="2011-01-14T00:00:00"/>
    <x v="0"/>
    <n v="0"/>
    <n v="1"/>
    <n v="13"/>
    <b v="0"/>
    <n v="5"/>
    <n v="1"/>
    <x v="1"/>
    <x v="13"/>
    <n v="0.37"/>
    <x v="13"/>
    <n v="4"/>
    <n v="73"/>
    <n v="77"/>
    <x v="1"/>
    <x v="0"/>
    <s v="Afternoon"/>
    <s v="January"/>
    <s v="Spring"/>
    <n v="0.22929155386993369"/>
    <n v="-0.25435329828790432"/>
    <n v="0.10399668008577614"/>
    <n v="0.36604748519325236"/>
  </r>
  <r>
    <n v="315"/>
    <d v="2011-01-14T00:00:00"/>
    <x v="0"/>
    <n v="0"/>
    <n v="1"/>
    <n v="14"/>
    <b v="0"/>
    <n v="5"/>
    <n v="1"/>
    <x v="1"/>
    <x v="12"/>
    <n v="0.41"/>
    <x v="3"/>
    <n v="5"/>
    <n v="59"/>
    <n v="64"/>
    <x v="1"/>
    <x v="0"/>
    <s v="Afternoon"/>
    <s v="January"/>
    <s v="Spring"/>
    <n v="0.22929155386993369"/>
    <n v="-0.25435329828790432"/>
    <n v="0.10399668008577614"/>
    <n v="0.36604748519325236"/>
  </r>
  <r>
    <n v="316"/>
    <d v="2011-01-14T00:00:00"/>
    <x v="0"/>
    <n v="0"/>
    <n v="1"/>
    <n v="15"/>
    <b v="0"/>
    <n v="5"/>
    <n v="1"/>
    <x v="0"/>
    <x v="19"/>
    <n v="0.38"/>
    <x v="8"/>
    <n v="9"/>
    <n v="59"/>
    <n v="68"/>
    <x v="1"/>
    <x v="0"/>
    <s v="Afternoon"/>
    <s v="January"/>
    <s v="Spring"/>
    <n v="0.22929155386993369"/>
    <n v="-0.25435329828790432"/>
    <n v="0.10399668008577614"/>
    <n v="0.36604748519325236"/>
  </r>
  <r>
    <n v="317"/>
    <d v="2011-01-14T00:00:00"/>
    <x v="0"/>
    <n v="0"/>
    <n v="1"/>
    <n v="16"/>
    <b v="0"/>
    <n v="5"/>
    <n v="1"/>
    <x v="1"/>
    <x v="19"/>
    <n v="0.41"/>
    <x v="14"/>
    <n v="3"/>
    <n v="87"/>
    <n v="90"/>
    <x v="1"/>
    <x v="0"/>
    <s v="Afternoon"/>
    <s v="January"/>
    <s v="Spring"/>
    <n v="0.22929155386993369"/>
    <n v="-0.25435329828790432"/>
    <n v="0.10399668008577614"/>
    <n v="0.36604748519325236"/>
  </r>
  <r>
    <n v="318"/>
    <d v="2011-01-14T00:00:00"/>
    <x v="0"/>
    <n v="0"/>
    <n v="1"/>
    <n v="17"/>
    <b v="0"/>
    <n v="5"/>
    <n v="1"/>
    <x v="1"/>
    <x v="11"/>
    <n v="0.41"/>
    <x v="8"/>
    <n v="4"/>
    <n v="155"/>
    <n v="159"/>
    <x v="1"/>
    <x v="0"/>
    <s v="Evening"/>
    <s v="January"/>
    <s v="Spring"/>
    <n v="0.22929155386993369"/>
    <n v="-0.25435329828790432"/>
    <n v="0.10399668008577614"/>
    <n v="0.36604748519325236"/>
  </r>
  <r>
    <n v="319"/>
    <d v="2011-01-14T00:00:00"/>
    <x v="0"/>
    <n v="0"/>
    <n v="1"/>
    <n v="18"/>
    <b v="0"/>
    <n v="5"/>
    <n v="1"/>
    <x v="2"/>
    <x v="2"/>
    <n v="0.47"/>
    <x v="0"/>
    <n v="5"/>
    <n v="134"/>
    <n v="139"/>
    <x v="1"/>
    <x v="0"/>
    <s v="Evening"/>
    <s v="January"/>
    <s v="Spring"/>
    <n v="0.22929155386993369"/>
    <n v="-0.25435329828790432"/>
    <n v="0.10399668008577614"/>
    <n v="0.36604748519325236"/>
  </r>
  <r>
    <n v="320"/>
    <d v="2011-01-14T00:00:00"/>
    <x v="0"/>
    <n v="0"/>
    <n v="1"/>
    <n v="19"/>
    <b v="0"/>
    <n v="5"/>
    <n v="1"/>
    <x v="13"/>
    <x v="13"/>
    <n v="0.59"/>
    <x v="1"/>
    <n v="3"/>
    <n v="89"/>
    <n v="92"/>
    <x v="1"/>
    <x v="0"/>
    <s v="Evening"/>
    <s v="January"/>
    <s v="Spring"/>
    <n v="0.22929155386993369"/>
    <n v="-0.25435329828790432"/>
    <n v="0.10399668008577614"/>
    <n v="0.36604748519325236"/>
  </r>
  <r>
    <n v="321"/>
    <d v="2011-01-14T00:00:00"/>
    <x v="0"/>
    <n v="0"/>
    <n v="1"/>
    <n v="20"/>
    <b v="0"/>
    <n v="5"/>
    <n v="1"/>
    <x v="15"/>
    <x v="19"/>
    <n v="0.59"/>
    <x v="0"/>
    <n v="0"/>
    <n v="68"/>
    <n v="68"/>
    <x v="1"/>
    <x v="0"/>
    <s v="Evening"/>
    <s v="January"/>
    <s v="Spring"/>
    <n v="0.22929155386993369"/>
    <n v="-0.25435329828790432"/>
    <n v="0.10399668008577614"/>
    <n v="0.36604748519325236"/>
  </r>
  <r>
    <n v="322"/>
    <d v="2011-01-14T00:00:00"/>
    <x v="0"/>
    <n v="0"/>
    <n v="1"/>
    <n v="21"/>
    <b v="0"/>
    <n v="5"/>
    <n v="1"/>
    <x v="13"/>
    <x v="11"/>
    <n v="0.69"/>
    <x v="0"/>
    <n v="4"/>
    <n v="48"/>
    <n v="52"/>
    <x v="1"/>
    <x v="0"/>
    <s v="Night"/>
    <s v="January"/>
    <s v="Spring"/>
    <n v="0.22929155386993369"/>
    <n v="-0.25435329828790432"/>
    <n v="0.10399668008577614"/>
    <n v="0.36604748519325236"/>
  </r>
  <r>
    <n v="323"/>
    <d v="2011-01-14T00:00:00"/>
    <x v="0"/>
    <n v="0"/>
    <n v="1"/>
    <n v="22"/>
    <b v="0"/>
    <n v="5"/>
    <n v="2"/>
    <x v="13"/>
    <x v="11"/>
    <n v="0.69"/>
    <x v="0"/>
    <n v="2"/>
    <n v="34"/>
    <n v="36"/>
    <x v="1"/>
    <x v="1"/>
    <s v="Night"/>
    <s v="January"/>
    <s v="Spring"/>
    <n v="0.22929155386993369"/>
    <n v="-0.25435329828790432"/>
    <n v="0.10399668008577614"/>
    <n v="0.36604748519325236"/>
  </r>
  <r>
    <n v="324"/>
    <d v="2011-01-14T00:00:00"/>
    <x v="0"/>
    <n v="0"/>
    <n v="1"/>
    <n v="23"/>
    <b v="0"/>
    <n v="5"/>
    <n v="2"/>
    <x v="15"/>
    <x v="19"/>
    <n v="0.55000000000000004"/>
    <x v="0"/>
    <n v="1"/>
    <n v="26"/>
    <n v="27"/>
    <x v="1"/>
    <x v="1"/>
    <s v="Night"/>
    <s v="January"/>
    <s v="Spring"/>
    <n v="0.22929155386993369"/>
    <n v="-0.25435329828790432"/>
    <n v="0.10399668008577614"/>
    <n v="0.36604748519325236"/>
  </r>
  <r>
    <n v="325"/>
    <d v="2011-01-15T00:00:00"/>
    <x v="0"/>
    <n v="0"/>
    <n v="1"/>
    <n v="0"/>
    <b v="0"/>
    <n v="6"/>
    <n v="1"/>
    <x v="15"/>
    <x v="19"/>
    <n v="0.55000000000000004"/>
    <x v="0"/>
    <n v="3"/>
    <n v="25"/>
    <n v="28"/>
    <x v="0"/>
    <x v="0"/>
    <s v="Night"/>
    <s v="January"/>
    <s v="Spring"/>
    <n v="0.22929155386993369"/>
    <n v="-0.25435329828790432"/>
    <n v="0.10399668008577614"/>
    <n v="0.36604748519325236"/>
  </r>
  <r>
    <n v="326"/>
    <d v="2011-01-15T00:00:00"/>
    <x v="0"/>
    <n v="0"/>
    <n v="1"/>
    <n v="1"/>
    <b v="0"/>
    <n v="6"/>
    <n v="2"/>
    <x v="13"/>
    <x v="13"/>
    <n v="0.59"/>
    <x v="1"/>
    <n v="2"/>
    <n v="18"/>
    <n v="20"/>
    <x v="0"/>
    <x v="1"/>
    <s v="Night"/>
    <s v="January"/>
    <s v="Spring"/>
    <n v="0.22929155386993369"/>
    <n v="-0.25435329828790432"/>
    <n v="0.10399668008577614"/>
    <n v="0.36604748519325236"/>
  </r>
  <r>
    <n v="327"/>
    <d v="2011-01-15T00:00:00"/>
    <x v="0"/>
    <n v="0"/>
    <n v="1"/>
    <n v="2"/>
    <b v="0"/>
    <n v="6"/>
    <n v="2"/>
    <x v="13"/>
    <x v="13"/>
    <n v="0.59"/>
    <x v="1"/>
    <n v="0"/>
    <n v="12"/>
    <n v="12"/>
    <x v="0"/>
    <x v="1"/>
    <s v="Night"/>
    <s v="January"/>
    <s v="Spring"/>
    <n v="0.22929155386993369"/>
    <n v="-0.25435329828790432"/>
    <n v="0.10399668008577614"/>
    <n v="0.36604748519325236"/>
  </r>
  <r>
    <n v="328"/>
    <d v="2011-01-15T00:00:00"/>
    <x v="0"/>
    <n v="0"/>
    <n v="1"/>
    <n v="3"/>
    <b v="0"/>
    <n v="6"/>
    <n v="2"/>
    <x v="13"/>
    <x v="11"/>
    <n v="0.59"/>
    <x v="0"/>
    <n v="1"/>
    <n v="7"/>
    <n v="8"/>
    <x v="0"/>
    <x v="1"/>
    <s v="Night"/>
    <s v="January"/>
    <s v="Spring"/>
    <n v="0.22929155386993369"/>
    <n v="-0.25435329828790432"/>
    <n v="0.10399668008577614"/>
    <n v="0.36604748519325236"/>
  </r>
  <r>
    <n v="329"/>
    <d v="2011-01-15T00:00:00"/>
    <x v="0"/>
    <n v="0"/>
    <n v="1"/>
    <n v="4"/>
    <b v="0"/>
    <n v="6"/>
    <n v="2"/>
    <x v="13"/>
    <x v="11"/>
    <n v="0.59"/>
    <x v="0"/>
    <n v="0"/>
    <n v="5"/>
    <n v="5"/>
    <x v="0"/>
    <x v="1"/>
    <s v="Night"/>
    <s v="January"/>
    <s v="Spring"/>
    <n v="0.22929155386993369"/>
    <n v="-0.25435329828790432"/>
    <n v="0.10399668008577614"/>
    <n v="0.36604748519325236"/>
  </r>
  <r>
    <n v="330"/>
    <d v="2011-01-15T00:00:00"/>
    <x v="0"/>
    <n v="0"/>
    <n v="1"/>
    <n v="5"/>
    <b v="0"/>
    <n v="6"/>
    <n v="1"/>
    <x v="13"/>
    <x v="11"/>
    <n v="0.59"/>
    <x v="0"/>
    <n v="0"/>
    <n v="1"/>
    <n v="1"/>
    <x v="0"/>
    <x v="0"/>
    <s v="Night"/>
    <s v="January"/>
    <s v="Spring"/>
    <n v="0.22929155386993369"/>
    <n v="-0.25435329828790432"/>
    <n v="0.10399668008577614"/>
    <n v="0.36604748519325236"/>
  </r>
  <r>
    <n v="331"/>
    <d v="2011-01-15T00:00:00"/>
    <x v="0"/>
    <n v="0"/>
    <n v="1"/>
    <n v="6"/>
    <b v="0"/>
    <n v="6"/>
    <n v="1"/>
    <x v="14"/>
    <x v="17"/>
    <n v="0.63"/>
    <x v="14"/>
    <n v="1"/>
    <n v="2"/>
    <n v="3"/>
    <x v="0"/>
    <x v="0"/>
    <s v="Morning"/>
    <s v="January"/>
    <s v="Spring"/>
    <n v="0.22929155386993369"/>
    <n v="-0.25435329828790432"/>
    <n v="0.10399668008577614"/>
    <n v="0.36604748519325236"/>
  </r>
  <r>
    <n v="332"/>
    <d v="2011-01-15T00:00:00"/>
    <x v="0"/>
    <n v="0"/>
    <n v="1"/>
    <n v="7"/>
    <b v="0"/>
    <n v="6"/>
    <n v="1"/>
    <x v="14"/>
    <x v="12"/>
    <n v="0.63"/>
    <x v="0"/>
    <n v="1"/>
    <n v="9"/>
    <n v="10"/>
    <x v="0"/>
    <x v="0"/>
    <s v="Morning"/>
    <s v="January"/>
    <s v="Spring"/>
    <n v="0.22929155386993369"/>
    <n v="-0.25435329828790432"/>
    <n v="0.10399668008577614"/>
    <n v="0.36604748519325236"/>
  </r>
  <r>
    <n v="333"/>
    <d v="2011-01-15T00:00:00"/>
    <x v="0"/>
    <n v="0"/>
    <n v="1"/>
    <n v="8"/>
    <b v="0"/>
    <n v="6"/>
    <n v="1"/>
    <x v="14"/>
    <x v="20"/>
    <n v="0.63"/>
    <x v="7"/>
    <n v="1"/>
    <n v="22"/>
    <n v="23"/>
    <x v="0"/>
    <x v="0"/>
    <s v="Morning"/>
    <s v="January"/>
    <s v="Spring"/>
    <n v="0.22929155386993369"/>
    <n v="-0.25435329828790432"/>
    <n v="0.10399668008577614"/>
    <n v="0.36604748519325236"/>
  </r>
  <r>
    <n v="334"/>
    <d v="2011-01-15T00:00:00"/>
    <x v="0"/>
    <n v="0"/>
    <n v="1"/>
    <n v="9"/>
    <b v="0"/>
    <n v="6"/>
    <n v="1"/>
    <x v="13"/>
    <x v="18"/>
    <n v="0.64"/>
    <x v="7"/>
    <n v="2"/>
    <n v="31"/>
    <n v="33"/>
    <x v="0"/>
    <x v="0"/>
    <s v="Morning"/>
    <s v="January"/>
    <s v="Spring"/>
    <n v="0.22929155386993369"/>
    <n v="-0.25435329828790432"/>
    <n v="0.10399668008577614"/>
    <n v="0.36604748519325236"/>
  </r>
  <r>
    <n v="335"/>
    <d v="2011-01-15T00:00:00"/>
    <x v="0"/>
    <n v="0"/>
    <n v="1"/>
    <n v="10"/>
    <b v="0"/>
    <n v="6"/>
    <n v="1"/>
    <x v="15"/>
    <x v="13"/>
    <n v="0.59"/>
    <x v="8"/>
    <n v="2"/>
    <n v="57"/>
    <n v="59"/>
    <x v="0"/>
    <x v="0"/>
    <s v="Morning"/>
    <s v="January"/>
    <s v="Spring"/>
    <n v="0.22929155386993369"/>
    <n v="-0.25435329828790432"/>
    <n v="0.10399668008577614"/>
    <n v="0.36604748519325236"/>
  </r>
  <r>
    <n v="336"/>
    <d v="2011-01-15T00:00:00"/>
    <x v="0"/>
    <n v="0"/>
    <n v="1"/>
    <n v="11"/>
    <b v="0"/>
    <n v="6"/>
    <n v="1"/>
    <x v="2"/>
    <x v="13"/>
    <n v="0.55000000000000004"/>
    <x v="6"/>
    <n v="18"/>
    <n v="54"/>
    <n v="72"/>
    <x v="0"/>
    <x v="0"/>
    <s v="Morning"/>
    <s v="January"/>
    <s v="Spring"/>
    <n v="0.22929155386993369"/>
    <n v="-0.25435329828790432"/>
    <n v="0.10399668008577614"/>
    <n v="0.36604748519325236"/>
  </r>
  <r>
    <n v="337"/>
    <d v="2011-01-15T00:00:00"/>
    <x v="0"/>
    <n v="0"/>
    <n v="1"/>
    <n v="12"/>
    <b v="0"/>
    <n v="6"/>
    <n v="1"/>
    <x v="0"/>
    <x v="11"/>
    <n v="0.48"/>
    <x v="6"/>
    <n v="15"/>
    <n v="74"/>
    <n v="89"/>
    <x v="0"/>
    <x v="0"/>
    <s v="Afternoon"/>
    <s v="January"/>
    <s v="Spring"/>
    <n v="0.22929155386993369"/>
    <n v="-0.25435329828790432"/>
    <n v="0.10399668008577614"/>
    <n v="0.36604748519325236"/>
  </r>
  <r>
    <n v="338"/>
    <d v="2011-01-15T00:00:00"/>
    <x v="0"/>
    <n v="0"/>
    <n v="1"/>
    <n v="13"/>
    <b v="0"/>
    <n v="6"/>
    <n v="1"/>
    <x v="17"/>
    <x v="2"/>
    <n v="0.38"/>
    <x v="4"/>
    <n v="21"/>
    <n v="80"/>
    <n v="101"/>
    <x v="0"/>
    <x v="0"/>
    <s v="Afternoon"/>
    <s v="January"/>
    <s v="Spring"/>
    <n v="0.22929155386993369"/>
    <n v="-0.25435329828790432"/>
    <n v="0.10399668008577614"/>
    <n v="0.36604748519325236"/>
  </r>
  <r>
    <n v="339"/>
    <d v="2011-01-15T00:00:00"/>
    <x v="0"/>
    <n v="0"/>
    <n v="1"/>
    <n v="14"/>
    <b v="0"/>
    <n v="6"/>
    <n v="1"/>
    <x v="11"/>
    <x v="0"/>
    <n v="0.39"/>
    <x v="3"/>
    <n v="26"/>
    <n v="92"/>
    <n v="118"/>
    <x v="0"/>
    <x v="0"/>
    <s v="Afternoon"/>
    <s v="January"/>
    <s v="Spring"/>
    <n v="0.22929155386993369"/>
    <n v="-0.25435329828790432"/>
    <n v="0.10399668008577614"/>
    <n v="0.36604748519325236"/>
  </r>
  <r>
    <n v="340"/>
    <d v="2011-01-15T00:00:00"/>
    <x v="0"/>
    <n v="0"/>
    <n v="1"/>
    <n v="15"/>
    <b v="0"/>
    <n v="6"/>
    <n v="2"/>
    <x v="3"/>
    <x v="21"/>
    <n v="0.36"/>
    <x v="5"/>
    <n v="21"/>
    <n v="108"/>
    <n v="129"/>
    <x v="0"/>
    <x v="1"/>
    <s v="Afternoon"/>
    <s v="January"/>
    <s v="Spring"/>
    <n v="0.22929155386993369"/>
    <n v="-0.25435329828790432"/>
    <n v="0.10399668008577614"/>
    <n v="0.36604748519325236"/>
  </r>
  <r>
    <n v="341"/>
    <d v="2011-01-15T00:00:00"/>
    <x v="0"/>
    <n v="0"/>
    <n v="1"/>
    <n v="16"/>
    <b v="0"/>
    <n v="6"/>
    <n v="2"/>
    <x v="10"/>
    <x v="6"/>
    <n v="0.34"/>
    <x v="5"/>
    <n v="33"/>
    <n v="95"/>
    <n v="128"/>
    <x v="0"/>
    <x v="1"/>
    <s v="Afternoon"/>
    <s v="January"/>
    <s v="Spring"/>
    <n v="0.22929155386993369"/>
    <n v="-0.25435329828790432"/>
    <n v="0.10399668008577614"/>
    <n v="0.36604748519325236"/>
  </r>
  <r>
    <n v="342"/>
    <d v="2011-01-15T00:00:00"/>
    <x v="0"/>
    <n v="0"/>
    <n v="1"/>
    <n v="17"/>
    <b v="0"/>
    <n v="6"/>
    <n v="2"/>
    <x v="3"/>
    <x v="25"/>
    <n v="0.36"/>
    <x v="3"/>
    <n v="29"/>
    <n v="54"/>
    <n v="83"/>
    <x v="0"/>
    <x v="1"/>
    <s v="Evening"/>
    <s v="January"/>
    <s v="Spring"/>
    <n v="0.22929155386993369"/>
    <n v="-0.25435329828790432"/>
    <n v="0.10399668008577614"/>
    <n v="0.36604748519325236"/>
  </r>
  <r>
    <n v="343"/>
    <d v="2011-01-15T00:00:00"/>
    <x v="0"/>
    <n v="0"/>
    <n v="1"/>
    <n v="18"/>
    <b v="0"/>
    <n v="6"/>
    <n v="2"/>
    <x v="11"/>
    <x v="0"/>
    <n v="0.45"/>
    <x v="2"/>
    <n v="15"/>
    <n v="69"/>
    <n v="84"/>
    <x v="0"/>
    <x v="1"/>
    <s v="Evening"/>
    <s v="January"/>
    <s v="Spring"/>
    <n v="0.22929155386993369"/>
    <n v="-0.25435329828790432"/>
    <n v="0.10399668008577614"/>
    <n v="0.36604748519325236"/>
  </r>
  <r>
    <n v="344"/>
    <d v="2011-01-15T00:00:00"/>
    <x v="0"/>
    <n v="0"/>
    <n v="1"/>
    <n v="19"/>
    <b v="0"/>
    <n v="6"/>
    <n v="2"/>
    <x v="3"/>
    <x v="25"/>
    <n v="0.39"/>
    <x v="2"/>
    <n v="14"/>
    <n v="60"/>
    <n v="74"/>
    <x v="0"/>
    <x v="1"/>
    <s v="Evening"/>
    <s v="January"/>
    <s v="Spring"/>
    <n v="0.22929155386993369"/>
    <n v="-0.25435329828790432"/>
    <n v="0.10399668008577614"/>
    <n v="0.36604748519325236"/>
  </r>
  <r>
    <n v="345"/>
    <d v="2011-01-15T00:00:00"/>
    <x v="0"/>
    <n v="0"/>
    <n v="1"/>
    <n v="20"/>
    <b v="0"/>
    <n v="6"/>
    <n v="2"/>
    <x v="3"/>
    <x v="25"/>
    <n v="0.39"/>
    <x v="2"/>
    <n v="6"/>
    <n v="35"/>
    <n v="41"/>
    <x v="0"/>
    <x v="1"/>
    <s v="Evening"/>
    <s v="January"/>
    <s v="Spring"/>
    <n v="0.22929155386993369"/>
    <n v="-0.25435329828790432"/>
    <n v="0.10399668008577614"/>
    <n v="0.36604748519325236"/>
  </r>
  <r>
    <n v="346"/>
    <d v="2011-01-15T00:00:00"/>
    <x v="0"/>
    <n v="0"/>
    <n v="1"/>
    <n v="21"/>
    <b v="0"/>
    <n v="6"/>
    <n v="2"/>
    <x v="3"/>
    <x v="25"/>
    <n v="0.39"/>
    <x v="6"/>
    <n v="6"/>
    <n v="51"/>
    <n v="57"/>
    <x v="0"/>
    <x v="1"/>
    <s v="Night"/>
    <s v="January"/>
    <s v="Spring"/>
    <n v="0.22929155386993369"/>
    <n v="-0.25435329828790432"/>
    <n v="0.10399668008577614"/>
    <n v="0.36604748519325236"/>
  </r>
  <r>
    <n v="347"/>
    <d v="2011-01-15T00:00:00"/>
    <x v="0"/>
    <n v="0"/>
    <n v="1"/>
    <n v="22"/>
    <b v="0"/>
    <n v="6"/>
    <n v="2"/>
    <x v="11"/>
    <x v="21"/>
    <n v="0.42"/>
    <x v="14"/>
    <n v="0"/>
    <n v="26"/>
    <n v="26"/>
    <x v="0"/>
    <x v="1"/>
    <s v="Night"/>
    <s v="January"/>
    <s v="Spring"/>
    <n v="0.22929155386993369"/>
    <n v="-0.25435329828790432"/>
    <n v="0.10399668008577614"/>
    <n v="0.36604748519325236"/>
  </r>
  <r>
    <n v="348"/>
    <d v="2011-01-15T00:00:00"/>
    <x v="0"/>
    <n v="0"/>
    <n v="1"/>
    <n v="23"/>
    <b v="0"/>
    <n v="6"/>
    <n v="1"/>
    <x v="11"/>
    <x v="0"/>
    <n v="0.45"/>
    <x v="3"/>
    <n v="5"/>
    <n v="39"/>
    <n v="44"/>
    <x v="0"/>
    <x v="0"/>
    <s v="Night"/>
    <s v="January"/>
    <s v="Spring"/>
    <n v="0.22929155386993369"/>
    <n v="-0.25435329828790432"/>
    <n v="0.10399668008577614"/>
    <n v="0.36604748519325236"/>
  </r>
  <r>
    <n v="349"/>
    <d v="2011-01-16T00:00:00"/>
    <x v="0"/>
    <n v="0"/>
    <n v="1"/>
    <n v="0"/>
    <b v="0"/>
    <n v="0"/>
    <n v="1"/>
    <x v="12"/>
    <x v="25"/>
    <n v="0.56000000000000005"/>
    <x v="0"/>
    <n v="6"/>
    <n v="33"/>
    <n v="39"/>
    <x v="0"/>
    <x v="0"/>
    <s v="Night"/>
    <s v="January"/>
    <s v="Spring"/>
    <n v="0.22929155386993369"/>
    <n v="-0.25435329828790432"/>
    <n v="0.10399668008577614"/>
    <n v="0.36604748519325236"/>
  </r>
  <r>
    <n v="350"/>
    <d v="2011-01-16T00:00:00"/>
    <x v="0"/>
    <n v="0"/>
    <n v="1"/>
    <n v="1"/>
    <b v="0"/>
    <n v="0"/>
    <n v="1"/>
    <x v="12"/>
    <x v="1"/>
    <n v="0.56000000000000005"/>
    <x v="7"/>
    <n v="4"/>
    <n v="19"/>
    <n v="23"/>
    <x v="0"/>
    <x v="0"/>
    <s v="Night"/>
    <s v="January"/>
    <s v="Spring"/>
    <n v="0.22929155386993369"/>
    <n v="-0.25435329828790432"/>
    <n v="0.10399668008577614"/>
    <n v="0.36604748519325236"/>
  </r>
  <r>
    <n v="351"/>
    <d v="2011-01-16T00:00:00"/>
    <x v="0"/>
    <n v="0"/>
    <n v="1"/>
    <n v="2"/>
    <b v="0"/>
    <n v="0"/>
    <n v="1"/>
    <x v="12"/>
    <x v="0"/>
    <n v="0.56000000000000005"/>
    <x v="1"/>
    <n v="3"/>
    <n v="13"/>
    <n v="16"/>
    <x v="0"/>
    <x v="0"/>
    <s v="Night"/>
    <s v="January"/>
    <s v="Spring"/>
    <n v="0.22929155386993369"/>
    <n v="-0.25435329828790432"/>
    <n v="0.10399668008577614"/>
    <n v="0.36604748519325236"/>
  </r>
  <r>
    <n v="352"/>
    <d v="2011-01-16T00:00:00"/>
    <x v="0"/>
    <n v="0"/>
    <n v="1"/>
    <n v="3"/>
    <b v="0"/>
    <n v="0"/>
    <n v="1"/>
    <x v="1"/>
    <x v="1"/>
    <n v="0.69"/>
    <x v="0"/>
    <n v="9"/>
    <n v="6"/>
    <n v="15"/>
    <x v="0"/>
    <x v="0"/>
    <s v="Night"/>
    <s v="January"/>
    <s v="Spring"/>
    <n v="0.22929155386993369"/>
    <n v="-0.25435329828790432"/>
    <n v="0.10399668008577614"/>
    <n v="0.36604748519325236"/>
  </r>
  <r>
    <n v="353"/>
    <d v="2011-01-16T00:00:00"/>
    <x v="0"/>
    <n v="0"/>
    <n v="1"/>
    <n v="4"/>
    <b v="0"/>
    <n v="0"/>
    <n v="1"/>
    <x v="12"/>
    <x v="2"/>
    <n v="0.56000000000000005"/>
    <x v="8"/>
    <n v="0"/>
    <n v="1"/>
    <n v="1"/>
    <x v="0"/>
    <x v="0"/>
    <s v="Night"/>
    <s v="January"/>
    <s v="Spring"/>
    <n v="0.22929155386993369"/>
    <n v="-0.25435329828790432"/>
    <n v="0.10399668008577614"/>
    <n v="0.36604748519325236"/>
  </r>
  <r>
    <n v="354"/>
    <d v="2011-01-16T00:00:00"/>
    <x v="0"/>
    <n v="0"/>
    <n v="1"/>
    <n v="5"/>
    <b v="0"/>
    <n v="0"/>
    <n v="2"/>
    <x v="12"/>
    <x v="2"/>
    <n v="0.56000000000000005"/>
    <x v="8"/>
    <n v="1"/>
    <n v="1"/>
    <n v="2"/>
    <x v="0"/>
    <x v="1"/>
    <s v="Night"/>
    <s v="January"/>
    <s v="Spring"/>
    <n v="0.22929155386993369"/>
    <n v="-0.25435329828790432"/>
    <n v="0.10399668008577614"/>
    <n v="0.36604748519325236"/>
  </r>
  <r>
    <n v="355"/>
    <d v="2011-01-16T00:00:00"/>
    <x v="0"/>
    <n v="0"/>
    <n v="1"/>
    <n v="6"/>
    <b v="0"/>
    <n v="0"/>
    <n v="2"/>
    <x v="12"/>
    <x v="2"/>
    <n v="0.56000000000000005"/>
    <x v="8"/>
    <n v="0"/>
    <n v="1"/>
    <n v="1"/>
    <x v="0"/>
    <x v="1"/>
    <s v="Morning"/>
    <s v="January"/>
    <s v="Spring"/>
    <n v="0.22929155386993369"/>
    <n v="-0.25435329828790432"/>
    <n v="0.10399668008577614"/>
    <n v="0.36604748519325236"/>
  </r>
  <r>
    <n v="356"/>
    <d v="2011-01-16T00:00:00"/>
    <x v="0"/>
    <n v="0"/>
    <n v="1"/>
    <n v="7"/>
    <b v="0"/>
    <n v="0"/>
    <n v="2"/>
    <x v="0"/>
    <x v="12"/>
    <n v="0.56000000000000005"/>
    <x v="4"/>
    <n v="0"/>
    <n v="3"/>
    <n v="3"/>
    <x v="0"/>
    <x v="1"/>
    <s v="Morning"/>
    <s v="January"/>
    <s v="Spring"/>
    <n v="0.22929155386993369"/>
    <n v="-0.25435329828790432"/>
    <n v="0.10399668008577614"/>
    <n v="0.36604748519325236"/>
  </r>
  <r>
    <n v="357"/>
    <d v="2011-01-16T00:00:00"/>
    <x v="0"/>
    <n v="0"/>
    <n v="1"/>
    <n v="8"/>
    <b v="0"/>
    <n v="0"/>
    <n v="1"/>
    <x v="1"/>
    <x v="12"/>
    <n v="0.55000000000000004"/>
    <x v="3"/>
    <n v="0"/>
    <n v="18"/>
    <n v="18"/>
    <x v="0"/>
    <x v="0"/>
    <s v="Morning"/>
    <s v="January"/>
    <s v="Spring"/>
    <n v="0.22929155386993369"/>
    <n v="-0.25435329828790432"/>
    <n v="0.10399668008577614"/>
    <n v="0.36604748519325236"/>
  </r>
  <r>
    <n v="358"/>
    <d v="2011-01-16T00:00:00"/>
    <x v="0"/>
    <n v="0"/>
    <n v="1"/>
    <n v="9"/>
    <b v="0"/>
    <n v="0"/>
    <n v="1"/>
    <x v="1"/>
    <x v="12"/>
    <n v="0.51"/>
    <x v="2"/>
    <n v="3"/>
    <n v="29"/>
    <n v="32"/>
    <x v="0"/>
    <x v="0"/>
    <s v="Morning"/>
    <s v="January"/>
    <s v="Spring"/>
    <n v="0.22929155386993369"/>
    <n v="-0.25435329828790432"/>
    <n v="0.10399668008577614"/>
    <n v="0.36604748519325236"/>
  </r>
  <r>
    <n v="359"/>
    <d v="2011-01-16T00:00:00"/>
    <x v="0"/>
    <n v="0"/>
    <n v="1"/>
    <n v="10"/>
    <b v="0"/>
    <n v="0"/>
    <n v="1"/>
    <x v="1"/>
    <x v="12"/>
    <n v="0.51"/>
    <x v="3"/>
    <n v="8"/>
    <n v="71"/>
    <n v="79"/>
    <x v="0"/>
    <x v="0"/>
    <s v="Morning"/>
    <s v="January"/>
    <s v="Spring"/>
    <n v="0.22929155386993369"/>
    <n v="-0.25435329828790432"/>
    <n v="0.10399668008577614"/>
    <n v="0.36604748519325236"/>
  </r>
  <r>
    <n v="360"/>
    <d v="2011-01-16T00:00:00"/>
    <x v="0"/>
    <n v="0"/>
    <n v="1"/>
    <n v="11"/>
    <b v="0"/>
    <n v="0"/>
    <n v="1"/>
    <x v="0"/>
    <x v="11"/>
    <n v="0.44"/>
    <x v="2"/>
    <n v="23"/>
    <n v="70"/>
    <n v="93"/>
    <x v="0"/>
    <x v="0"/>
    <s v="Morning"/>
    <s v="January"/>
    <s v="Spring"/>
    <n v="0.22929155386993369"/>
    <n v="-0.25435329828790432"/>
    <n v="0.10399668008577614"/>
    <n v="0.36604748519325236"/>
  </r>
  <r>
    <n v="361"/>
    <d v="2011-01-16T00:00:00"/>
    <x v="0"/>
    <n v="0"/>
    <n v="1"/>
    <n v="12"/>
    <b v="0"/>
    <n v="0"/>
    <n v="1"/>
    <x v="0"/>
    <x v="12"/>
    <n v="0.41"/>
    <x v="3"/>
    <n v="29"/>
    <n v="75"/>
    <n v="104"/>
    <x v="0"/>
    <x v="0"/>
    <s v="Afternoon"/>
    <s v="January"/>
    <s v="Spring"/>
    <n v="0.22929155386993369"/>
    <n v="-0.25435329828790432"/>
    <n v="0.10399668008577614"/>
    <n v="0.36604748519325236"/>
  </r>
  <r>
    <n v="362"/>
    <d v="2011-01-16T00:00:00"/>
    <x v="0"/>
    <n v="0"/>
    <n v="1"/>
    <n v="13"/>
    <b v="0"/>
    <n v="0"/>
    <n v="1"/>
    <x v="12"/>
    <x v="11"/>
    <n v="0.35"/>
    <x v="4"/>
    <n v="23"/>
    <n v="95"/>
    <n v="118"/>
    <x v="0"/>
    <x v="0"/>
    <s v="Afternoon"/>
    <s v="January"/>
    <s v="Spring"/>
    <n v="0.22929155386993369"/>
    <n v="-0.25435329828790432"/>
    <n v="0.10399668008577614"/>
    <n v="0.36604748519325236"/>
  </r>
  <r>
    <n v="363"/>
    <d v="2011-01-16T00:00:00"/>
    <x v="0"/>
    <n v="0"/>
    <n v="1"/>
    <n v="14"/>
    <b v="0"/>
    <n v="0"/>
    <n v="1"/>
    <x v="17"/>
    <x v="1"/>
    <n v="0.36"/>
    <x v="2"/>
    <n v="22"/>
    <n v="69"/>
    <n v="91"/>
    <x v="0"/>
    <x v="0"/>
    <s v="Afternoon"/>
    <s v="January"/>
    <s v="Spring"/>
    <n v="0.22929155386993369"/>
    <n v="-0.25435329828790432"/>
    <n v="0.10399668008577614"/>
    <n v="0.36604748519325236"/>
  </r>
  <r>
    <n v="364"/>
    <d v="2011-01-16T00:00:00"/>
    <x v="0"/>
    <n v="0"/>
    <n v="1"/>
    <n v="15"/>
    <b v="0"/>
    <n v="0"/>
    <n v="1"/>
    <x v="12"/>
    <x v="19"/>
    <n v="0.38"/>
    <x v="2"/>
    <n v="35"/>
    <n v="78"/>
    <n v="113"/>
    <x v="0"/>
    <x v="0"/>
    <s v="Afternoon"/>
    <s v="January"/>
    <s v="Spring"/>
    <n v="0.22929155386993369"/>
    <n v="-0.25435329828790432"/>
    <n v="0.10399668008577614"/>
    <n v="0.36604748519325236"/>
  </r>
  <r>
    <n v="365"/>
    <d v="2011-01-16T00:00:00"/>
    <x v="0"/>
    <n v="0"/>
    <n v="1"/>
    <n v="16"/>
    <b v="0"/>
    <n v="0"/>
    <n v="1"/>
    <x v="0"/>
    <x v="11"/>
    <n v="0.38"/>
    <x v="6"/>
    <n v="22"/>
    <n v="77"/>
    <n v="99"/>
    <x v="0"/>
    <x v="0"/>
    <s v="Afternoon"/>
    <s v="January"/>
    <s v="Spring"/>
    <n v="0.22929155386993369"/>
    <n v="-0.25435329828790432"/>
    <n v="0.10399668008577614"/>
    <n v="0.36604748519325236"/>
  </r>
  <r>
    <n v="366"/>
    <d v="2011-01-16T00:00:00"/>
    <x v="0"/>
    <n v="0"/>
    <n v="1"/>
    <n v="17"/>
    <b v="0"/>
    <n v="0"/>
    <n v="1"/>
    <x v="1"/>
    <x v="12"/>
    <n v="0.37"/>
    <x v="2"/>
    <n v="23"/>
    <n v="82"/>
    <n v="105"/>
    <x v="0"/>
    <x v="0"/>
    <s v="Evening"/>
    <s v="January"/>
    <s v="Spring"/>
    <n v="0.22929155386993369"/>
    <n v="-0.25435329828790432"/>
    <n v="0.10399668008577614"/>
    <n v="0.36604748519325236"/>
  </r>
  <r>
    <n v="367"/>
    <d v="2011-01-16T00:00:00"/>
    <x v="0"/>
    <n v="0"/>
    <n v="1"/>
    <n v="18"/>
    <b v="0"/>
    <n v="0"/>
    <n v="1"/>
    <x v="2"/>
    <x v="12"/>
    <n v="0.4"/>
    <x v="8"/>
    <n v="11"/>
    <n v="56"/>
    <n v="67"/>
    <x v="0"/>
    <x v="0"/>
    <s v="Evening"/>
    <s v="January"/>
    <s v="Spring"/>
    <n v="0.22929155386993369"/>
    <n v="-0.25435329828790432"/>
    <n v="0.10399668008577614"/>
    <n v="0.36604748519325236"/>
  </r>
  <r>
    <n v="368"/>
    <d v="2011-01-16T00:00:00"/>
    <x v="0"/>
    <n v="0"/>
    <n v="1"/>
    <n v="19"/>
    <b v="0"/>
    <n v="0"/>
    <n v="1"/>
    <x v="15"/>
    <x v="13"/>
    <n v="0.47"/>
    <x v="7"/>
    <n v="14"/>
    <n v="47"/>
    <n v="61"/>
    <x v="0"/>
    <x v="0"/>
    <s v="Evening"/>
    <s v="January"/>
    <s v="Spring"/>
    <n v="0.22929155386993369"/>
    <n v="-0.25435329828790432"/>
    <n v="0.10399668008577614"/>
    <n v="0.36604748519325236"/>
  </r>
  <r>
    <n v="369"/>
    <d v="2011-01-16T00:00:00"/>
    <x v="0"/>
    <n v="0"/>
    <n v="1"/>
    <n v="20"/>
    <b v="0"/>
    <n v="0"/>
    <n v="1"/>
    <x v="15"/>
    <x v="13"/>
    <n v="0.47"/>
    <x v="8"/>
    <n v="7"/>
    <n v="50"/>
    <n v="57"/>
    <x v="0"/>
    <x v="0"/>
    <s v="Evening"/>
    <s v="January"/>
    <s v="Spring"/>
    <n v="0.22929155386993369"/>
    <n v="-0.25435329828790432"/>
    <n v="0.10399668008577614"/>
    <n v="0.36604748519325236"/>
  </r>
  <r>
    <n v="370"/>
    <d v="2011-01-16T00:00:00"/>
    <x v="0"/>
    <n v="0"/>
    <n v="1"/>
    <n v="21"/>
    <b v="0"/>
    <n v="0"/>
    <n v="1"/>
    <x v="15"/>
    <x v="13"/>
    <n v="0.51"/>
    <x v="8"/>
    <n v="6"/>
    <n v="22"/>
    <n v="28"/>
    <x v="0"/>
    <x v="0"/>
    <s v="Night"/>
    <s v="January"/>
    <s v="Spring"/>
    <n v="0.22929155386993369"/>
    <n v="-0.25435329828790432"/>
    <n v="0.10399668008577614"/>
    <n v="0.36604748519325236"/>
  </r>
  <r>
    <n v="371"/>
    <d v="2011-01-16T00:00:00"/>
    <x v="0"/>
    <n v="0"/>
    <n v="1"/>
    <n v="22"/>
    <b v="0"/>
    <n v="0"/>
    <n v="2"/>
    <x v="2"/>
    <x v="12"/>
    <n v="0.49"/>
    <x v="7"/>
    <n v="2"/>
    <n v="19"/>
    <n v="21"/>
    <x v="0"/>
    <x v="1"/>
    <s v="Night"/>
    <s v="January"/>
    <s v="Spring"/>
    <n v="0.22929155386993369"/>
    <n v="-0.25435329828790432"/>
    <n v="0.10399668008577614"/>
    <n v="0.36604748519325236"/>
  </r>
  <r>
    <n v="372"/>
    <d v="2011-01-16T00:00:00"/>
    <x v="0"/>
    <n v="0"/>
    <n v="1"/>
    <n v="23"/>
    <b v="0"/>
    <n v="0"/>
    <n v="2"/>
    <x v="2"/>
    <x v="11"/>
    <n v="0.4"/>
    <x v="14"/>
    <n v="0"/>
    <n v="18"/>
    <n v="18"/>
    <x v="0"/>
    <x v="1"/>
    <s v="Night"/>
    <s v="January"/>
    <s v="Spring"/>
    <n v="0.22929155386993369"/>
    <n v="-0.25435329828790432"/>
    <n v="0.10399668008577614"/>
    <n v="0.36604748519325236"/>
  </r>
  <r>
    <n v="373"/>
    <d v="2011-01-17T00:00:00"/>
    <x v="0"/>
    <n v="0"/>
    <n v="1"/>
    <n v="0"/>
    <b v="1"/>
    <n v="1"/>
    <n v="2"/>
    <x v="2"/>
    <x v="13"/>
    <n v="0.47"/>
    <x v="6"/>
    <n v="1"/>
    <n v="16"/>
    <n v="17"/>
    <x v="1"/>
    <x v="1"/>
    <s v="Night"/>
    <s v="January"/>
    <s v="Spring"/>
    <n v="0.22929155386993369"/>
    <n v="-0.25435329828790432"/>
    <n v="0.10399668008577614"/>
    <n v="0.36604748519325236"/>
  </r>
  <r>
    <n v="374"/>
    <d v="2011-01-17T00:00:00"/>
    <x v="0"/>
    <n v="0"/>
    <n v="1"/>
    <n v="1"/>
    <b v="1"/>
    <n v="1"/>
    <n v="2"/>
    <x v="2"/>
    <x v="13"/>
    <n v="0.44"/>
    <x v="5"/>
    <n v="1"/>
    <n v="15"/>
    <n v="16"/>
    <x v="1"/>
    <x v="1"/>
    <s v="Night"/>
    <s v="January"/>
    <s v="Spring"/>
    <n v="0.22929155386993369"/>
    <n v="-0.25435329828790432"/>
    <n v="0.10399668008577614"/>
    <n v="0.36604748519325236"/>
  </r>
  <r>
    <n v="375"/>
    <d v="2011-01-17T00:00:00"/>
    <x v="0"/>
    <n v="0"/>
    <n v="1"/>
    <n v="2"/>
    <b v="1"/>
    <n v="1"/>
    <n v="2"/>
    <x v="15"/>
    <x v="17"/>
    <n v="0.43"/>
    <x v="2"/>
    <n v="0"/>
    <n v="8"/>
    <n v="8"/>
    <x v="1"/>
    <x v="1"/>
    <s v="Night"/>
    <s v="January"/>
    <s v="Spring"/>
    <n v="0.22929155386993369"/>
    <n v="-0.25435329828790432"/>
    <n v="0.10399668008577614"/>
    <n v="0.36604748519325236"/>
  </r>
  <r>
    <n v="376"/>
    <d v="2011-01-17T00:00:00"/>
    <x v="0"/>
    <n v="0"/>
    <n v="1"/>
    <n v="3"/>
    <b v="1"/>
    <n v="1"/>
    <n v="2"/>
    <x v="15"/>
    <x v="18"/>
    <n v="0.43"/>
    <x v="5"/>
    <n v="0"/>
    <n v="2"/>
    <n v="2"/>
    <x v="1"/>
    <x v="1"/>
    <s v="Night"/>
    <s v="January"/>
    <s v="Spring"/>
    <n v="0.22929155386993369"/>
    <n v="-0.25435329828790432"/>
    <n v="0.10399668008577614"/>
    <n v="0.36604748519325236"/>
  </r>
  <r>
    <n v="377"/>
    <d v="2011-01-17T00:00:00"/>
    <x v="0"/>
    <n v="0"/>
    <n v="1"/>
    <n v="4"/>
    <b v="1"/>
    <n v="1"/>
    <n v="2"/>
    <x v="15"/>
    <x v="13"/>
    <n v="0.43"/>
    <x v="7"/>
    <n v="1"/>
    <n v="2"/>
    <n v="3"/>
    <x v="1"/>
    <x v="1"/>
    <s v="Night"/>
    <s v="January"/>
    <s v="Spring"/>
    <n v="0.22929155386993369"/>
    <n v="-0.25435329828790432"/>
    <n v="0.10399668008577614"/>
    <n v="0.36604748519325236"/>
  </r>
  <r>
    <n v="378"/>
    <d v="2011-01-17T00:00:00"/>
    <x v="0"/>
    <n v="0"/>
    <n v="1"/>
    <n v="5"/>
    <b v="1"/>
    <n v="1"/>
    <n v="2"/>
    <x v="15"/>
    <x v="13"/>
    <n v="0.43"/>
    <x v="8"/>
    <n v="0"/>
    <n v="1"/>
    <n v="1"/>
    <x v="1"/>
    <x v="1"/>
    <s v="Night"/>
    <s v="January"/>
    <s v="Spring"/>
    <n v="0.22929155386993369"/>
    <n v="-0.25435329828790432"/>
    <n v="0.10399668008577614"/>
    <n v="0.36604748519325236"/>
  </r>
  <r>
    <n v="379"/>
    <d v="2011-01-17T00:00:00"/>
    <x v="0"/>
    <n v="0"/>
    <n v="1"/>
    <n v="6"/>
    <b v="1"/>
    <n v="1"/>
    <n v="2"/>
    <x v="15"/>
    <x v="18"/>
    <n v="0.43"/>
    <x v="5"/>
    <n v="0"/>
    <n v="5"/>
    <n v="5"/>
    <x v="1"/>
    <x v="1"/>
    <s v="Morning"/>
    <s v="January"/>
    <s v="Spring"/>
    <n v="0.22929155386993369"/>
    <n v="-0.25435329828790432"/>
    <n v="0.10399668008577614"/>
    <n v="0.36604748519325236"/>
  </r>
  <r>
    <n v="380"/>
    <d v="2011-01-17T00:00:00"/>
    <x v="0"/>
    <n v="0"/>
    <n v="1"/>
    <n v="7"/>
    <b v="1"/>
    <n v="1"/>
    <n v="2"/>
    <x v="13"/>
    <x v="18"/>
    <n v="0.5"/>
    <x v="7"/>
    <n v="4"/>
    <n v="9"/>
    <n v="13"/>
    <x v="1"/>
    <x v="1"/>
    <s v="Morning"/>
    <s v="January"/>
    <s v="Spring"/>
    <n v="0.22929155386993369"/>
    <n v="-0.25435329828790432"/>
    <n v="0.10399668008577614"/>
    <n v="0.36604748519325236"/>
  </r>
  <r>
    <n v="381"/>
    <d v="2011-01-17T00:00:00"/>
    <x v="0"/>
    <n v="0"/>
    <n v="1"/>
    <n v="8"/>
    <b v="1"/>
    <n v="1"/>
    <n v="2"/>
    <x v="13"/>
    <x v="20"/>
    <n v="0.47"/>
    <x v="6"/>
    <n v="3"/>
    <n v="30"/>
    <n v="33"/>
    <x v="1"/>
    <x v="1"/>
    <s v="Morning"/>
    <s v="January"/>
    <s v="Spring"/>
    <n v="0.22929155386993369"/>
    <n v="-0.25435329828790432"/>
    <n v="0.10399668008577614"/>
    <n v="0.36604748519325236"/>
  </r>
  <r>
    <n v="382"/>
    <d v="2011-01-17T00:00:00"/>
    <x v="0"/>
    <n v="0"/>
    <n v="1"/>
    <n v="9"/>
    <b v="1"/>
    <n v="1"/>
    <n v="2"/>
    <x v="13"/>
    <x v="20"/>
    <n v="0.47"/>
    <x v="6"/>
    <n v="8"/>
    <n v="39"/>
    <n v="47"/>
    <x v="1"/>
    <x v="1"/>
    <s v="Morning"/>
    <s v="January"/>
    <s v="Spring"/>
    <n v="0.22929155386993369"/>
    <n v="-0.25435329828790432"/>
    <n v="0.10399668008577614"/>
    <n v="0.36604748519325236"/>
  </r>
  <r>
    <n v="383"/>
    <d v="2011-01-17T00:00:00"/>
    <x v="0"/>
    <n v="0"/>
    <n v="1"/>
    <n v="10"/>
    <b v="1"/>
    <n v="1"/>
    <n v="2"/>
    <x v="13"/>
    <x v="20"/>
    <n v="0.5"/>
    <x v="2"/>
    <n v="7"/>
    <n v="50"/>
    <n v="57"/>
    <x v="1"/>
    <x v="1"/>
    <s v="Morning"/>
    <s v="January"/>
    <s v="Spring"/>
    <n v="0.22929155386993369"/>
    <n v="-0.25435329828790432"/>
    <n v="0.10399668008577614"/>
    <n v="0.36604748519325236"/>
  </r>
  <r>
    <n v="384"/>
    <d v="2011-01-17T00:00:00"/>
    <x v="0"/>
    <n v="0"/>
    <n v="1"/>
    <n v="11"/>
    <b v="1"/>
    <n v="1"/>
    <n v="2"/>
    <x v="13"/>
    <x v="20"/>
    <n v="0.55000000000000004"/>
    <x v="5"/>
    <n v="9"/>
    <n v="55"/>
    <n v="64"/>
    <x v="1"/>
    <x v="1"/>
    <s v="Morning"/>
    <s v="January"/>
    <s v="Spring"/>
    <n v="0.22929155386993369"/>
    <n v="-0.25435329828790432"/>
    <n v="0.10399668008577614"/>
    <n v="0.36604748519325236"/>
  </r>
  <r>
    <n v="385"/>
    <d v="2011-01-17T00:00:00"/>
    <x v="0"/>
    <n v="0"/>
    <n v="1"/>
    <n v="12"/>
    <b v="1"/>
    <n v="1"/>
    <n v="2"/>
    <x v="15"/>
    <x v="13"/>
    <n v="0.47"/>
    <x v="7"/>
    <n v="10"/>
    <n v="70"/>
    <n v="80"/>
    <x v="1"/>
    <x v="1"/>
    <s v="Afternoon"/>
    <s v="January"/>
    <s v="Spring"/>
    <n v="0.22929155386993369"/>
    <n v="-0.25435329828790432"/>
    <n v="0.10399668008577614"/>
    <n v="0.36604748519325236"/>
  </r>
  <r>
    <n v="386"/>
    <d v="2011-01-17T00:00:00"/>
    <x v="0"/>
    <n v="0"/>
    <n v="1"/>
    <n v="13"/>
    <b v="1"/>
    <n v="1"/>
    <n v="2"/>
    <x v="15"/>
    <x v="13"/>
    <n v="0.47"/>
    <x v="7"/>
    <n v="13"/>
    <n v="80"/>
    <n v="93"/>
    <x v="1"/>
    <x v="1"/>
    <s v="Afternoon"/>
    <s v="January"/>
    <s v="Spring"/>
    <n v="0.22929155386993369"/>
    <n v="-0.25435329828790432"/>
    <n v="0.10399668008577614"/>
    <n v="0.36604748519325236"/>
  </r>
  <r>
    <n v="387"/>
    <d v="2011-01-17T00:00:00"/>
    <x v="0"/>
    <n v="0"/>
    <n v="1"/>
    <n v="14"/>
    <b v="1"/>
    <n v="1"/>
    <n v="2"/>
    <x v="15"/>
    <x v="12"/>
    <n v="0.43"/>
    <x v="14"/>
    <n v="12"/>
    <n v="74"/>
    <n v="86"/>
    <x v="1"/>
    <x v="1"/>
    <s v="Afternoon"/>
    <s v="January"/>
    <s v="Spring"/>
    <n v="0.22929155386993369"/>
    <n v="-0.25435329828790432"/>
    <n v="0.10399668008577614"/>
    <n v="0.36604748519325236"/>
  </r>
  <r>
    <n v="388"/>
    <d v="2011-01-17T00:00:00"/>
    <x v="0"/>
    <n v="0"/>
    <n v="1"/>
    <n v="15"/>
    <b v="1"/>
    <n v="1"/>
    <n v="2"/>
    <x v="2"/>
    <x v="12"/>
    <n v="0.47"/>
    <x v="8"/>
    <n v="21"/>
    <n v="72"/>
    <n v="93"/>
    <x v="1"/>
    <x v="1"/>
    <s v="Afternoon"/>
    <s v="January"/>
    <s v="Spring"/>
    <n v="0.22929155386993369"/>
    <n v="-0.25435329828790432"/>
    <n v="0.10399668008577614"/>
    <n v="0.36604748519325236"/>
  </r>
  <r>
    <n v="389"/>
    <d v="2011-01-17T00:00:00"/>
    <x v="0"/>
    <n v="0"/>
    <n v="1"/>
    <n v="16"/>
    <b v="1"/>
    <n v="1"/>
    <n v="2"/>
    <x v="2"/>
    <x v="12"/>
    <n v="0.47"/>
    <x v="8"/>
    <n v="6"/>
    <n v="76"/>
    <n v="82"/>
    <x v="1"/>
    <x v="1"/>
    <s v="Afternoon"/>
    <s v="January"/>
    <s v="Spring"/>
    <n v="0.22929155386993369"/>
    <n v="-0.25435329828790432"/>
    <n v="0.10399668008577614"/>
    <n v="0.36604748519325236"/>
  </r>
  <r>
    <n v="390"/>
    <d v="2011-01-17T00:00:00"/>
    <x v="0"/>
    <n v="0"/>
    <n v="1"/>
    <n v="17"/>
    <b v="1"/>
    <n v="1"/>
    <n v="1"/>
    <x v="2"/>
    <x v="13"/>
    <n v="0.51"/>
    <x v="5"/>
    <n v="4"/>
    <n v="67"/>
    <n v="71"/>
    <x v="1"/>
    <x v="0"/>
    <s v="Evening"/>
    <s v="January"/>
    <s v="Spring"/>
    <n v="0.22929155386993369"/>
    <n v="-0.25435329828790432"/>
    <n v="0.10399668008577614"/>
    <n v="0.36604748519325236"/>
  </r>
  <r>
    <n v="391"/>
    <d v="2011-01-17T00:00:00"/>
    <x v="0"/>
    <n v="0"/>
    <n v="1"/>
    <n v="18"/>
    <b v="1"/>
    <n v="1"/>
    <n v="2"/>
    <x v="15"/>
    <x v="17"/>
    <n v="0.55000000000000004"/>
    <x v="2"/>
    <n v="7"/>
    <n v="85"/>
    <n v="92"/>
    <x v="1"/>
    <x v="1"/>
    <s v="Evening"/>
    <s v="January"/>
    <s v="Spring"/>
    <n v="0.22929155386993369"/>
    <n v="-0.25435329828790432"/>
    <n v="0.10399668008577614"/>
    <n v="0.36604748519325236"/>
  </r>
  <r>
    <n v="392"/>
    <d v="2011-01-17T00:00:00"/>
    <x v="0"/>
    <n v="0"/>
    <n v="1"/>
    <n v="19"/>
    <b v="1"/>
    <n v="1"/>
    <n v="3"/>
    <x v="15"/>
    <x v="18"/>
    <n v="0.59"/>
    <x v="5"/>
    <n v="2"/>
    <n v="58"/>
    <n v="60"/>
    <x v="1"/>
    <x v="2"/>
    <s v="Evening"/>
    <s v="January"/>
    <s v="Spring"/>
    <n v="0.22929155386993369"/>
    <n v="-0.25435329828790432"/>
    <n v="0.10399668008577614"/>
    <n v="0.36604748519325236"/>
  </r>
  <r>
    <n v="393"/>
    <d v="2011-01-17T00:00:00"/>
    <x v="0"/>
    <n v="0"/>
    <n v="1"/>
    <n v="20"/>
    <b v="1"/>
    <n v="1"/>
    <n v="3"/>
    <x v="13"/>
    <x v="20"/>
    <n v="0.8"/>
    <x v="5"/>
    <n v="4"/>
    <n v="29"/>
    <n v="33"/>
    <x v="1"/>
    <x v="2"/>
    <s v="Evening"/>
    <s v="January"/>
    <s v="Spring"/>
    <n v="0.22929155386993369"/>
    <n v="-0.25435329828790432"/>
    <n v="0.10399668008577614"/>
    <n v="0.36604748519325236"/>
  </r>
  <r>
    <n v="394"/>
    <d v="2011-01-17T00:00:00"/>
    <x v="0"/>
    <n v="0"/>
    <n v="1"/>
    <n v="21"/>
    <b v="1"/>
    <n v="1"/>
    <n v="3"/>
    <x v="13"/>
    <x v="20"/>
    <n v="0.8"/>
    <x v="5"/>
    <n v="3"/>
    <n v="24"/>
    <n v="27"/>
    <x v="1"/>
    <x v="2"/>
    <s v="Night"/>
    <s v="January"/>
    <s v="Spring"/>
    <n v="0.22929155386993369"/>
    <n v="-0.25435329828790432"/>
    <n v="0.10399668008577614"/>
    <n v="0.36604748519325236"/>
  </r>
  <r>
    <n v="395"/>
    <d v="2011-01-17T00:00:00"/>
    <x v="0"/>
    <n v="0"/>
    <n v="1"/>
    <n v="22"/>
    <b v="1"/>
    <n v="1"/>
    <n v="3"/>
    <x v="14"/>
    <x v="16"/>
    <n v="0.93"/>
    <x v="2"/>
    <n v="0"/>
    <n v="13"/>
    <n v="13"/>
    <x v="1"/>
    <x v="2"/>
    <s v="Night"/>
    <s v="January"/>
    <s v="Spring"/>
    <n v="0.22929155386993369"/>
    <n v="-0.25435329828790432"/>
    <n v="0.10399668008577614"/>
    <n v="0.36604748519325236"/>
  </r>
  <r>
    <n v="396"/>
    <d v="2011-01-17T00:00:00"/>
    <x v="0"/>
    <n v="0"/>
    <n v="1"/>
    <n v="23"/>
    <b v="1"/>
    <n v="1"/>
    <n v="3"/>
    <x v="13"/>
    <x v="14"/>
    <n v="0.86"/>
    <x v="3"/>
    <n v="1"/>
    <n v="3"/>
    <n v="4"/>
    <x v="1"/>
    <x v="2"/>
    <s v="Night"/>
    <s v="January"/>
    <s v="Spring"/>
    <n v="0.22929155386993369"/>
    <n v="-0.25435329828790432"/>
    <n v="0.10399668008577614"/>
    <n v="0.36604748519325236"/>
  </r>
  <r>
    <n v="397"/>
    <d v="2011-01-18T00:00:00"/>
    <x v="0"/>
    <n v="0"/>
    <n v="1"/>
    <n v="12"/>
    <b v="0"/>
    <n v="2"/>
    <n v="2"/>
    <x v="2"/>
    <x v="18"/>
    <n v="0.86"/>
    <x v="9"/>
    <n v="0"/>
    <n v="3"/>
    <n v="3"/>
    <x v="1"/>
    <x v="1"/>
    <s v="Afternoon"/>
    <s v="January"/>
    <s v="Spring"/>
    <n v="0.22929155386993369"/>
    <n v="-0.25435329828790432"/>
    <n v="0.10399668008577614"/>
    <n v="0.36604748519325236"/>
  </r>
  <r>
    <n v="398"/>
    <d v="2011-01-18T00:00:00"/>
    <x v="0"/>
    <n v="0"/>
    <n v="1"/>
    <n v="13"/>
    <b v="0"/>
    <n v="2"/>
    <n v="2"/>
    <x v="2"/>
    <x v="13"/>
    <n v="0.86"/>
    <x v="6"/>
    <n v="0"/>
    <n v="22"/>
    <n v="22"/>
    <x v="1"/>
    <x v="1"/>
    <s v="Afternoon"/>
    <s v="January"/>
    <s v="Spring"/>
    <n v="0.22929155386993369"/>
    <n v="-0.25435329828790432"/>
    <n v="0.10399668008577614"/>
    <n v="0.36604748519325236"/>
  </r>
  <r>
    <n v="399"/>
    <d v="2011-01-18T00:00:00"/>
    <x v="0"/>
    <n v="0"/>
    <n v="1"/>
    <n v="14"/>
    <b v="0"/>
    <n v="2"/>
    <n v="2"/>
    <x v="1"/>
    <x v="11"/>
    <n v="0.8"/>
    <x v="8"/>
    <n v="2"/>
    <n v="26"/>
    <n v="28"/>
    <x v="1"/>
    <x v="1"/>
    <s v="Afternoon"/>
    <s v="January"/>
    <s v="Spring"/>
    <n v="0.22929155386993369"/>
    <n v="-0.25435329828790432"/>
    <n v="0.10399668008577614"/>
    <n v="0.36604748519325236"/>
  </r>
  <r>
    <n v="400"/>
    <d v="2011-01-18T00:00:00"/>
    <x v="0"/>
    <n v="0"/>
    <n v="1"/>
    <n v="15"/>
    <b v="0"/>
    <n v="2"/>
    <n v="2"/>
    <x v="1"/>
    <x v="11"/>
    <n v="0.87"/>
    <x v="8"/>
    <n v="3"/>
    <n v="32"/>
    <n v="35"/>
    <x v="1"/>
    <x v="1"/>
    <s v="Afternoon"/>
    <s v="January"/>
    <s v="Spring"/>
    <n v="0.22929155386993369"/>
    <n v="-0.25435329828790432"/>
    <n v="0.10399668008577614"/>
    <n v="0.36604748519325236"/>
  </r>
  <r>
    <n v="401"/>
    <d v="2011-01-18T00:00:00"/>
    <x v="0"/>
    <n v="0"/>
    <n v="1"/>
    <n v="16"/>
    <b v="0"/>
    <n v="2"/>
    <n v="2"/>
    <x v="1"/>
    <x v="11"/>
    <n v="0.87"/>
    <x v="5"/>
    <n v="0"/>
    <n v="61"/>
    <n v="61"/>
    <x v="1"/>
    <x v="1"/>
    <s v="Afternoon"/>
    <s v="January"/>
    <s v="Spring"/>
    <n v="0.22929155386993369"/>
    <n v="-0.25435329828790432"/>
    <n v="0.10399668008577614"/>
    <n v="0.36604748519325236"/>
  </r>
  <r>
    <n v="402"/>
    <d v="2011-01-18T00:00:00"/>
    <x v="0"/>
    <n v="0"/>
    <n v="1"/>
    <n v="17"/>
    <b v="0"/>
    <n v="2"/>
    <n v="2"/>
    <x v="1"/>
    <x v="11"/>
    <n v="0.82"/>
    <x v="5"/>
    <n v="1"/>
    <n v="124"/>
    <n v="125"/>
    <x v="1"/>
    <x v="1"/>
    <s v="Evening"/>
    <s v="January"/>
    <s v="Spring"/>
    <n v="0.22929155386993369"/>
    <n v="-0.25435329828790432"/>
    <n v="0.10399668008577614"/>
    <n v="0.36604748519325236"/>
  </r>
  <r>
    <n v="403"/>
    <d v="2011-01-18T00:00:00"/>
    <x v="0"/>
    <n v="0"/>
    <n v="1"/>
    <n v="18"/>
    <b v="0"/>
    <n v="2"/>
    <n v="2"/>
    <x v="1"/>
    <x v="11"/>
    <n v="0.8"/>
    <x v="8"/>
    <n v="1"/>
    <n v="132"/>
    <n v="133"/>
    <x v="1"/>
    <x v="1"/>
    <s v="Evening"/>
    <s v="January"/>
    <s v="Spring"/>
    <n v="0.22929155386993369"/>
    <n v="-0.25435329828790432"/>
    <n v="0.10399668008577614"/>
    <n v="0.36604748519325236"/>
  </r>
  <r>
    <n v="404"/>
    <d v="2011-01-18T00:00:00"/>
    <x v="0"/>
    <n v="0"/>
    <n v="1"/>
    <n v="19"/>
    <b v="0"/>
    <n v="2"/>
    <n v="2"/>
    <x v="1"/>
    <x v="11"/>
    <n v="0.8"/>
    <x v="7"/>
    <n v="1"/>
    <n v="98"/>
    <n v="99"/>
    <x v="1"/>
    <x v="1"/>
    <s v="Evening"/>
    <s v="January"/>
    <s v="Spring"/>
    <n v="0.22929155386993369"/>
    <n v="-0.25435329828790432"/>
    <n v="0.10399668008577614"/>
    <n v="0.36604748519325236"/>
  </r>
  <r>
    <n v="405"/>
    <d v="2011-01-18T00:00:00"/>
    <x v="0"/>
    <n v="0"/>
    <n v="1"/>
    <n v="20"/>
    <b v="0"/>
    <n v="2"/>
    <n v="2"/>
    <x v="1"/>
    <x v="1"/>
    <n v="0.87"/>
    <x v="0"/>
    <n v="0"/>
    <n v="83"/>
    <n v="83"/>
    <x v="1"/>
    <x v="1"/>
    <s v="Evening"/>
    <s v="January"/>
    <s v="Spring"/>
    <n v="0.22929155386993369"/>
    <n v="-0.25435329828790432"/>
    <n v="0.10399668008577614"/>
    <n v="0.36604748519325236"/>
  </r>
  <r>
    <n v="406"/>
    <d v="2011-01-18T00:00:00"/>
    <x v="0"/>
    <n v="0"/>
    <n v="1"/>
    <n v="21"/>
    <b v="0"/>
    <n v="2"/>
    <n v="2"/>
    <x v="1"/>
    <x v="19"/>
    <n v="0.93"/>
    <x v="14"/>
    <n v="0"/>
    <n v="41"/>
    <n v="41"/>
    <x v="1"/>
    <x v="1"/>
    <s v="Night"/>
    <s v="January"/>
    <s v="Spring"/>
    <n v="0.22929155386993369"/>
    <n v="-0.25435329828790432"/>
    <n v="0.10399668008577614"/>
    <n v="0.36604748519325236"/>
  </r>
  <r>
    <n v="407"/>
    <d v="2011-01-18T00:00:00"/>
    <x v="0"/>
    <n v="0"/>
    <n v="1"/>
    <n v="22"/>
    <b v="0"/>
    <n v="2"/>
    <n v="2"/>
    <x v="1"/>
    <x v="2"/>
    <n v="0.93"/>
    <x v="1"/>
    <n v="0"/>
    <n v="33"/>
    <n v="33"/>
    <x v="1"/>
    <x v="1"/>
    <s v="Night"/>
    <s v="January"/>
    <s v="Spring"/>
    <n v="0.22929155386993369"/>
    <n v="-0.25435329828790432"/>
    <n v="0.10399668008577614"/>
    <n v="0.36604748519325236"/>
  </r>
  <r>
    <n v="408"/>
    <d v="2011-01-18T00:00:00"/>
    <x v="0"/>
    <n v="0"/>
    <n v="1"/>
    <n v="23"/>
    <b v="0"/>
    <n v="2"/>
    <n v="2"/>
    <x v="1"/>
    <x v="1"/>
    <n v="0.93"/>
    <x v="0"/>
    <n v="1"/>
    <n v="19"/>
    <n v="20"/>
    <x v="1"/>
    <x v="1"/>
    <s v="Night"/>
    <s v="January"/>
    <s v="Spring"/>
    <n v="0.22929155386993369"/>
    <n v="-0.25435329828790432"/>
    <n v="0.10399668008577614"/>
    <n v="0.36604748519325236"/>
  </r>
  <r>
    <n v="409"/>
    <d v="2011-01-19T00:00:00"/>
    <x v="0"/>
    <n v="0"/>
    <n v="1"/>
    <n v="0"/>
    <b v="0"/>
    <n v="3"/>
    <n v="2"/>
    <x v="1"/>
    <x v="1"/>
    <n v="0.93"/>
    <x v="0"/>
    <n v="0"/>
    <n v="3"/>
    <n v="3"/>
    <x v="1"/>
    <x v="1"/>
    <s v="Night"/>
    <s v="January"/>
    <s v="Spring"/>
    <n v="0.22929155386993369"/>
    <n v="-0.25435329828790432"/>
    <n v="0.10399668008577614"/>
    <n v="0.36604748519325236"/>
  </r>
  <r>
    <n v="410"/>
    <d v="2011-01-19T00:00:00"/>
    <x v="0"/>
    <n v="0"/>
    <n v="1"/>
    <n v="1"/>
    <b v="0"/>
    <n v="3"/>
    <n v="3"/>
    <x v="1"/>
    <x v="11"/>
    <n v="0.93"/>
    <x v="7"/>
    <n v="1"/>
    <n v="6"/>
    <n v="7"/>
    <x v="1"/>
    <x v="2"/>
    <s v="Night"/>
    <s v="January"/>
    <s v="Spring"/>
    <n v="0.22929155386993369"/>
    <n v="-0.25435329828790432"/>
    <n v="0.10399668008577614"/>
    <n v="0.36604748519325236"/>
  </r>
  <r>
    <n v="411"/>
    <d v="2011-01-19T00:00:00"/>
    <x v="0"/>
    <n v="0"/>
    <n v="1"/>
    <n v="2"/>
    <b v="0"/>
    <n v="3"/>
    <n v="3"/>
    <x v="1"/>
    <x v="11"/>
    <n v="0.93"/>
    <x v="7"/>
    <n v="0"/>
    <n v="3"/>
    <n v="3"/>
    <x v="1"/>
    <x v="2"/>
    <s v="Night"/>
    <s v="January"/>
    <s v="Spring"/>
    <n v="0.22929155386993369"/>
    <n v="-0.25435329828790432"/>
    <n v="0.10399668008577614"/>
    <n v="0.36604748519325236"/>
  </r>
  <r>
    <n v="412"/>
    <d v="2011-01-19T00:00:00"/>
    <x v="0"/>
    <n v="0"/>
    <n v="1"/>
    <n v="4"/>
    <b v="0"/>
    <n v="3"/>
    <n v="3"/>
    <x v="1"/>
    <x v="11"/>
    <n v="0.93"/>
    <x v="7"/>
    <n v="1"/>
    <n v="1"/>
    <n v="2"/>
    <x v="1"/>
    <x v="2"/>
    <s v="Night"/>
    <s v="January"/>
    <s v="Spring"/>
    <n v="0.22929155386993369"/>
    <n v="-0.25435329828790432"/>
    <n v="0.10399668008577614"/>
    <n v="0.36604748519325236"/>
  </r>
  <r>
    <n v="413"/>
    <d v="2011-01-19T00:00:00"/>
    <x v="0"/>
    <n v="0"/>
    <n v="1"/>
    <n v="5"/>
    <b v="0"/>
    <n v="3"/>
    <n v="2"/>
    <x v="1"/>
    <x v="2"/>
    <n v="0.93"/>
    <x v="1"/>
    <n v="0"/>
    <n v="7"/>
    <n v="7"/>
    <x v="1"/>
    <x v="1"/>
    <s v="Night"/>
    <s v="January"/>
    <s v="Spring"/>
    <n v="0.22929155386993369"/>
    <n v="-0.25435329828790432"/>
    <n v="0.10399668008577614"/>
    <n v="0.36604748519325236"/>
  </r>
  <r>
    <n v="414"/>
    <d v="2011-01-19T00:00:00"/>
    <x v="0"/>
    <n v="0"/>
    <n v="1"/>
    <n v="6"/>
    <b v="0"/>
    <n v="3"/>
    <n v="2"/>
    <x v="1"/>
    <x v="2"/>
    <n v="0.93"/>
    <x v="1"/>
    <n v="0"/>
    <n v="32"/>
    <n v="32"/>
    <x v="1"/>
    <x v="1"/>
    <s v="Morning"/>
    <s v="January"/>
    <s v="Spring"/>
    <n v="0.22929155386993369"/>
    <n v="-0.25435329828790432"/>
    <n v="0.10399668008577614"/>
    <n v="0.36604748519325236"/>
  </r>
  <r>
    <n v="415"/>
    <d v="2011-01-19T00:00:00"/>
    <x v="0"/>
    <n v="0"/>
    <n v="1"/>
    <n v="7"/>
    <b v="0"/>
    <n v="3"/>
    <n v="2"/>
    <x v="0"/>
    <x v="2"/>
    <n v="0.92"/>
    <x v="14"/>
    <n v="1"/>
    <n v="89"/>
    <n v="90"/>
    <x v="1"/>
    <x v="1"/>
    <s v="Morning"/>
    <s v="January"/>
    <s v="Spring"/>
    <n v="0.22929155386993369"/>
    <n v="-0.25435329828790432"/>
    <n v="0.10399668008577614"/>
    <n v="0.36604748519325236"/>
  </r>
  <r>
    <n v="416"/>
    <d v="2011-01-19T00:00:00"/>
    <x v="0"/>
    <n v="0"/>
    <n v="1"/>
    <n v="8"/>
    <b v="0"/>
    <n v="3"/>
    <n v="2"/>
    <x v="0"/>
    <x v="2"/>
    <n v="0.93"/>
    <x v="14"/>
    <n v="1"/>
    <n v="196"/>
    <n v="197"/>
    <x v="1"/>
    <x v="1"/>
    <s v="Morning"/>
    <s v="January"/>
    <s v="Spring"/>
    <n v="0.22929155386993369"/>
    <n v="-0.25435329828790432"/>
    <n v="0.10399668008577614"/>
    <n v="0.36604748519325236"/>
  </r>
  <r>
    <n v="417"/>
    <d v="2011-01-19T00:00:00"/>
    <x v="0"/>
    <n v="0"/>
    <n v="1"/>
    <n v="9"/>
    <b v="0"/>
    <n v="3"/>
    <n v="2"/>
    <x v="0"/>
    <x v="2"/>
    <n v="0.93"/>
    <x v="14"/>
    <n v="2"/>
    <n v="107"/>
    <n v="109"/>
    <x v="1"/>
    <x v="1"/>
    <s v="Morning"/>
    <s v="January"/>
    <s v="Spring"/>
    <n v="0.22929155386993369"/>
    <n v="-0.25435329828790432"/>
    <n v="0.10399668008577614"/>
    <n v="0.36604748519325236"/>
  </r>
  <r>
    <n v="418"/>
    <d v="2011-01-19T00:00:00"/>
    <x v="0"/>
    <n v="0"/>
    <n v="1"/>
    <n v="10"/>
    <b v="0"/>
    <n v="3"/>
    <n v="2"/>
    <x v="12"/>
    <x v="1"/>
    <n v="0.93"/>
    <x v="7"/>
    <n v="1"/>
    <n v="46"/>
    <n v="47"/>
    <x v="1"/>
    <x v="1"/>
    <s v="Morning"/>
    <s v="January"/>
    <s v="Spring"/>
    <n v="0.22929155386993369"/>
    <n v="-0.25435329828790432"/>
    <n v="0.10399668008577614"/>
    <n v="0.36604748519325236"/>
  </r>
  <r>
    <n v="419"/>
    <d v="2011-01-19T00:00:00"/>
    <x v="0"/>
    <n v="0"/>
    <n v="1"/>
    <n v="11"/>
    <b v="0"/>
    <n v="3"/>
    <n v="2"/>
    <x v="17"/>
    <x v="25"/>
    <n v="0.87"/>
    <x v="1"/>
    <n v="5"/>
    <n v="47"/>
    <n v="52"/>
    <x v="1"/>
    <x v="1"/>
    <s v="Morning"/>
    <s v="January"/>
    <s v="Spring"/>
    <n v="0.22929155386993369"/>
    <n v="-0.25435329828790432"/>
    <n v="0.10399668008577614"/>
    <n v="0.36604748519325236"/>
  </r>
  <r>
    <n v="420"/>
    <d v="2011-01-19T00:00:00"/>
    <x v="0"/>
    <n v="0"/>
    <n v="1"/>
    <n v="12"/>
    <b v="0"/>
    <n v="3"/>
    <n v="2"/>
    <x v="11"/>
    <x v="21"/>
    <n v="0.81"/>
    <x v="1"/>
    <n v="5"/>
    <n v="65"/>
    <n v="70"/>
    <x v="1"/>
    <x v="1"/>
    <s v="Afternoon"/>
    <s v="January"/>
    <s v="Spring"/>
    <n v="0.22929155386993369"/>
    <n v="-0.25435329828790432"/>
    <n v="0.10399668008577614"/>
    <n v="0.36604748519325236"/>
  </r>
  <r>
    <n v="421"/>
    <d v="2011-01-19T00:00:00"/>
    <x v="0"/>
    <n v="0"/>
    <n v="1"/>
    <n v="13"/>
    <b v="0"/>
    <n v="3"/>
    <n v="1"/>
    <x v="9"/>
    <x v="10"/>
    <n v="0.62"/>
    <x v="3"/>
    <n v="11"/>
    <n v="67"/>
    <n v="78"/>
    <x v="1"/>
    <x v="0"/>
    <s v="Afternoon"/>
    <s v="January"/>
    <s v="Spring"/>
    <n v="0.22929155386993369"/>
    <n v="-0.25435329828790432"/>
    <n v="0.10399668008577614"/>
    <n v="0.36604748519325236"/>
  </r>
  <r>
    <n v="422"/>
    <d v="2011-01-19T00:00:00"/>
    <x v="0"/>
    <n v="0"/>
    <n v="1"/>
    <n v="14"/>
    <b v="0"/>
    <n v="3"/>
    <n v="1"/>
    <x v="9"/>
    <x v="10"/>
    <n v="0.57999999999999996"/>
    <x v="2"/>
    <n v="7"/>
    <n v="68"/>
    <n v="75"/>
    <x v="1"/>
    <x v="0"/>
    <s v="Afternoon"/>
    <s v="January"/>
    <s v="Spring"/>
    <n v="0.22929155386993369"/>
    <n v="-0.25435329828790432"/>
    <n v="0.10399668008577614"/>
    <n v="0.36604748519325236"/>
  </r>
  <r>
    <n v="423"/>
    <d v="2011-01-19T00:00:00"/>
    <x v="0"/>
    <n v="0"/>
    <n v="1"/>
    <n v="15"/>
    <b v="0"/>
    <n v="3"/>
    <n v="1"/>
    <x v="9"/>
    <x v="10"/>
    <n v="0.54"/>
    <x v="3"/>
    <n v="4"/>
    <n v="78"/>
    <n v="82"/>
    <x v="1"/>
    <x v="0"/>
    <s v="Afternoon"/>
    <s v="January"/>
    <s v="Spring"/>
    <n v="0.22929155386993369"/>
    <n v="-0.25435329828790432"/>
    <n v="0.10399668008577614"/>
    <n v="0.36604748519325236"/>
  </r>
  <r>
    <n v="424"/>
    <d v="2011-01-19T00:00:00"/>
    <x v="0"/>
    <n v="0"/>
    <n v="1"/>
    <n v="16"/>
    <b v="0"/>
    <n v="3"/>
    <n v="1"/>
    <x v="4"/>
    <x v="5"/>
    <n v="0.57999999999999996"/>
    <x v="13"/>
    <n v="10"/>
    <n v="94"/>
    <n v="104"/>
    <x v="1"/>
    <x v="0"/>
    <s v="Afternoon"/>
    <s v="January"/>
    <s v="Spring"/>
    <n v="0.22929155386993369"/>
    <n v="-0.25435329828790432"/>
    <n v="0.10399668008577614"/>
    <n v="0.36604748519325236"/>
  </r>
  <r>
    <n v="425"/>
    <d v="2011-01-19T00:00:00"/>
    <x v="0"/>
    <n v="0"/>
    <n v="1"/>
    <n v="17"/>
    <b v="0"/>
    <n v="3"/>
    <n v="1"/>
    <x v="5"/>
    <x v="6"/>
    <n v="0.56999999999999995"/>
    <x v="9"/>
    <n v="7"/>
    <n v="190"/>
    <n v="197"/>
    <x v="1"/>
    <x v="0"/>
    <s v="Evening"/>
    <s v="January"/>
    <s v="Spring"/>
    <n v="0.22929155386993369"/>
    <n v="-0.25435329828790432"/>
    <n v="0.10399668008577614"/>
    <n v="0.36604748519325236"/>
  </r>
  <r>
    <n v="426"/>
    <d v="2011-01-19T00:00:00"/>
    <x v="0"/>
    <n v="0"/>
    <n v="1"/>
    <n v="18"/>
    <b v="0"/>
    <n v="3"/>
    <n v="1"/>
    <x v="10"/>
    <x v="21"/>
    <n v="0.61"/>
    <x v="3"/>
    <n v="5"/>
    <n v="156"/>
    <n v="161"/>
    <x v="1"/>
    <x v="0"/>
    <s v="Evening"/>
    <s v="January"/>
    <s v="Spring"/>
    <n v="0.22929155386993369"/>
    <n v="-0.25435329828790432"/>
    <n v="0.10399668008577614"/>
    <n v="0.36604748519325236"/>
  </r>
  <r>
    <n v="427"/>
    <d v="2011-01-19T00:00:00"/>
    <x v="0"/>
    <n v="0"/>
    <n v="1"/>
    <n v="19"/>
    <b v="0"/>
    <n v="3"/>
    <n v="1"/>
    <x v="3"/>
    <x v="0"/>
    <n v="0.56999999999999995"/>
    <x v="12"/>
    <n v="4"/>
    <n v="108"/>
    <n v="112"/>
    <x v="1"/>
    <x v="0"/>
    <s v="Evening"/>
    <s v="January"/>
    <s v="Spring"/>
    <n v="0.22929155386993369"/>
    <n v="-0.25435329828790432"/>
    <n v="0.10399668008577614"/>
    <n v="0.36604748519325236"/>
  </r>
  <r>
    <n v="428"/>
    <d v="2011-01-19T00:00:00"/>
    <x v="0"/>
    <n v="0"/>
    <n v="1"/>
    <n v="20"/>
    <b v="0"/>
    <n v="3"/>
    <n v="1"/>
    <x v="3"/>
    <x v="25"/>
    <n v="0.49"/>
    <x v="4"/>
    <n v="2"/>
    <n v="74"/>
    <n v="76"/>
    <x v="1"/>
    <x v="0"/>
    <s v="Evening"/>
    <s v="January"/>
    <s v="Spring"/>
    <n v="0.22929155386993369"/>
    <n v="-0.25435329828790432"/>
    <n v="0.10399668008577614"/>
    <n v="0.36604748519325236"/>
  </r>
  <r>
    <n v="429"/>
    <d v="2011-01-19T00:00:00"/>
    <x v="0"/>
    <n v="0"/>
    <n v="1"/>
    <n v="21"/>
    <b v="0"/>
    <n v="3"/>
    <n v="1"/>
    <x v="3"/>
    <x v="0"/>
    <n v="0.49"/>
    <x v="12"/>
    <n v="4"/>
    <n v="55"/>
    <n v="59"/>
    <x v="1"/>
    <x v="0"/>
    <s v="Night"/>
    <s v="January"/>
    <s v="Spring"/>
    <n v="0.22929155386993369"/>
    <n v="-0.25435329828790432"/>
    <n v="0.10399668008577614"/>
    <n v="0.36604748519325236"/>
  </r>
  <r>
    <n v="430"/>
    <d v="2011-01-19T00:00:00"/>
    <x v="0"/>
    <n v="0"/>
    <n v="1"/>
    <n v="22"/>
    <b v="0"/>
    <n v="3"/>
    <n v="1"/>
    <x v="11"/>
    <x v="25"/>
    <n v="0.52"/>
    <x v="8"/>
    <n v="6"/>
    <n v="53"/>
    <n v="59"/>
    <x v="1"/>
    <x v="0"/>
    <s v="Night"/>
    <s v="January"/>
    <s v="Spring"/>
    <n v="0.22929155386993369"/>
    <n v="-0.25435329828790432"/>
    <n v="0.10399668008577614"/>
    <n v="0.36604748519325236"/>
  </r>
  <r>
    <n v="431"/>
    <d v="2011-01-19T00:00:00"/>
    <x v="0"/>
    <n v="0"/>
    <n v="1"/>
    <n v="23"/>
    <b v="0"/>
    <n v="3"/>
    <n v="1"/>
    <x v="11"/>
    <x v="1"/>
    <n v="0.52"/>
    <x v="17"/>
    <n v="1"/>
    <n v="27"/>
    <n v="28"/>
    <x v="1"/>
    <x v="0"/>
    <s v="Night"/>
    <s v="January"/>
    <s v="Spring"/>
    <n v="0.22929155386993369"/>
    <n v="-0.25435329828790432"/>
    <n v="0.10399668008577614"/>
    <n v="0.36604748519325236"/>
  </r>
  <r>
    <n v="432"/>
    <d v="2011-01-20T00:00:00"/>
    <x v="0"/>
    <n v="0"/>
    <n v="1"/>
    <n v="0"/>
    <b v="0"/>
    <n v="4"/>
    <n v="1"/>
    <x v="12"/>
    <x v="11"/>
    <n v="0.56000000000000005"/>
    <x v="13"/>
    <n v="5"/>
    <n v="8"/>
    <n v="13"/>
    <x v="1"/>
    <x v="0"/>
    <s v="Night"/>
    <s v="January"/>
    <s v="Spring"/>
    <n v="0.22929155386993369"/>
    <n v="-0.25435329828790432"/>
    <n v="0.10399668008577614"/>
    <n v="0.36604748519325236"/>
  </r>
  <r>
    <n v="433"/>
    <d v="2011-01-20T00:00:00"/>
    <x v="0"/>
    <n v="0"/>
    <n v="1"/>
    <n v="1"/>
    <b v="0"/>
    <n v="4"/>
    <n v="1"/>
    <x v="12"/>
    <x v="1"/>
    <n v="0.56000000000000005"/>
    <x v="0"/>
    <n v="2"/>
    <n v="3"/>
    <n v="5"/>
    <x v="1"/>
    <x v="0"/>
    <s v="Night"/>
    <s v="January"/>
    <s v="Spring"/>
    <n v="0.22929155386993369"/>
    <n v="-0.25435329828790432"/>
    <n v="0.10399668008577614"/>
    <n v="0.36604748519325236"/>
  </r>
  <r>
    <n v="434"/>
    <d v="2011-01-20T00:00:00"/>
    <x v="0"/>
    <n v="0"/>
    <n v="1"/>
    <n v="2"/>
    <b v="0"/>
    <n v="4"/>
    <n v="1"/>
    <x v="12"/>
    <x v="1"/>
    <n v="0.56000000000000005"/>
    <x v="0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435"/>
    <d v="2011-01-20T00:00:00"/>
    <x v="0"/>
    <n v="0"/>
    <n v="1"/>
    <n v="3"/>
    <b v="0"/>
    <n v="4"/>
    <n v="1"/>
    <x v="12"/>
    <x v="2"/>
    <n v="0.56000000000000005"/>
    <x v="8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436"/>
    <d v="2011-01-20T00:00:00"/>
    <x v="0"/>
    <n v="0"/>
    <n v="1"/>
    <n v="4"/>
    <b v="0"/>
    <n v="4"/>
    <n v="1"/>
    <x v="12"/>
    <x v="2"/>
    <n v="0.56000000000000005"/>
    <x v="8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437"/>
    <d v="2011-01-20T00:00:00"/>
    <x v="0"/>
    <n v="0"/>
    <n v="1"/>
    <n v="5"/>
    <b v="0"/>
    <n v="4"/>
    <n v="1"/>
    <x v="0"/>
    <x v="11"/>
    <n v="0.6"/>
    <x v="6"/>
    <n v="0"/>
    <n v="6"/>
    <n v="6"/>
    <x v="1"/>
    <x v="0"/>
    <s v="Night"/>
    <s v="January"/>
    <s v="Spring"/>
    <n v="0.22929155386993369"/>
    <n v="-0.25435329828790432"/>
    <n v="0.10399668008577614"/>
    <n v="0.36604748519325236"/>
  </r>
  <r>
    <n v="438"/>
    <d v="2011-01-20T00:00:00"/>
    <x v="0"/>
    <n v="0"/>
    <n v="1"/>
    <n v="6"/>
    <b v="0"/>
    <n v="4"/>
    <n v="1"/>
    <x v="1"/>
    <x v="12"/>
    <n v="0.6"/>
    <x v="6"/>
    <n v="0"/>
    <n v="35"/>
    <n v="35"/>
    <x v="1"/>
    <x v="0"/>
    <s v="Morning"/>
    <s v="January"/>
    <s v="Spring"/>
    <n v="0.22929155386993369"/>
    <n v="-0.25435329828790432"/>
    <n v="0.10399668008577614"/>
    <n v="0.36604748519325236"/>
  </r>
  <r>
    <n v="439"/>
    <d v="2011-01-20T00:00:00"/>
    <x v="0"/>
    <n v="0"/>
    <n v="1"/>
    <n v="7"/>
    <b v="0"/>
    <n v="4"/>
    <n v="1"/>
    <x v="1"/>
    <x v="12"/>
    <n v="0.55000000000000004"/>
    <x v="6"/>
    <n v="1"/>
    <n v="100"/>
    <n v="101"/>
    <x v="1"/>
    <x v="0"/>
    <s v="Morning"/>
    <s v="January"/>
    <s v="Spring"/>
    <n v="0.22929155386993369"/>
    <n v="-0.25435329828790432"/>
    <n v="0.10399668008577614"/>
    <n v="0.36604748519325236"/>
  </r>
  <r>
    <n v="440"/>
    <d v="2011-01-20T00:00:00"/>
    <x v="0"/>
    <n v="0"/>
    <n v="1"/>
    <n v="8"/>
    <b v="0"/>
    <n v="4"/>
    <n v="1"/>
    <x v="1"/>
    <x v="12"/>
    <n v="0.55000000000000004"/>
    <x v="3"/>
    <n v="2"/>
    <n v="247"/>
    <n v="249"/>
    <x v="1"/>
    <x v="0"/>
    <s v="Morning"/>
    <s v="January"/>
    <s v="Spring"/>
    <n v="0.22929155386993369"/>
    <n v="-0.25435329828790432"/>
    <n v="0.10399668008577614"/>
    <n v="0.36604748519325236"/>
  </r>
  <r>
    <n v="441"/>
    <d v="2011-01-20T00:00:00"/>
    <x v="0"/>
    <n v="0"/>
    <n v="1"/>
    <n v="9"/>
    <b v="0"/>
    <n v="4"/>
    <n v="2"/>
    <x v="0"/>
    <x v="11"/>
    <n v="0.52"/>
    <x v="6"/>
    <n v="3"/>
    <n v="140"/>
    <n v="143"/>
    <x v="1"/>
    <x v="1"/>
    <s v="Morning"/>
    <s v="January"/>
    <s v="Spring"/>
    <n v="0.22929155386993369"/>
    <n v="-0.25435329828790432"/>
    <n v="0.10399668008577614"/>
    <n v="0.36604748519325236"/>
  </r>
  <r>
    <n v="442"/>
    <d v="2011-01-20T00:00:00"/>
    <x v="0"/>
    <n v="0"/>
    <n v="1"/>
    <n v="10"/>
    <b v="0"/>
    <n v="4"/>
    <n v="1"/>
    <x v="12"/>
    <x v="11"/>
    <n v="0.48"/>
    <x v="4"/>
    <n v="1"/>
    <n v="56"/>
    <n v="57"/>
    <x v="1"/>
    <x v="0"/>
    <s v="Morning"/>
    <s v="January"/>
    <s v="Spring"/>
    <n v="0.22929155386993369"/>
    <n v="-0.25435329828790432"/>
    <n v="0.10399668008577614"/>
    <n v="0.36604748519325236"/>
  </r>
  <r>
    <n v="443"/>
    <d v="2011-01-20T00:00:00"/>
    <x v="0"/>
    <n v="0"/>
    <n v="1"/>
    <n v="11"/>
    <b v="0"/>
    <n v="4"/>
    <n v="2"/>
    <x v="17"/>
    <x v="1"/>
    <n v="0.45"/>
    <x v="8"/>
    <n v="5"/>
    <n v="63"/>
    <n v="68"/>
    <x v="1"/>
    <x v="1"/>
    <s v="Morning"/>
    <s v="January"/>
    <s v="Spring"/>
    <n v="0.22929155386993369"/>
    <n v="-0.25435329828790432"/>
    <n v="0.10399668008577614"/>
    <n v="0.36604748519325236"/>
  </r>
  <r>
    <n v="444"/>
    <d v="2011-01-20T00:00:00"/>
    <x v="0"/>
    <n v="0"/>
    <n v="1"/>
    <n v="12"/>
    <b v="0"/>
    <n v="4"/>
    <n v="2"/>
    <x v="11"/>
    <x v="6"/>
    <n v="0.42"/>
    <x v="0"/>
    <n v="7"/>
    <n v="77"/>
    <n v="84"/>
    <x v="1"/>
    <x v="1"/>
    <s v="Afternoon"/>
    <s v="January"/>
    <s v="Spring"/>
    <n v="0.22929155386993369"/>
    <n v="-0.25435329828790432"/>
    <n v="0.10399668008577614"/>
    <n v="0.36604748519325236"/>
  </r>
  <r>
    <n v="445"/>
    <d v="2011-01-20T00:00:00"/>
    <x v="0"/>
    <n v="0"/>
    <n v="1"/>
    <n v="13"/>
    <b v="0"/>
    <n v="4"/>
    <n v="2"/>
    <x v="17"/>
    <x v="0"/>
    <n v="0.45"/>
    <x v="14"/>
    <n v="12"/>
    <n v="86"/>
    <n v="98"/>
    <x v="1"/>
    <x v="1"/>
    <s v="Afternoon"/>
    <s v="January"/>
    <s v="Spring"/>
    <n v="0.22929155386993369"/>
    <n v="-0.25435329828790432"/>
    <n v="0.10399668008577614"/>
    <n v="0.36604748519325236"/>
  </r>
  <r>
    <n v="446"/>
    <d v="2011-01-20T00:00:00"/>
    <x v="0"/>
    <n v="0"/>
    <n v="1"/>
    <n v="14"/>
    <b v="0"/>
    <n v="4"/>
    <n v="2"/>
    <x v="11"/>
    <x v="25"/>
    <n v="0.45"/>
    <x v="7"/>
    <n v="6"/>
    <n v="75"/>
    <n v="81"/>
    <x v="1"/>
    <x v="1"/>
    <s v="Afternoon"/>
    <s v="January"/>
    <s v="Spring"/>
    <n v="0.22929155386993369"/>
    <n v="-0.25435329828790432"/>
    <n v="0.10399668008577614"/>
    <n v="0.36604748519325236"/>
  </r>
  <r>
    <n v="447"/>
    <d v="2011-01-20T00:00:00"/>
    <x v="0"/>
    <n v="0"/>
    <n v="1"/>
    <n v="15"/>
    <b v="0"/>
    <n v="4"/>
    <n v="2"/>
    <x v="3"/>
    <x v="21"/>
    <n v="0.45"/>
    <x v="5"/>
    <n v="8"/>
    <n v="62"/>
    <n v="70"/>
    <x v="1"/>
    <x v="1"/>
    <s v="Afternoon"/>
    <s v="January"/>
    <s v="Spring"/>
    <n v="0.22929155386993369"/>
    <n v="-0.25435329828790432"/>
    <n v="0.10399668008577614"/>
    <n v="0.36604748519325236"/>
  </r>
  <r>
    <n v="448"/>
    <d v="2011-01-20T00:00:00"/>
    <x v="0"/>
    <n v="0"/>
    <n v="1"/>
    <n v="16"/>
    <b v="0"/>
    <n v="4"/>
    <n v="2"/>
    <x v="11"/>
    <x v="25"/>
    <n v="0.49"/>
    <x v="7"/>
    <n v="8"/>
    <n v="83"/>
    <n v="91"/>
    <x v="1"/>
    <x v="1"/>
    <s v="Afternoon"/>
    <s v="January"/>
    <s v="Spring"/>
    <n v="0.22929155386993369"/>
    <n v="-0.25435329828790432"/>
    <n v="0.10399668008577614"/>
    <n v="0.36604748519325236"/>
  </r>
  <r>
    <n v="449"/>
    <d v="2011-01-20T00:00:00"/>
    <x v="0"/>
    <n v="0"/>
    <n v="1"/>
    <n v="17"/>
    <b v="0"/>
    <n v="4"/>
    <n v="2"/>
    <x v="11"/>
    <x v="21"/>
    <n v="0.49"/>
    <x v="14"/>
    <n v="8"/>
    <n v="207"/>
    <n v="215"/>
    <x v="1"/>
    <x v="1"/>
    <s v="Evening"/>
    <s v="January"/>
    <s v="Spring"/>
    <n v="0.22929155386993369"/>
    <n v="-0.25435329828790432"/>
    <n v="0.10399668008577614"/>
    <n v="0.36604748519325236"/>
  </r>
  <r>
    <n v="450"/>
    <d v="2011-01-20T00:00:00"/>
    <x v="0"/>
    <n v="0"/>
    <n v="1"/>
    <n v="18"/>
    <b v="0"/>
    <n v="4"/>
    <n v="2"/>
    <x v="12"/>
    <x v="2"/>
    <n v="0.56000000000000005"/>
    <x v="5"/>
    <n v="1"/>
    <n v="184"/>
    <n v="185"/>
    <x v="1"/>
    <x v="1"/>
    <s v="Evening"/>
    <s v="January"/>
    <s v="Spring"/>
    <n v="0.22929155386993369"/>
    <n v="-0.25435329828790432"/>
    <n v="0.10399668008577614"/>
    <n v="0.36604748519325236"/>
  </r>
  <r>
    <n v="451"/>
    <d v="2011-01-20T00:00:00"/>
    <x v="0"/>
    <n v="0"/>
    <n v="1"/>
    <n v="19"/>
    <b v="0"/>
    <n v="4"/>
    <n v="1"/>
    <x v="12"/>
    <x v="11"/>
    <n v="0.56000000000000005"/>
    <x v="9"/>
    <n v="6"/>
    <n v="146"/>
    <n v="152"/>
    <x v="1"/>
    <x v="0"/>
    <s v="Evening"/>
    <s v="January"/>
    <s v="Spring"/>
    <n v="0.22929155386993369"/>
    <n v="-0.25435329828790432"/>
    <n v="0.10399668008577614"/>
    <n v="0.36604748519325236"/>
  </r>
  <r>
    <n v="452"/>
    <d v="2011-01-20T00:00:00"/>
    <x v="0"/>
    <n v="0"/>
    <n v="1"/>
    <n v="20"/>
    <b v="0"/>
    <n v="4"/>
    <n v="2"/>
    <x v="12"/>
    <x v="19"/>
    <n v="0.6"/>
    <x v="3"/>
    <n v="2"/>
    <n v="124"/>
    <n v="126"/>
    <x v="1"/>
    <x v="1"/>
    <s v="Evening"/>
    <s v="January"/>
    <s v="Spring"/>
    <n v="0.22929155386993369"/>
    <n v="-0.25435329828790432"/>
    <n v="0.10399668008577614"/>
    <n v="0.36604748519325236"/>
  </r>
  <r>
    <n v="453"/>
    <d v="2011-01-20T00:00:00"/>
    <x v="0"/>
    <n v="0"/>
    <n v="1"/>
    <n v="21"/>
    <b v="0"/>
    <n v="4"/>
    <n v="2"/>
    <x v="0"/>
    <x v="11"/>
    <n v="0.6"/>
    <x v="2"/>
    <n v="3"/>
    <n v="54"/>
    <n v="57"/>
    <x v="1"/>
    <x v="1"/>
    <s v="Night"/>
    <s v="January"/>
    <s v="Spring"/>
    <n v="0.22929155386993369"/>
    <n v="-0.25435329828790432"/>
    <n v="0.10399668008577614"/>
    <n v="0.36604748519325236"/>
  </r>
  <r>
    <n v="454"/>
    <d v="2011-01-20T00:00:00"/>
    <x v="0"/>
    <n v="0"/>
    <n v="1"/>
    <n v="22"/>
    <b v="0"/>
    <n v="4"/>
    <n v="2"/>
    <x v="0"/>
    <x v="12"/>
    <n v="0.65"/>
    <x v="3"/>
    <n v="0"/>
    <n v="56"/>
    <n v="56"/>
    <x v="1"/>
    <x v="1"/>
    <s v="Night"/>
    <s v="January"/>
    <s v="Spring"/>
    <n v="0.22929155386993369"/>
    <n v="-0.25435329828790432"/>
    <n v="0.10399668008577614"/>
    <n v="0.36604748519325236"/>
  </r>
  <r>
    <n v="455"/>
    <d v="2011-01-20T00:00:00"/>
    <x v="0"/>
    <n v="0"/>
    <n v="1"/>
    <n v="23"/>
    <b v="0"/>
    <n v="4"/>
    <n v="2"/>
    <x v="0"/>
    <x v="12"/>
    <n v="0.65"/>
    <x v="9"/>
    <n v="3"/>
    <n v="28"/>
    <n v="31"/>
    <x v="1"/>
    <x v="1"/>
    <s v="Night"/>
    <s v="January"/>
    <s v="Spring"/>
    <n v="0.22929155386993369"/>
    <n v="-0.25435329828790432"/>
    <n v="0.10399668008577614"/>
    <n v="0.36604748519325236"/>
  </r>
  <r>
    <n v="456"/>
    <d v="2011-01-21T00:00:00"/>
    <x v="0"/>
    <n v="0"/>
    <n v="1"/>
    <n v="0"/>
    <b v="0"/>
    <n v="5"/>
    <n v="2"/>
    <x v="0"/>
    <x v="11"/>
    <n v="0.7"/>
    <x v="2"/>
    <n v="1"/>
    <n v="20"/>
    <n v="21"/>
    <x v="1"/>
    <x v="1"/>
    <s v="Night"/>
    <s v="January"/>
    <s v="Spring"/>
    <n v="0.22929155386993369"/>
    <n v="-0.25435329828790432"/>
    <n v="0.10399668008577614"/>
    <n v="0.36604748519325236"/>
  </r>
  <r>
    <n v="457"/>
    <d v="2011-01-21T00:00:00"/>
    <x v="0"/>
    <n v="0"/>
    <n v="1"/>
    <n v="1"/>
    <b v="0"/>
    <n v="5"/>
    <n v="2"/>
    <x v="0"/>
    <x v="11"/>
    <n v="0.7"/>
    <x v="2"/>
    <n v="0"/>
    <n v="6"/>
    <n v="6"/>
    <x v="1"/>
    <x v="1"/>
    <s v="Night"/>
    <s v="January"/>
    <s v="Spring"/>
    <n v="0.22929155386993369"/>
    <n v="-0.25435329828790432"/>
    <n v="0.10399668008577614"/>
    <n v="0.36604748519325236"/>
  </r>
  <r>
    <n v="458"/>
    <d v="2011-01-21T00:00:00"/>
    <x v="0"/>
    <n v="0"/>
    <n v="1"/>
    <n v="2"/>
    <b v="0"/>
    <n v="5"/>
    <n v="3"/>
    <x v="0"/>
    <x v="19"/>
    <n v="0.75"/>
    <x v="8"/>
    <n v="0"/>
    <n v="2"/>
    <n v="2"/>
    <x v="1"/>
    <x v="2"/>
    <s v="Night"/>
    <s v="January"/>
    <s v="Spring"/>
    <n v="0.22929155386993369"/>
    <n v="-0.25435329828790432"/>
    <n v="0.10399668008577614"/>
    <n v="0.36604748519325236"/>
  </r>
  <r>
    <n v="459"/>
    <d v="2011-01-21T00:00:00"/>
    <x v="0"/>
    <n v="0"/>
    <n v="1"/>
    <n v="3"/>
    <b v="0"/>
    <n v="5"/>
    <n v="3"/>
    <x v="1"/>
    <x v="12"/>
    <n v="0.8"/>
    <x v="4"/>
    <n v="0"/>
    <n v="1"/>
    <n v="1"/>
    <x v="1"/>
    <x v="2"/>
    <s v="Night"/>
    <s v="January"/>
    <s v="Spring"/>
    <n v="0.22929155386993369"/>
    <n v="-0.25435329828790432"/>
    <n v="0.10399668008577614"/>
    <n v="0.36604748519325236"/>
  </r>
  <r>
    <n v="460"/>
    <d v="2011-01-21T00:00:00"/>
    <x v="0"/>
    <n v="0"/>
    <n v="1"/>
    <n v="4"/>
    <b v="0"/>
    <n v="5"/>
    <n v="2"/>
    <x v="1"/>
    <x v="2"/>
    <n v="0.87"/>
    <x v="1"/>
    <n v="0"/>
    <n v="1"/>
    <n v="1"/>
    <x v="1"/>
    <x v="1"/>
    <s v="Night"/>
    <s v="January"/>
    <s v="Spring"/>
    <n v="0.22929155386993369"/>
    <n v="-0.25435329828790432"/>
    <n v="0.10399668008577614"/>
    <n v="0.36604748519325236"/>
  </r>
  <r>
    <n v="461"/>
    <d v="2011-01-21T00:00:00"/>
    <x v="0"/>
    <n v="0"/>
    <n v="1"/>
    <n v="5"/>
    <b v="0"/>
    <n v="5"/>
    <n v="1"/>
    <x v="0"/>
    <x v="13"/>
    <n v="0.6"/>
    <x v="12"/>
    <n v="1"/>
    <n v="4"/>
    <n v="5"/>
    <x v="1"/>
    <x v="0"/>
    <s v="Night"/>
    <s v="January"/>
    <s v="Spring"/>
    <n v="0.22929155386993369"/>
    <n v="-0.25435329828790432"/>
    <n v="0.10399668008577614"/>
    <n v="0.36604748519325236"/>
  </r>
  <r>
    <n v="462"/>
    <d v="2011-01-21T00:00:00"/>
    <x v="0"/>
    <n v="0"/>
    <n v="1"/>
    <n v="6"/>
    <b v="0"/>
    <n v="5"/>
    <n v="1"/>
    <x v="1"/>
    <x v="12"/>
    <n v="0.55000000000000004"/>
    <x v="2"/>
    <n v="0"/>
    <n v="27"/>
    <n v="27"/>
    <x v="1"/>
    <x v="0"/>
    <s v="Morning"/>
    <s v="January"/>
    <s v="Spring"/>
    <n v="0.22929155386993369"/>
    <n v="-0.25435329828790432"/>
    <n v="0.10399668008577614"/>
    <n v="0.36604748519325236"/>
  </r>
  <r>
    <n v="463"/>
    <d v="2011-01-21T00:00:00"/>
    <x v="0"/>
    <n v="0"/>
    <n v="1"/>
    <n v="7"/>
    <b v="0"/>
    <n v="5"/>
    <n v="1"/>
    <x v="2"/>
    <x v="18"/>
    <n v="0.51"/>
    <x v="3"/>
    <n v="2"/>
    <n v="66"/>
    <n v="68"/>
    <x v="1"/>
    <x v="0"/>
    <s v="Morning"/>
    <s v="January"/>
    <s v="Spring"/>
    <n v="0.22929155386993369"/>
    <n v="-0.25435329828790432"/>
    <n v="0.10399668008577614"/>
    <n v="0.36604748519325236"/>
  </r>
  <r>
    <n v="464"/>
    <d v="2011-01-21T00:00:00"/>
    <x v="0"/>
    <n v="0"/>
    <n v="1"/>
    <n v="8"/>
    <b v="0"/>
    <n v="5"/>
    <n v="1"/>
    <x v="2"/>
    <x v="18"/>
    <n v="0.47"/>
    <x v="9"/>
    <n v="7"/>
    <n v="210"/>
    <n v="217"/>
    <x v="1"/>
    <x v="0"/>
    <s v="Morning"/>
    <s v="January"/>
    <s v="Spring"/>
    <n v="0.22929155386993369"/>
    <n v="-0.25435329828790432"/>
    <n v="0.10399668008577614"/>
    <n v="0.36604748519325236"/>
  </r>
  <r>
    <n v="465"/>
    <d v="2011-01-21T00:00:00"/>
    <x v="0"/>
    <n v="0"/>
    <n v="1"/>
    <n v="9"/>
    <b v="0"/>
    <n v="5"/>
    <n v="1"/>
    <x v="2"/>
    <x v="18"/>
    <n v="0.51"/>
    <x v="11"/>
    <n v="7"/>
    <n v="159"/>
    <n v="166"/>
    <x v="1"/>
    <x v="0"/>
    <s v="Morning"/>
    <s v="January"/>
    <s v="Spring"/>
    <n v="0.22929155386993369"/>
    <n v="-0.25435329828790432"/>
    <n v="0.10399668008577614"/>
    <n v="0.36604748519325236"/>
  </r>
  <r>
    <n v="466"/>
    <d v="2011-01-21T00:00:00"/>
    <x v="0"/>
    <n v="0"/>
    <n v="1"/>
    <n v="10"/>
    <b v="0"/>
    <n v="5"/>
    <n v="1"/>
    <x v="2"/>
    <x v="17"/>
    <n v="0.47"/>
    <x v="17"/>
    <n v="6"/>
    <n v="57"/>
    <n v="63"/>
    <x v="1"/>
    <x v="0"/>
    <s v="Morning"/>
    <s v="January"/>
    <s v="Spring"/>
    <n v="0.22929155386993369"/>
    <n v="-0.25435329828790432"/>
    <n v="0.10399668008577614"/>
    <n v="0.36604748519325236"/>
  </r>
  <r>
    <n v="467"/>
    <d v="2011-01-21T00:00:00"/>
    <x v="0"/>
    <n v="0"/>
    <n v="1"/>
    <n v="11"/>
    <b v="0"/>
    <n v="5"/>
    <n v="1"/>
    <x v="1"/>
    <x v="18"/>
    <n v="0.41"/>
    <x v="17"/>
    <n v="6"/>
    <n v="53"/>
    <n v="59"/>
    <x v="1"/>
    <x v="0"/>
    <s v="Morning"/>
    <s v="January"/>
    <s v="Spring"/>
    <n v="0.22929155386993369"/>
    <n v="-0.25435329828790432"/>
    <n v="0.10399668008577614"/>
    <n v="0.36604748519325236"/>
  </r>
  <r>
    <n v="468"/>
    <d v="2011-01-21T00:00:00"/>
    <x v="0"/>
    <n v="0"/>
    <n v="1"/>
    <n v="12"/>
    <b v="0"/>
    <n v="5"/>
    <n v="1"/>
    <x v="1"/>
    <x v="18"/>
    <n v="0.27"/>
    <x v="19"/>
    <n v="11"/>
    <n v="67"/>
    <n v="78"/>
    <x v="1"/>
    <x v="0"/>
    <s v="Afternoon"/>
    <s v="January"/>
    <s v="Spring"/>
    <n v="0.22929155386993369"/>
    <n v="-0.25435329828790432"/>
    <n v="0.10399668008577614"/>
    <n v="0.36604748519325236"/>
  </r>
  <r>
    <n v="469"/>
    <d v="2011-01-21T00:00:00"/>
    <x v="0"/>
    <n v="0"/>
    <n v="1"/>
    <n v="13"/>
    <b v="0"/>
    <n v="5"/>
    <n v="1"/>
    <x v="2"/>
    <x v="20"/>
    <n v="0.21"/>
    <x v="19"/>
    <n v="8"/>
    <n v="65"/>
    <n v="73"/>
    <x v="1"/>
    <x v="0"/>
    <s v="Afternoon"/>
    <s v="January"/>
    <s v="Spring"/>
    <n v="0.22929155386993369"/>
    <n v="-0.25435329828790432"/>
    <n v="0.10399668008577614"/>
    <n v="0.36604748519325236"/>
  </r>
  <r>
    <n v="470"/>
    <d v="2011-01-21T00:00:00"/>
    <x v="0"/>
    <n v="0"/>
    <n v="1"/>
    <n v="14"/>
    <b v="0"/>
    <n v="5"/>
    <n v="1"/>
    <x v="2"/>
    <x v="20"/>
    <n v="0.25"/>
    <x v="18"/>
    <n v="6"/>
    <n v="56"/>
    <n v="62"/>
    <x v="1"/>
    <x v="0"/>
    <s v="Afternoon"/>
    <s v="January"/>
    <s v="Spring"/>
    <n v="0.22929155386993369"/>
    <n v="-0.25435329828790432"/>
    <n v="0.10399668008577614"/>
    <n v="0.36604748519325236"/>
  </r>
  <r>
    <n v="471"/>
    <d v="2011-01-21T00:00:00"/>
    <x v="0"/>
    <n v="0"/>
    <n v="1"/>
    <n v="15"/>
    <b v="0"/>
    <n v="5"/>
    <n v="1"/>
    <x v="13"/>
    <x v="16"/>
    <n v="0.26"/>
    <x v="10"/>
    <n v="4"/>
    <n v="61"/>
    <n v="65"/>
    <x v="1"/>
    <x v="0"/>
    <s v="Afternoon"/>
    <s v="January"/>
    <s v="Spring"/>
    <n v="0.22929155386993369"/>
    <n v="-0.25435329828790432"/>
    <n v="0.10399668008577614"/>
    <n v="0.36604748519325236"/>
  </r>
  <r>
    <n v="472"/>
    <d v="2011-01-21T00:00:00"/>
    <x v="0"/>
    <n v="0"/>
    <n v="1"/>
    <n v="16"/>
    <b v="0"/>
    <n v="5"/>
    <n v="1"/>
    <x v="13"/>
    <x v="14"/>
    <n v="0.26"/>
    <x v="11"/>
    <n v="0"/>
    <n v="97"/>
    <n v="97"/>
    <x v="1"/>
    <x v="0"/>
    <s v="Afternoon"/>
    <s v="January"/>
    <s v="Spring"/>
    <n v="0.22929155386993369"/>
    <n v="-0.25435329828790432"/>
    <n v="0.10399668008577614"/>
    <n v="0.36604748519325236"/>
  </r>
  <r>
    <n v="473"/>
    <d v="2011-01-21T00:00:00"/>
    <x v="0"/>
    <n v="0"/>
    <n v="1"/>
    <n v="17"/>
    <b v="0"/>
    <n v="5"/>
    <n v="1"/>
    <x v="14"/>
    <x v="16"/>
    <n v="0.28000000000000003"/>
    <x v="11"/>
    <n v="10"/>
    <n v="151"/>
    <n v="161"/>
    <x v="1"/>
    <x v="0"/>
    <s v="Evening"/>
    <s v="January"/>
    <s v="Spring"/>
    <n v="0.22929155386993369"/>
    <n v="-0.25435329828790432"/>
    <n v="0.10399668008577614"/>
    <n v="0.36604748519325236"/>
  </r>
  <r>
    <n v="474"/>
    <d v="2011-01-21T00:00:00"/>
    <x v="0"/>
    <n v="0"/>
    <n v="1"/>
    <n v="18"/>
    <b v="0"/>
    <n v="5"/>
    <n v="1"/>
    <x v="16"/>
    <x v="16"/>
    <n v="0.3"/>
    <x v="2"/>
    <n v="1"/>
    <n v="119"/>
    <n v="120"/>
    <x v="1"/>
    <x v="0"/>
    <s v="Evening"/>
    <s v="January"/>
    <s v="Spring"/>
    <n v="0.22929155386993369"/>
    <n v="-0.25435329828790432"/>
    <n v="0.10399668008577614"/>
    <n v="0.36604748519325236"/>
  </r>
  <r>
    <n v="475"/>
    <d v="2011-01-21T00:00:00"/>
    <x v="0"/>
    <n v="0"/>
    <n v="1"/>
    <n v="19"/>
    <b v="0"/>
    <n v="5"/>
    <n v="1"/>
    <x v="16"/>
    <x v="15"/>
    <n v="0.3"/>
    <x v="9"/>
    <n v="3"/>
    <n v="93"/>
    <n v="96"/>
    <x v="1"/>
    <x v="0"/>
    <s v="Evening"/>
    <s v="January"/>
    <s v="Spring"/>
    <n v="0.22929155386993369"/>
    <n v="-0.25435329828790432"/>
    <n v="0.10399668008577614"/>
    <n v="0.36604748519325236"/>
  </r>
  <r>
    <n v="476"/>
    <d v="2011-01-21T00:00:00"/>
    <x v="0"/>
    <n v="0"/>
    <n v="1"/>
    <n v="20"/>
    <b v="0"/>
    <n v="5"/>
    <n v="1"/>
    <x v="18"/>
    <x v="23"/>
    <n v="0.33"/>
    <x v="12"/>
    <n v="1"/>
    <n v="52"/>
    <n v="53"/>
    <x v="1"/>
    <x v="0"/>
    <s v="Evening"/>
    <s v="January"/>
    <s v="Spring"/>
    <n v="0.22929155386993369"/>
    <n v="-0.25435329828790432"/>
    <n v="0.10399668008577614"/>
    <n v="0.36604748519325236"/>
  </r>
  <r>
    <n v="477"/>
    <d v="2011-01-21T00:00:00"/>
    <x v="0"/>
    <n v="0"/>
    <n v="1"/>
    <n v="21"/>
    <b v="0"/>
    <n v="5"/>
    <n v="1"/>
    <x v="19"/>
    <x v="23"/>
    <n v="0.38"/>
    <x v="3"/>
    <n v="0"/>
    <n v="41"/>
    <n v="41"/>
    <x v="1"/>
    <x v="0"/>
    <s v="Night"/>
    <s v="January"/>
    <s v="Spring"/>
    <n v="0.22929155386993369"/>
    <n v="-0.25435329828790432"/>
    <n v="0.10399668008577614"/>
    <n v="0.36604748519325236"/>
  </r>
  <r>
    <n v="478"/>
    <d v="2011-01-21T00:00:00"/>
    <x v="0"/>
    <n v="0"/>
    <n v="1"/>
    <n v="22"/>
    <b v="0"/>
    <n v="5"/>
    <n v="1"/>
    <x v="20"/>
    <x v="26"/>
    <n v="0.41"/>
    <x v="13"/>
    <n v="1"/>
    <n v="33"/>
    <n v="34"/>
    <x v="1"/>
    <x v="0"/>
    <s v="Night"/>
    <s v="January"/>
    <s v="Spring"/>
    <n v="0.22929155386993369"/>
    <n v="-0.25435329828790432"/>
    <n v="0.10399668008577614"/>
    <n v="0.36604748519325236"/>
  </r>
  <r>
    <n v="479"/>
    <d v="2011-01-21T00:00:00"/>
    <x v="0"/>
    <n v="0"/>
    <n v="1"/>
    <n v="23"/>
    <b v="0"/>
    <n v="5"/>
    <n v="1"/>
    <x v="20"/>
    <x v="27"/>
    <n v="0.38"/>
    <x v="9"/>
    <n v="0"/>
    <n v="27"/>
    <n v="27"/>
    <x v="1"/>
    <x v="0"/>
    <s v="Night"/>
    <s v="January"/>
    <s v="Spring"/>
    <n v="0.22929155386993369"/>
    <n v="-0.25435329828790432"/>
    <n v="0.10399668008577614"/>
    <n v="0.36604748519325236"/>
  </r>
  <r>
    <n v="480"/>
    <d v="2011-01-22T00:00:00"/>
    <x v="0"/>
    <n v="0"/>
    <n v="1"/>
    <n v="0"/>
    <b v="0"/>
    <n v="6"/>
    <n v="1"/>
    <x v="21"/>
    <x v="26"/>
    <n v="0.45"/>
    <x v="2"/>
    <n v="0"/>
    <n v="13"/>
    <n v="13"/>
    <x v="0"/>
    <x v="0"/>
    <s v="Night"/>
    <s v="January"/>
    <s v="Spring"/>
    <n v="0.22929155386993369"/>
    <n v="-0.25435329828790432"/>
    <n v="0.10399668008577614"/>
    <n v="0.36604748519325236"/>
  </r>
  <r>
    <n v="481"/>
    <d v="2011-01-22T00:00:00"/>
    <x v="0"/>
    <n v="0"/>
    <n v="1"/>
    <n v="1"/>
    <b v="0"/>
    <n v="6"/>
    <n v="2"/>
    <x v="21"/>
    <x v="28"/>
    <n v="0.41"/>
    <x v="13"/>
    <n v="3"/>
    <n v="9"/>
    <n v="12"/>
    <x v="0"/>
    <x v="1"/>
    <s v="Night"/>
    <s v="January"/>
    <s v="Spring"/>
    <n v="0.22929155386993369"/>
    <n v="-0.25435329828790432"/>
    <n v="0.10399668008577614"/>
    <n v="0.36604748519325236"/>
  </r>
  <r>
    <n v="482"/>
    <d v="2011-01-22T00:00:00"/>
    <x v="0"/>
    <n v="0"/>
    <n v="1"/>
    <n v="2"/>
    <b v="0"/>
    <n v="6"/>
    <n v="2"/>
    <x v="21"/>
    <x v="26"/>
    <n v="0.41"/>
    <x v="2"/>
    <n v="0"/>
    <n v="11"/>
    <n v="11"/>
    <x v="0"/>
    <x v="1"/>
    <s v="Night"/>
    <s v="January"/>
    <s v="Spring"/>
    <n v="0.22929155386993369"/>
    <n v="-0.25435329828790432"/>
    <n v="0.10399668008577614"/>
    <n v="0.36604748519325236"/>
  </r>
  <r>
    <n v="483"/>
    <d v="2011-01-22T00:00:00"/>
    <x v="0"/>
    <n v="0"/>
    <n v="1"/>
    <n v="3"/>
    <b v="0"/>
    <n v="6"/>
    <n v="2"/>
    <x v="21"/>
    <x v="26"/>
    <n v="0.41"/>
    <x v="3"/>
    <n v="1"/>
    <n v="6"/>
    <n v="7"/>
    <x v="0"/>
    <x v="1"/>
    <s v="Night"/>
    <s v="January"/>
    <s v="Spring"/>
    <n v="0.22929155386993369"/>
    <n v="-0.25435329828790432"/>
    <n v="0.10399668008577614"/>
    <n v="0.36604748519325236"/>
  </r>
  <r>
    <n v="484"/>
    <d v="2011-01-22T00:00:00"/>
    <x v="0"/>
    <n v="0"/>
    <n v="1"/>
    <n v="4"/>
    <b v="0"/>
    <n v="6"/>
    <n v="2"/>
    <x v="22"/>
    <x v="29"/>
    <n v="0.48"/>
    <x v="4"/>
    <n v="0"/>
    <n v="3"/>
    <n v="3"/>
    <x v="0"/>
    <x v="1"/>
    <s v="Night"/>
    <s v="January"/>
    <s v="Spring"/>
    <n v="0.22929155386993369"/>
    <n v="-0.25435329828790432"/>
    <n v="0.10399668008577614"/>
    <n v="0.36604748519325236"/>
  </r>
  <r>
    <n v="485"/>
    <d v="2011-01-22T00:00:00"/>
    <x v="0"/>
    <n v="0"/>
    <n v="1"/>
    <n v="6"/>
    <b v="0"/>
    <n v="6"/>
    <n v="2"/>
    <x v="22"/>
    <x v="26"/>
    <n v="0.44"/>
    <x v="6"/>
    <n v="0"/>
    <n v="2"/>
    <n v="2"/>
    <x v="0"/>
    <x v="1"/>
    <s v="Morning"/>
    <s v="January"/>
    <s v="Spring"/>
    <n v="0.22929155386993369"/>
    <n v="-0.25435329828790432"/>
    <n v="0.10399668008577614"/>
    <n v="0.36604748519325236"/>
  </r>
  <r>
    <n v="486"/>
    <d v="2011-01-22T00:00:00"/>
    <x v="0"/>
    <n v="0"/>
    <n v="1"/>
    <n v="7"/>
    <b v="0"/>
    <n v="6"/>
    <n v="1"/>
    <x v="22"/>
    <x v="29"/>
    <n v="0.44"/>
    <x v="3"/>
    <n v="0"/>
    <n v="8"/>
    <n v="8"/>
    <x v="0"/>
    <x v="0"/>
    <s v="Morning"/>
    <s v="January"/>
    <s v="Spring"/>
    <n v="0.22929155386993369"/>
    <n v="-0.25435329828790432"/>
    <n v="0.10399668008577614"/>
    <n v="0.36604748519325236"/>
  </r>
  <r>
    <n v="487"/>
    <d v="2011-01-22T00:00:00"/>
    <x v="0"/>
    <n v="0"/>
    <n v="1"/>
    <n v="8"/>
    <b v="0"/>
    <n v="6"/>
    <n v="1"/>
    <x v="22"/>
    <x v="28"/>
    <n v="0.44"/>
    <x v="9"/>
    <n v="1"/>
    <n v="26"/>
    <n v="27"/>
    <x v="0"/>
    <x v="0"/>
    <s v="Morning"/>
    <s v="January"/>
    <s v="Spring"/>
    <n v="0.22929155386993369"/>
    <n v="-0.25435329828790432"/>
    <n v="0.10399668008577614"/>
    <n v="0.36604748519325236"/>
  </r>
  <r>
    <n v="488"/>
    <d v="2011-01-22T00:00:00"/>
    <x v="0"/>
    <n v="0"/>
    <n v="1"/>
    <n v="9"/>
    <b v="0"/>
    <n v="6"/>
    <n v="1"/>
    <x v="21"/>
    <x v="26"/>
    <n v="0.41"/>
    <x v="2"/>
    <n v="3"/>
    <n v="37"/>
    <n v="40"/>
    <x v="0"/>
    <x v="0"/>
    <s v="Morning"/>
    <s v="January"/>
    <s v="Spring"/>
    <n v="0.22929155386993369"/>
    <n v="-0.25435329828790432"/>
    <n v="0.10399668008577614"/>
    <n v="0.36604748519325236"/>
  </r>
  <r>
    <n v="489"/>
    <d v="2011-01-22T00:00:00"/>
    <x v="0"/>
    <n v="0"/>
    <n v="1"/>
    <n v="10"/>
    <b v="0"/>
    <n v="6"/>
    <n v="2"/>
    <x v="21"/>
    <x v="22"/>
    <n v="0.41"/>
    <x v="8"/>
    <n v="3"/>
    <n v="50"/>
    <n v="53"/>
    <x v="0"/>
    <x v="1"/>
    <s v="Morning"/>
    <s v="January"/>
    <s v="Spring"/>
    <n v="0.22929155386993369"/>
    <n v="-0.25435329828790432"/>
    <n v="0.10399668008577614"/>
    <n v="0.36604748519325236"/>
  </r>
  <r>
    <n v="490"/>
    <d v="2011-01-22T00:00:00"/>
    <x v="0"/>
    <n v="0"/>
    <n v="1"/>
    <n v="11"/>
    <b v="0"/>
    <n v="6"/>
    <n v="2"/>
    <x v="20"/>
    <x v="23"/>
    <n v="0.38"/>
    <x v="7"/>
    <n v="4"/>
    <n v="59"/>
    <n v="63"/>
    <x v="0"/>
    <x v="1"/>
    <s v="Morning"/>
    <s v="January"/>
    <s v="Spring"/>
    <n v="0.22929155386993369"/>
    <n v="-0.25435329828790432"/>
    <n v="0.10399668008577614"/>
    <n v="0.36604748519325236"/>
  </r>
  <r>
    <n v="491"/>
    <d v="2011-01-22T00:00:00"/>
    <x v="0"/>
    <n v="0"/>
    <n v="1"/>
    <n v="12"/>
    <b v="0"/>
    <n v="6"/>
    <n v="2"/>
    <x v="20"/>
    <x v="15"/>
    <n v="0.38"/>
    <x v="14"/>
    <n v="10"/>
    <n v="60"/>
    <n v="70"/>
    <x v="0"/>
    <x v="1"/>
    <s v="Afternoon"/>
    <s v="January"/>
    <s v="Spring"/>
    <n v="0.22929155386993369"/>
    <n v="-0.25435329828790432"/>
    <n v="0.10399668008577614"/>
    <n v="0.36604748519325236"/>
  </r>
  <r>
    <n v="492"/>
    <d v="2011-01-22T00:00:00"/>
    <x v="0"/>
    <n v="0"/>
    <n v="1"/>
    <n v="13"/>
    <b v="0"/>
    <n v="6"/>
    <n v="1"/>
    <x v="19"/>
    <x v="17"/>
    <n v="0.35"/>
    <x v="0"/>
    <n v="12"/>
    <n v="72"/>
    <n v="84"/>
    <x v="0"/>
    <x v="0"/>
    <s v="Afternoon"/>
    <s v="January"/>
    <s v="Spring"/>
    <n v="0.22929155386993369"/>
    <n v="-0.25435329828790432"/>
    <n v="0.10399668008577614"/>
    <n v="0.36604748519325236"/>
  </r>
  <r>
    <n v="493"/>
    <d v="2011-01-22T00:00:00"/>
    <x v="0"/>
    <n v="0"/>
    <n v="1"/>
    <n v="14"/>
    <b v="0"/>
    <n v="6"/>
    <n v="1"/>
    <x v="18"/>
    <x v="14"/>
    <n v="0.33"/>
    <x v="14"/>
    <n v="11"/>
    <n v="64"/>
    <n v="75"/>
    <x v="0"/>
    <x v="0"/>
    <s v="Afternoon"/>
    <s v="January"/>
    <s v="Spring"/>
    <n v="0.22929155386993369"/>
    <n v="-0.25435329828790432"/>
    <n v="0.10399668008577614"/>
    <n v="0.36604748519325236"/>
  </r>
  <r>
    <n v="494"/>
    <d v="2011-01-22T00:00:00"/>
    <x v="0"/>
    <n v="0"/>
    <n v="1"/>
    <n v="15"/>
    <b v="0"/>
    <n v="6"/>
    <n v="1"/>
    <x v="16"/>
    <x v="20"/>
    <n v="0.28000000000000003"/>
    <x v="0"/>
    <n v="10"/>
    <n v="93"/>
    <n v="103"/>
    <x v="0"/>
    <x v="0"/>
    <s v="Afternoon"/>
    <s v="January"/>
    <s v="Spring"/>
    <n v="0.22929155386993369"/>
    <n v="-0.25435329828790432"/>
    <n v="0.10399668008577614"/>
    <n v="0.36604748519325236"/>
  </r>
  <r>
    <n v="495"/>
    <d v="2011-01-22T00:00:00"/>
    <x v="0"/>
    <n v="0"/>
    <n v="1"/>
    <n v="16"/>
    <b v="0"/>
    <n v="6"/>
    <n v="1"/>
    <x v="16"/>
    <x v="14"/>
    <n v="0.28000000000000003"/>
    <x v="5"/>
    <n v="11"/>
    <n v="72"/>
    <n v="83"/>
    <x v="0"/>
    <x v="0"/>
    <s v="Afternoon"/>
    <s v="January"/>
    <s v="Spring"/>
    <n v="0.22929155386993369"/>
    <n v="-0.25435329828790432"/>
    <n v="0.10399668008577614"/>
    <n v="0.36604748519325236"/>
  </r>
  <r>
    <n v="496"/>
    <d v="2011-01-22T00:00:00"/>
    <x v="0"/>
    <n v="0"/>
    <n v="1"/>
    <n v="17"/>
    <b v="0"/>
    <n v="6"/>
    <n v="1"/>
    <x v="16"/>
    <x v="13"/>
    <n v="0.28000000000000003"/>
    <x v="0"/>
    <n v="8"/>
    <n v="59"/>
    <n v="67"/>
    <x v="0"/>
    <x v="0"/>
    <s v="Evening"/>
    <s v="January"/>
    <s v="Spring"/>
    <n v="0.22929155386993369"/>
    <n v="-0.25435329828790432"/>
    <n v="0.10399668008577614"/>
    <n v="0.36604748519325236"/>
  </r>
  <r>
    <n v="497"/>
    <d v="2011-01-22T00:00:00"/>
    <x v="0"/>
    <n v="0"/>
    <n v="1"/>
    <n v="18"/>
    <b v="0"/>
    <n v="6"/>
    <n v="1"/>
    <x v="19"/>
    <x v="24"/>
    <n v="0.35"/>
    <x v="5"/>
    <n v="0"/>
    <n v="54"/>
    <n v="54"/>
    <x v="0"/>
    <x v="0"/>
    <s v="Evening"/>
    <s v="January"/>
    <s v="Spring"/>
    <n v="0.22929155386993369"/>
    <n v="-0.25435329828790432"/>
    <n v="0.10399668008577614"/>
    <n v="0.36604748519325236"/>
  </r>
  <r>
    <n v="498"/>
    <d v="2011-01-22T00:00:00"/>
    <x v="0"/>
    <n v="0"/>
    <n v="1"/>
    <n v="19"/>
    <b v="0"/>
    <n v="6"/>
    <n v="1"/>
    <x v="19"/>
    <x v="15"/>
    <n v="0.35"/>
    <x v="7"/>
    <n v="6"/>
    <n v="53"/>
    <n v="59"/>
    <x v="0"/>
    <x v="0"/>
    <s v="Evening"/>
    <s v="January"/>
    <s v="Spring"/>
    <n v="0.22929155386993369"/>
    <n v="-0.25435329828790432"/>
    <n v="0.10399668008577614"/>
    <n v="0.36604748519325236"/>
  </r>
  <r>
    <n v="499"/>
    <d v="2011-01-22T00:00:00"/>
    <x v="0"/>
    <n v="0"/>
    <n v="1"/>
    <n v="20"/>
    <b v="0"/>
    <n v="6"/>
    <n v="1"/>
    <x v="20"/>
    <x v="23"/>
    <n v="0.45"/>
    <x v="8"/>
    <n v="1"/>
    <n v="44"/>
    <n v="45"/>
    <x v="0"/>
    <x v="0"/>
    <s v="Evening"/>
    <s v="January"/>
    <s v="Spring"/>
    <n v="0.22929155386993369"/>
    <n v="-0.25435329828790432"/>
    <n v="0.10399668008577614"/>
    <n v="0.36604748519325236"/>
  </r>
  <r>
    <n v="500"/>
    <d v="2011-01-22T00:00:00"/>
    <x v="0"/>
    <n v="0"/>
    <n v="1"/>
    <n v="21"/>
    <b v="0"/>
    <n v="6"/>
    <n v="1"/>
    <x v="20"/>
    <x v="15"/>
    <n v="0.41"/>
    <x v="1"/>
    <n v="0"/>
    <n v="39"/>
    <n v="39"/>
    <x v="0"/>
    <x v="0"/>
    <s v="Night"/>
    <s v="January"/>
    <s v="Spring"/>
    <n v="0.22929155386993369"/>
    <n v="-0.25435329828790432"/>
    <n v="0.10399668008577614"/>
    <n v="0.36604748519325236"/>
  </r>
  <r>
    <n v="501"/>
    <d v="2011-01-22T00:00:00"/>
    <x v="0"/>
    <n v="0"/>
    <n v="1"/>
    <n v="22"/>
    <b v="0"/>
    <n v="6"/>
    <n v="1"/>
    <x v="20"/>
    <x v="20"/>
    <n v="0.49"/>
    <x v="0"/>
    <n v="7"/>
    <n v="23"/>
    <n v="30"/>
    <x v="0"/>
    <x v="0"/>
    <s v="Night"/>
    <s v="January"/>
    <s v="Spring"/>
    <n v="0.22929155386993369"/>
    <n v="-0.25435329828790432"/>
    <n v="0.10399668008577614"/>
    <n v="0.36604748519325236"/>
  </r>
  <r>
    <n v="502"/>
    <d v="2011-01-22T00:00:00"/>
    <x v="0"/>
    <n v="0"/>
    <n v="1"/>
    <n v="23"/>
    <b v="0"/>
    <n v="6"/>
    <n v="1"/>
    <x v="21"/>
    <x v="23"/>
    <n v="0.56999999999999995"/>
    <x v="14"/>
    <n v="2"/>
    <n v="31"/>
    <n v="33"/>
    <x v="0"/>
    <x v="0"/>
    <s v="Night"/>
    <s v="January"/>
    <s v="Spring"/>
    <n v="0.22929155386993369"/>
    <n v="-0.25435329828790432"/>
    <n v="0.10399668008577614"/>
    <n v="0.36604748519325236"/>
  </r>
  <r>
    <n v="503"/>
    <d v="2011-01-23T00:00:00"/>
    <x v="0"/>
    <n v="0"/>
    <n v="1"/>
    <n v="0"/>
    <b v="0"/>
    <n v="0"/>
    <n v="1"/>
    <x v="21"/>
    <x v="23"/>
    <n v="0.56999999999999995"/>
    <x v="14"/>
    <n v="2"/>
    <n v="20"/>
    <n v="22"/>
    <x v="0"/>
    <x v="0"/>
    <s v="Night"/>
    <s v="January"/>
    <s v="Spring"/>
    <n v="0.22929155386993369"/>
    <n v="-0.25435329828790432"/>
    <n v="0.10399668008577614"/>
    <n v="0.36604748519325236"/>
  </r>
  <r>
    <n v="504"/>
    <d v="2011-01-23T00:00:00"/>
    <x v="0"/>
    <n v="0"/>
    <n v="1"/>
    <n v="1"/>
    <b v="0"/>
    <n v="0"/>
    <n v="1"/>
    <x v="21"/>
    <x v="23"/>
    <n v="0.56999999999999995"/>
    <x v="14"/>
    <n v="1"/>
    <n v="12"/>
    <n v="13"/>
    <x v="0"/>
    <x v="0"/>
    <s v="Night"/>
    <s v="January"/>
    <s v="Spring"/>
    <n v="0.22929155386993369"/>
    <n v="-0.25435329828790432"/>
    <n v="0.10399668008577614"/>
    <n v="0.36604748519325236"/>
  </r>
  <r>
    <n v="505"/>
    <d v="2011-01-23T00:00:00"/>
    <x v="0"/>
    <n v="0"/>
    <n v="1"/>
    <n v="2"/>
    <b v="0"/>
    <n v="0"/>
    <n v="1"/>
    <x v="22"/>
    <x v="22"/>
    <n v="0.62"/>
    <x v="7"/>
    <n v="3"/>
    <n v="15"/>
    <n v="18"/>
    <x v="0"/>
    <x v="0"/>
    <s v="Night"/>
    <s v="January"/>
    <s v="Spring"/>
    <n v="0.22929155386993369"/>
    <n v="-0.25435329828790432"/>
    <n v="0.10399668008577614"/>
    <n v="0.36604748519325236"/>
  </r>
  <r>
    <n v="506"/>
    <d v="2011-01-23T00:00:00"/>
    <x v="0"/>
    <n v="0"/>
    <n v="1"/>
    <n v="3"/>
    <b v="0"/>
    <n v="0"/>
    <n v="1"/>
    <x v="22"/>
    <x v="22"/>
    <n v="0.62"/>
    <x v="7"/>
    <n v="1"/>
    <n v="4"/>
    <n v="5"/>
    <x v="0"/>
    <x v="0"/>
    <s v="Night"/>
    <s v="January"/>
    <s v="Spring"/>
    <n v="0.22929155386993369"/>
    <n v="-0.25435329828790432"/>
    <n v="0.10399668008577614"/>
    <n v="0.36604748519325236"/>
  </r>
  <r>
    <n v="507"/>
    <d v="2011-01-23T00:00:00"/>
    <x v="0"/>
    <n v="0"/>
    <n v="1"/>
    <n v="5"/>
    <b v="0"/>
    <n v="0"/>
    <n v="2"/>
    <x v="21"/>
    <x v="23"/>
    <n v="0.56999999999999995"/>
    <x v="14"/>
    <n v="0"/>
    <n v="3"/>
    <n v="3"/>
    <x v="0"/>
    <x v="1"/>
    <s v="Night"/>
    <s v="January"/>
    <s v="Spring"/>
    <n v="0.22929155386993369"/>
    <n v="-0.25435329828790432"/>
    <n v="0.10399668008577614"/>
    <n v="0.36604748519325236"/>
  </r>
  <r>
    <n v="508"/>
    <d v="2011-01-23T00:00:00"/>
    <x v="0"/>
    <n v="0"/>
    <n v="1"/>
    <n v="6"/>
    <b v="0"/>
    <n v="0"/>
    <n v="2"/>
    <x v="21"/>
    <x v="23"/>
    <n v="0.56999999999999995"/>
    <x v="14"/>
    <n v="0"/>
    <n v="1"/>
    <n v="1"/>
    <x v="0"/>
    <x v="1"/>
    <s v="Morning"/>
    <s v="January"/>
    <s v="Spring"/>
    <n v="0.22929155386993369"/>
    <n v="-0.25435329828790432"/>
    <n v="0.10399668008577614"/>
    <n v="0.36604748519325236"/>
  </r>
  <r>
    <n v="509"/>
    <d v="2011-01-23T00:00:00"/>
    <x v="0"/>
    <n v="0"/>
    <n v="1"/>
    <n v="7"/>
    <b v="0"/>
    <n v="0"/>
    <n v="1"/>
    <x v="19"/>
    <x v="15"/>
    <n v="0.57999999999999996"/>
    <x v="8"/>
    <n v="1"/>
    <n v="1"/>
    <n v="2"/>
    <x v="0"/>
    <x v="0"/>
    <s v="Morning"/>
    <s v="January"/>
    <s v="Spring"/>
    <n v="0.22929155386993369"/>
    <n v="-0.25435329828790432"/>
    <n v="0.10399668008577614"/>
    <n v="0.36604748519325236"/>
  </r>
  <r>
    <n v="510"/>
    <d v="2011-01-23T00:00:00"/>
    <x v="0"/>
    <n v="0"/>
    <n v="1"/>
    <n v="8"/>
    <b v="0"/>
    <n v="0"/>
    <n v="1"/>
    <x v="20"/>
    <x v="23"/>
    <n v="0.62"/>
    <x v="8"/>
    <n v="2"/>
    <n v="17"/>
    <n v="19"/>
    <x v="0"/>
    <x v="0"/>
    <s v="Morning"/>
    <s v="January"/>
    <s v="Spring"/>
    <n v="0.22929155386993369"/>
    <n v="-0.25435329828790432"/>
    <n v="0.10399668008577614"/>
    <n v="0.36604748519325236"/>
  </r>
  <r>
    <n v="511"/>
    <d v="2011-01-23T00:00:00"/>
    <x v="0"/>
    <n v="0"/>
    <n v="1"/>
    <n v="9"/>
    <b v="0"/>
    <n v="0"/>
    <n v="1"/>
    <x v="18"/>
    <x v="23"/>
    <n v="0.54"/>
    <x v="11"/>
    <n v="3"/>
    <n v="25"/>
    <n v="28"/>
    <x v="0"/>
    <x v="0"/>
    <s v="Morning"/>
    <s v="January"/>
    <s v="Spring"/>
    <n v="0.22929155386993369"/>
    <n v="-0.25435329828790432"/>
    <n v="0.10399668008577614"/>
    <n v="0.36604748519325236"/>
  </r>
  <r>
    <n v="512"/>
    <d v="2011-01-23T00:00:00"/>
    <x v="0"/>
    <n v="0"/>
    <n v="1"/>
    <n v="10"/>
    <b v="0"/>
    <n v="0"/>
    <n v="1"/>
    <x v="14"/>
    <x v="15"/>
    <n v="0.46"/>
    <x v="13"/>
    <n v="7"/>
    <n v="51"/>
    <n v="58"/>
    <x v="0"/>
    <x v="0"/>
    <s v="Morning"/>
    <s v="January"/>
    <s v="Spring"/>
    <n v="0.22929155386993369"/>
    <n v="-0.25435329828790432"/>
    <n v="0.10399668008577614"/>
    <n v="0.36604748519325236"/>
  </r>
  <r>
    <n v="513"/>
    <d v="2011-01-23T00:00:00"/>
    <x v="0"/>
    <n v="0"/>
    <n v="1"/>
    <n v="11"/>
    <b v="0"/>
    <n v="0"/>
    <n v="1"/>
    <x v="14"/>
    <x v="14"/>
    <n v="0.43"/>
    <x v="6"/>
    <n v="22"/>
    <n v="77"/>
    <n v="99"/>
    <x v="0"/>
    <x v="0"/>
    <s v="Morning"/>
    <s v="January"/>
    <s v="Spring"/>
    <n v="0.22929155386993369"/>
    <n v="-0.25435329828790432"/>
    <n v="0.10399668008577614"/>
    <n v="0.36604748519325236"/>
  </r>
  <r>
    <n v="514"/>
    <d v="2011-01-23T00:00:00"/>
    <x v="0"/>
    <n v="0"/>
    <n v="1"/>
    <n v="12"/>
    <b v="0"/>
    <n v="0"/>
    <n v="1"/>
    <x v="13"/>
    <x v="16"/>
    <n v="0.37"/>
    <x v="17"/>
    <n v="24"/>
    <n v="92"/>
    <n v="116"/>
    <x v="0"/>
    <x v="0"/>
    <s v="Afternoon"/>
    <s v="January"/>
    <s v="Spring"/>
    <n v="0.22929155386993369"/>
    <n v="-0.25435329828790432"/>
    <n v="0.10399668008577614"/>
    <n v="0.36604748519325236"/>
  </r>
  <r>
    <n v="515"/>
    <d v="2011-01-23T00:00:00"/>
    <x v="0"/>
    <n v="0"/>
    <n v="1"/>
    <n v="13"/>
    <b v="0"/>
    <n v="0"/>
    <n v="1"/>
    <x v="14"/>
    <x v="15"/>
    <n v="0.33"/>
    <x v="13"/>
    <n v="12"/>
    <n v="75"/>
    <n v="87"/>
    <x v="0"/>
    <x v="0"/>
    <s v="Afternoon"/>
    <s v="January"/>
    <s v="Spring"/>
    <n v="0.22929155386993369"/>
    <n v="-0.25435329828790432"/>
    <n v="0.10399668008577614"/>
    <n v="0.36604748519325236"/>
  </r>
  <r>
    <n v="516"/>
    <d v="2011-01-23T00:00:00"/>
    <x v="0"/>
    <n v="0"/>
    <n v="1"/>
    <n v="14"/>
    <b v="0"/>
    <n v="0"/>
    <n v="1"/>
    <x v="13"/>
    <x v="14"/>
    <n v="0.28000000000000003"/>
    <x v="11"/>
    <n v="17"/>
    <n v="93"/>
    <n v="110"/>
    <x v="0"/>
    <x v="0"/>
    <s v="Afternoon"/>
    <s v="January"/>
    <s v="Spring"/>
    <n v="0.22929155386993369"/>
    <n v="-0.25435329828790432"/>
    <n v="0.10399668008577614"/>
    <n v="0.36604748519325236"/>
  </r>
  <r>
    <n v="517"/>
    <d v="2011-01-23T00:00:00"/>
    <x v="0"/>
    <n v="0"/>
    <n v="1"/>
    <n v="15"/>
    <b v="0"/>
    <n v="0"/>
    <n v="1"/>
    <x v="13"/>
    <x v="14"/>
    <n v="0.28000000000000003"/>
    <x v="11"/>
    <n v="13"/>
    <n v="64"/>
    <n v="77"/>
    <x v="0"/>
    <x v="0"/>
    <s v="Afternoon"/>
    <s v="January"/>
    <s v="Spring"/>
    <n v="0.22929155386993369"/>
    <n v="-0.25435329828790432"/>
    <n v="0.10399668008577614"/>
    <n v="0.36604748519325236"/>
  </r>
  <r>
    <n v="518"/>
    <d v="2011-01-23T00:00:00"/>
    <x v="0"/>
    <n v="0"/>
    <n v="1"/>
    <n v="16"/>
    <b v="0"/>
    <n v="0"/>
    <n v="1"/>
    <x v="13"/>
    <x v="14"/>
    <n v="0.26"/>
    <x v="9"/>
    <n v="9"/>
    <n v="56"/>
    <n v="65"/>
    <x v="0"/>
    <x v="0"/>
    <s v="Afternoon"/>
    <s v="January"/>
    <s v="Spring"/>
    <n v="0.22929155386993369"/>
    <n v="-0.25435329828790432"/>
    <n v="0.10399668008577614"/>
    <n v="0.36604748519325236"/>
  </r>
  <r>
    <n v="519"/>
    <d v="2011-01-23T00:00:00"/>
    <x v="0"/>
    <n v="0"/>
    <n v="1"/>
    <n v="17"/>
    <b v="0"/>
    <n v="0"/>
    <n v="1"/>
    <x v="14"/>
    <x v="15"/>
    <n v="0.26"/>
    <x v="13"/>
    <n v="5"/>
    <n v="50"/>
    <n v="55"/>
    <x v="0"/>
    <x v="0"/>
    <s v="Evening"/>
    <s v="January"/>
    <s v="Spring"/>
    <n v="0.22929155386993369"/>
    <n v="-0.25435329828790432"/>
    <n v="0.10399668008577614"/>
    <n v="0.36604748519325236"/>
  </r>
  <r>
    <n v="520"/>
    <d v="2011-01-23T00:00:00"/>
    <x v="0"/>
    <n v="0"/>
    <n v="1"/>
    <n v="18"/>
    <b v="0"/>
    <n v="0"/>
    <n v="1"/>
    <x v="16"/>
    <x v="16"/>
    <n v="0.3"/>
    <x v="2"/>
    <n v="5"/>
    <n v="44"/>
    <n v="49"/>
    <x v="0"/>
    <x v="0"/>
    <s v="Evening"/>
    <s v="January"/>
    <s v="Spring"/>
    <n v="0.22929155386993369"/>
    <n v="-0.25435329828790432"/>
    <n v="0.10399668008577614"/>
    <n v="0.36604748519325236"/>
  </r>
  <r>
    <n v="521"/>
    <d v="2011-01-23T00:00:00"/>
    <x v="0"/>
    <n v="0"/>
    <n v="1"/>
    <n v="19"/>
    <b v="0"/>
    <n v="0"/>
    <n v="1"/>
    <x v="16"/>
    <x v="16"/>
    <n v="0.3"/>
    <x v="3"/>
    <n v="5"/>
    <n v="45"/>
    <n v="50"/>
    <x v="0"/>
    <x v="0"/>
    <s v="Evening"/>
    <s v="January"/>
    <s v="Spring"/>
    <n v="0.22929155386993369"/>
    <n v="-0.25435329828790432"/>
    <n v="0.10399668008577614"/>
    <n v="0.36604748519325236"/>
  </r>
  <r>
    <n v="522"/>
    <d v="2011-01-23T00:00:00"/>
    <x v="0"/>
    <n v="0"/>
    <n v="1"/>
    <n v="20"/>
    <b v="0"/>
    <n v="0"/>
    <n v="1"/>
    <x v="18"/>
    <x v="15"/>
    <n v="0.36"/>
    <x v="2"/>
    <n v="4"/>
    <n v="31"/>
    <n v="35"/>
    <x v="0"/>
    <x v="0"/>
    <s v="Evening"/>
    <s v="January"/>
    <s v="Spring"/>
    <n v="0.22929155386993369"/>
    <n v="-0.25435329828790432"/>
    <n v="0.10399668008577614"/>
    <n v="0.36604748519325236"/>
  </r>
  <r>
    <n v="523"/>
    <d v="2011-01-23T00:00:00"/>
    <x v="0"/>
    <n v="0"/>
    <n v="1"/>
    <n v="21"/>
    <b v="0"/>
    <n v="0"/>
    <n v="1"/>
    <x v="18"/>
    <x v="15"/>
    <n v="0.36"/>
    <x v="5"/>
    <n v="5"/>
    <n v="20"/>
    <n v="25"/>
    <x v="0"/>
    <x v="0"/>
    <s v="Night"/>
    <s v="January"/>
    <s v="Spring"/>
    <n v="0.22929155386993369"/>
    <n v="-0.25435329828790432"/>
    <n v="0.10399668008577614"/>
    <n v="0.36604748519325236"/>
  </r>
  <r>
    <n v="524"/>
    <d v="2011-01-23T00:00:00"/>
    <x v="0"/>
    <n v="0"/>
    <n v="1"/>
    <n v="22"/>
    <b v="0"/>
    <n v="0"/>
    <n v="1"/>
    <x v="19"/>
    <x v="24"/>
    <n v="0.38"/>
    <x v="5"/>
    <n v="5"/>
    <n v="23"/>
    <n v="28"/>
    <x v="0"/>
    <x v="0"/>
    <s v="Night"/>
    <s v="January"/>
    <s v="Spring"/>
    <n v="0.22929155386993369"/>
    <n v="-0.25435329828790432"/>
    <n v="0.10399668008577614"/>
    <n v="0.36604748519325236"/>
  </r>
  <r>
    <n v="525"/>
    <d v="2011-01-23T00:00:00"/>
    <x v="0"/>
    <n v="0"/>
    <n v="1"/>
    <n v="23"/>
    <b v="0"/>
    <n v="0"/>
    <n v="1"/>
    <x v="20"/>
    <x v="22"/>
    <n v="0.41"/>
    <x v="6"/>
    <n v="4"/>
    <n v="17"/>
    <n v="21"/>
    <x v="0"/>
    <x v="0"/>
    <s v="Night"/>
    <s v="January"/>
    <s v="Spring"/>
    <n v="0.22929155386993369"/>
    <n v="-0.25435329828790432"/>
    <n v="0.10399668008577614"/>
    <n v="0.36604748519325236"/>
  </r>
  <r>
    <n v="526"/>
    <d v="2011-01-24T00:00:00"/>
    <x v="0"/>
    <n v="0"/>
    <n v="1"/>
    <n v="0"/>
    <b v="0"/>
    <n v="1"/>
    <n v="1"/>
    <x v="20"/>
    <x v="22"/>
    <n v="0.41"/>
    <x v="5"/>
    <n v="0"/>
    <n v="7"/>
    <n v="7"/>
    <x v="1"/>
    <x v="0"/>
    <s v="Night"/>
    <s v="January"/>
    <s v="Spring"/>
    <n v="0.22929155386993369"/>
    <n v="-0.25435329828790432"/>
    <n v="0.10399668008577614"/>
    <n v="0.36604748519325236"/>
  </r>
  <r>
    <n v="527"/>
    <d v="2011-01-24T00:00:00"/>
    <x v="0"/>
    <n v="0"/>
    <n v="1"/>
    <n v="1"/>
    <b v="0"/>
    <n v="1"/>
    <n v="1"/>
    <x v="21"/>
    <x v="27"/>
    <n v="0.45"/>
    <x v="5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528"/>
    <d v="2011-01-24T00:00:00"/>
    <x v="0"/>
    <n v="0"/>
    <n v="1"/>
    <n v="3"/>
    <b v="0"/>
    <n v="1"/>
    <n v="1"/>
    <x v="21"/>
    <x v="26"/>
    <n v="0.45"/>
    <x v="2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529"/>
    <d v="2011-01-24T00:00:00"/>
    <x v="0"/>
    <n v="0"/>
    <n v="1"/>
    <n v="4"/>
    <b v="0"/>
    <n v="1"/>
    <n v="1"/>
    <x v="22"/>
    <x v="22"/>
    <n v="0.48"/>
    <x v="7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530"/>
    <d v="2011-01-24T00:00:00"/>
    <x v="0"/>
    <n v="0"/>
    <n v="1"/>
    <n v="5"/>
    <b v="0"/>
    <n v="1"/>
    <n v="1"/>
    <x v="22"/>
    <x v="22"/>
    <n v="0.48"/>
    <x v="7"/>
    <n v="0"/>
    <n v="5"/>
    <n v="5"/>
    <x v="1"/>
    <x v="0"/>
    <s v="Night"/>
    <s v="January"/>
    <s v="Spring"/>
    <n v="0.22929155386993369"/>
    <n v="-0.25435329828790432"/>
    <n v="0.10399668008577614"/>
    <n v="0.36604748519325236"/>
  </r>
  <r>
    <n v="531"/>
    <d v="2011-01-24T00:00:00"/>
    <x v="0"/>
    <n v="0"/>
    <n v="1"/>
    <n v="6"/>
    <b v="0"/>
    <n v="1"/>
    <n v="1"/>
    <x v="22"/>
    <x v="23"/>
    <n v="0.48"/>
    <x v="1"/>
    <n v="0"/>
    <n v="15"/>
    <n v="15"/>
    <x v="1"/>
    <x v="0"/>
    <s v="Morning"/>
    <s v="January"/>
    <s v="Spring"/>
    <n v="0.22929155386993369"/>
    <n v="-0.25435329828790432"/>
    <n v="0.10399668008577614"/>
    <n v="0.36604748519325236"/>
  </r>
  <r>
    <n v="532"/>
    <d v="2011-01-24T00:00:00"/>
    <x v="0"/>
    <n v="0"/>
    <n v="1"/>
    <n v="7"/>
    <b v="0"/>
    <n v="1"/>
    <n v="1"/>
    <x v="22"/>
    <x v="16"/>
    <n v="0.48"/>
    <x v="0"/>
    <n v="5"/>
    <n v="79"/>
    <n v="84"/>
    <x v="1"/>
    <x v="0"/>
    <s v="Morning"/>
    <s v="January"/>
    <s v="Spring"/>
    <n v="0.22929155386993369"/>
    <n v="-0.25435329828790432"/>
    <n v="0.10399668008577614"/>
    <n v="0.36604748519325236"/>
  </r>
  <r>
    <n v="533"/>
    <d v="2011-01-24T00:00:00"/>
    <x v="0"/>
    <n v="0"/>
    <n v="1"/>
    <n v="8"/>
    <b v="0"/>
    <n v="1"/>
    <n v="1"/>
    <x v="21"/>
    <x v="14"/>
    <n v="0.49"/>
    <x v="0"/>
    <n v="6"/>
    <n v="171"/>
    <n v="177"/>
    <x v="1"/>
    <x v="0"/>
    <s v="Morning"/>
    <s v="January"/>
    <s v="Spring"/>
    <n v="0.22929155386993369"/>
    <n v="-0.25435329828790432"/>
    <n v="0.10399668008577614"/>
    <n v="0.36604748519325236"/>
  </r>
  <r>
    <n v="534"/>
    <d v="2011-01-24T00:00:00"/>
    <x v="0"/>
    <n v="0"/>
    <n v="1"/>
    <n v="9"/>
    <b v="0"/>
    <n v="1"/>
    <n v="1"/>
    <x v="20"/>
    <x v="20"/>
    <n v="0.41"/>
    <x v="0"/>
    <n v="4"/>
    <n v="98"/>
    <n v="102"/>
    <x v="1"/>
    <x v="0"/>
    <s v="Morning"/>
    <s v="January"/>
    <s v="Spring"/>
    <n v="0.22929155386993369"/>
    <n v="-0.25435329828790432"/>
    <n v="0.10399668008577614"/>
    <n v="0.36604748519325236"/>
  </r>
  <r>
    <n v="535"/>
    <d v="2011-01-24T00:00:00"/>
    <x v="0"/>
    <n v="0"/>
    <n v="1"/>
    <n v="10"/>
    <b v="0"/>
    <n v="1"/>
    <n v="1"/>
    <x v="18"/>
    <x v="14"/>
    <n v="0.42"/>
    <x v="0"/>
    <n v="6"/>
    <n v="34"/>
    <n v="40"/>
    <x v="1"/>
    <x v="0"/>
    <s v="Morning"/>
    <s v="January"/>
    <s v="Spring"/>
    <n v="0.22929155386993369"/>
    <n v="-0.25435329828790432"/>
    <n v="0.10399668008577614"/>
    <n v="0.36604748519325236"/>
  </r>
  <r>
    <n v="536"/>
    <d v="2011-01-24T00:00:00"/>
    <x v="0"/>
    <n v="0"/>
    <n v="1"/>
    <n v="11"/>
    <b v="0"/>
    <n v="1"/>
    <n v="1"/>
    <x v="18"/>
    <x v="16"/>
    <n v="0.46"/>
    <x v="7"/>
    <n v="3"/>
    <n v="43"/>
    <n v="46"/>
    <x v="1"/>
    <x v="0"/>
    <s v="Morning"/>
    <s v="January"/>
    <s v="Spring"/>
    <n v="0.22929155386993369"/>
    <n v="-0.25435329828790432"/>
    <n v="0.10399668008577614"/>
    <n v="0.36604748519325236"/>
  </r>
  <r>
    <n v="537"/>
    <d v="2011-01-24T00:00:00"/>
    <x v="0"/>
    <n v="0"/>
    <n v="1"/>
    <n v="12"/>
    <b v="0"/>
    <n v="1"/>
    <n v="2"/>
    <x v="16"/>
    <x v="14"/>
    <n v="0.42"/>
    <x v="5"/>
    <n v="11"/>
    <n v="52"/>
    <n v="63"/>
    <x v="1"/>
    <x v="1"/>
    <s v="Afternoon"/>
    <s v="January"/>
    <s v="Spring"/>
    <n v="0.22929155386993369"/>
    <n v="-0.25435329828790432"/>
    <n v="0.10399668008577614"/>
    <n v="0.36604748519325236"/>
  </r>
  <r>
    <n v="538"/>
    <d v="2011-01-24T00:00:00"/>
    <x v="0"/>
    <n v="0"/>
    <n v="1"/>
    <n v="13"/>
    <b v="0"/>
    <n v="1"/>
    <n v="2"/>
    <x v="14"/>
    <x v="14"/>
    <n v="0.43"/>
    <x v="6"/>
    <n v="6"/>
    <n v="54"/>
    <n v="60"/>
    <x v="1"/>
    <x v="1"/>
    <s v="Afternoon"/>
    <s v="January"/>
    <s v="Spring"/>
    <n v="0.22929155386993369"/>
    <n v="-0.25435329828790432"/>
    <n v="0.10399668008577614"/>
    <n v="0.36604748519325236"/>
  </r>
  <r>
    <n v="539"/>
    <d v="2011-01-24T00:00:00"/>
    <x v="0"/>
    <n v="0"/>
    <n v="1"/>
    <n v="14"/>
    <b v="0"/>
    <n v="1"/>
    <n v="2"/>
    <x v="14"/>
    <x v="14"/>
    <n v="0.46"/>
    <x v="6"/>
    <n v="2"/>
    <n v="43"/>
    <n v="45"/>
    <x v="1"/>
    <x v="1"/>
    <s v="Afternoon"/>
    <s v="January"/>
    <s v="Spring"/>
    <n v="0.22929155386993369"/>
    <n v="-0.25435329828790432"/>
    <n v="0.10399668008577614"/>
    <n v="0.36604748519325236"/>
  </r>
  <r>
    <n v="540"/>
    <d v="2011-01-24T00:00:00"/>
    <x v="0"/>
    <n v="0"/>
    <n v="1"/>
    <n v="15"/>
    <b v="0"/>
    <n v="1"/>
    <n v="1"/>
    <x v="13"/>
    <x v="17"/>
    <n v="0.4"/>
    <x v="8"/>
    <n v="7"/>
    <n v="50"/>
    <n v="57"/>
    <x v="1"/>
    <x v="0"/>
    <s v="Afternoon"/>
    <s v="January"/>
    <s v="Spring"/>
    <n v="0.22929155386993369"/>
    <n v="-0.25435329828790432"/>
    <n v="0.10399668008577614"/>
    <n v="0.36604748519325236"/>
  </r>
  <r>
    <n v="541"/>
    <d v="2011-01-24T00:00:00"/>
    <x v="0"/>
    <n v="0"/>
    <n v="1"/>
    <n v="16"/>
    <b v="0"/>
    <n v="1"/>
    <n v="1"/>
    <x v="13"/>
    <x v="20"/>
    <n v="0.47"/>
    <x v="2"/>
    <n v="4"/>
    <n v="66"/>
    <n v="70"/>
    <x v="1"/>
    <x v="0"/>
    <s v="Afternoon"/>
    <s v="January"/>
    <s v="Spring"/>
    <n v="0.22929155386993369"/>
    <n v="-0.25435329828790432"/>
    <n v="0.10399668008577614"/>
    <n v="0.36604748519325236"/>
  </r>
  <r>
    <n v="542"/>
    <d v="2011-01-24T00:00:00"/>
    <x v="0"/>
    <n v="0"/>
    <n v="1"/>
    <n v="17"/>
    <b v="0"/>
    <n v="1"/>
    <n v="1"/>
    <x v="14"/>
    <x v="16"/>
    <n v="0.5"/>
    <x v="2"/>
    <n v="6"/>
    <n v="178"/>
    <n v="184"/>
    <x v="1"/>
    <x v="0"/>
    <s v="Evening"/>
    <s v="January"/>
    <s v="Spring"/>
    <n v="0.22929155386993369"/>
    <n v="-0.25435329828790432"/>
    <n v="0.10399668008577614"/>
    <n v="0.36604748519325236"/>
  </r>
  <r>
    <n v="543"/>
    <d v="2011-01-24T00:00:00"/>
    <x v="0"/>
    <n v="0"/>
    <n v="1"/>
    <n v="18"/>
    <b v="0"/>
    <n v="1"/>
    <n v="1"/>
    <x v="14"/>
    <x v="14"/>
    <n v="0.59"/>
    <x v="5"/>
    <n v="8"/>
    <n v="145"/>
    <n v="153"/>
    <x v="1"/>
    <x v="0"/>
    <s v="Evening"/>
    <s v="January"/>
    <s v="Spring"/>
    <n v="0.22929155386993369"/>
    <n v="-0.25435329828790432"/>
    <n v="0.10399668008577614"/>
    <n v="0.36604748519325236"/>
  </r>
  <r>
    <n v="544"/>
    <d v="2011-01-24T00:00:00"/>
    <x v="0"/>
    <n v="0"/>
    <n v="1"/>
    <n v="19"/>
    <b v="0"/>
    <n v="1"/>
    <n v="1"/>
    <x v="14"/>
    <x v="20"/>
    <n v="0.54"/>
    <x v="8"/>
    <n v="5"/>
    <n v="101"/>
    <n v="106"/>
    <x v="1"/>
    <x v="0"/>
    <s v="Evening"/>
    <s v="January"/>
    <s v="Spring"/>
    <n v="0.22929155386993369"/>
    <n v="-0.25435329828790432"/>
    <n v="0.10399668008577614"/>
    <n v="0.36604748519325236"/>
  </r>
  <r>
    <n v="545"/>
    <d v="2011-01-24T00:00:00"/>
    <x v="0"/>
    <n v="0"/>
    <n v="1"/>
    <n v="20"/>
    <b v="0"/>
    <n v="1"/>
    <n v="1"/>
    <x v="14"/>
    <x v="14"/>
    <n v="0.59"/>
    <x v="5"/>
    <n v="1"/>
    <n v="80"/>
    <n v="81"/>
    <x v="1"/>
    <x v="0"/>
    <s v="Evening"/>
    <s v="January"/>
    <s v="Spring"/>
    <n v="0.22929155386993369"/>
    <n v="-0.25435329828790432"/>
    <n v="0.10399668008577614"/>
    <n v="0.36604748519325236"/>
  </r>
  <r>
    <n v="546"/>
    <d v="2011-01-24T00:00:00"/>
    <x v="0"/>
    <n v="0"/>
    <n v="1"/>
    <n v="21"/>
    <b v="0"/>
    <n v="1"/>
    <n v="1"/>
    <x v="14"/>
    <x v="20"/>
    <n v="0.63"/>
    <x v="8"/>
    <n v="6"/>
    <n v="53"/>
    <n v="59"/>
    <x v="1"/>
    <x v="0"/>
    <s v="Night"/>
    <s v="January"/>
    <s v="Spring"/>
    <n v="0.22929155386993369"/>
    <n v="-0.25435329828790432"/>
    <n v="0.10399668008577614"/>
    <n v="0.36604748519325236"/>
  </r>
  <r>
    <n v="547"/>
    <d v="2011-01-24T00:00:00"/>
    <x v="0"/>
    <n v="0"/>
    <n v="1"/>
    <n v="22"/>
    <b v="0"/>
    <n v="1"/>
    <n v="2"/>
    <x v="14"/>
    <x v="14"/>
    <n v="0.63"/>
    <x v="6"/>
    <n v="3"/>
    <n v="32"/>
    <n v="35"/>
    <x v="1"/>
    <x v="1"/>
    <s v="Night"/>
    <s v="January"/>
    <s v="Spring"/>
    <n v="0.22929155386993369"/>
    <n v="-0.25435329828790432"/>
    <n v="0.10399668008577614"/>
    <n v="0.36604748519325236"/>
  </r>
  <r>
    <n v="548"/>
    <d v="2011-01-24T00:00:00"/>
    <x v="0"/>
    <n v="0"/>
    <n v="1"/>
    <n v="23"/>
    <b v="0"/>
    <n v="1"/>
    <n v="2"/>
    <x v="13"/>
    <x v="20"/>
    <n v="0.64"/>
    <x v="2"/>
    <n v="3"/>
    <n v="21"/>
    <n v="24"/>
    <x v="1"/>
    <x v="1"/>
    <s v="Night"/>
    <s v="January"/>
    <s v="Spring"/>
    <n v="0.22929155386993369"/>
    <n v="-0.25435329828790432"/>
    <n v="0.10399668008577614"/>
    <n v="0.36604748519325236"/>
  </r>
  <r>
    <n v="549"/>
    <d v="2011-01-25T00:00:00"/>
    <x v="0"/>
    <n v="0"/>
    <n v="1"/>
    <n v="0"/>
    <b v="0"/>
    <n v="2"/>
    <n v="2"/>
    <x v="13"/>
    <x v="14"/>
    <n v="0.69"/>
    <x v="3"/>
    <n v="3"/>
    <n v="6"/>
    <n v="9"/>
    <x v="1"/>
    <x v="1"/>
    <s v="Night"/>
    <s v="January"/>
    <s v="Spring"/>
    <n v="0.22929155386993369"/>
    <n v="-0.25435329828790432"/>
    <n v="0.10399668008577614"/>
    <n v="0.36604748519325236"/>
  </r>
  <r>
    <n v="550"/>
    <d v="2011-01-25T00:00:00"/>
    <x v="0"/>
    <n v="0"/>
    <n v="1"/>
    <n v="1"/>
    <b v="0"/>
    <n v="2"/>
    <n v="2"/>
    <x v="13"/>
    <x v="17"/>
    <n v="0.69"/>
    <x v="8"/>
    <n v="0"/>
    <n v="5"/>
    <n v="5"/>
    <x v="1"/>
    <x v="1"/>
    <s v="Night"/>
    <s v="January"/>
    <s v="Spring"/>
    <n v="0.22929155386993369"/>
    <n v="-0.25435329828790432"/>
    <n v="0.10399668008577614"/>
    <n v="0.36604748519325236"/>
  </r>
  <r>
    <n v="551"/>
    <d v="2011-01-25T00:00:00"/>
    <x v="0"/>
    <n v="0"/>
    <n v="1"/>
    <n v="2"/>
    <b v="0"/>
    <n v="2"/>
    <n v="1"/>
    <x v="13"/>
    <x v="20"/>
    <n v="0.69"/>
    <x v="6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552"/>
    <d v="2011-01-25T00:00:00"/>
    <x v="0"/>
    <n v="0"/>
    <n v="1"/>
    <n v="4"/>
    <b v="0"/>
    <n v="2"/>
    <n v="1"/>
    <x v="14"/>
    <x v="17"/>
    <n v="0.74"/>
    <x v="14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553"/>
    <d v="2011-01-25T00:00:00"/>
    <x v="0"/>
    <n v="0"/>
    <n v="1"/>
    <n v="5"/>
    <b v="0"/>
    <n v="2"/>
    <n v="1"/>
    <x v="14"/>
    <x v="14"/>
    <n v="0.74"/>
    <x v="6"/>
    <n v="0"/>
    <n v="9"/>
    <n v="9"/>
    <x v="1"/>
    <x v="0"/>
    <s v="Night"/>
    <s v="January"/>
    <s v="Spring"/>
    <n v="0.22929155386993369"/>
    <n v="-0.25435329828790432"/>
    <n v="0.10399668008577614"/>
    <n v="0.36604748519325236"/>
  </r>
  <r>
    <n v="554"/>
    <d v="2011-01-25T00:00:00"/>
    <x v="0"/>
    <n v="0"/>
    <n v="1"/>
    <n v="6"/>
    <b v="0"/>
    <n v="2"/>
    <n v="1"/>
    <x v="13"/>
    <x v="18"/>
    <n v="0.74"/>
    <x v="14"/>
    <n v="1"/>
    <n v="35"/>
    <n v="36"/>
    <x v="1"/>
    <x v="0"/>
    <s v="Morning"/>
    <s v="January"/>
    <s v="Spring"/>
    <n v="0.22929155386993369"/>
    <n v="-0.25435329828790432"/>
    <n v="0.10399668008577614"/>
    <n v="0.36604748519325236"/>
  </r>
  <r>
    <n v="555"/>
    <d v="2011-01-25T00:00:00"/>
    <x v="0"/>
    <n v="0"/>
    <n v="1"/>
    <n v="7"/>
    <b v="0"/>
    <n v="2"/>
    <n v="1"/>
    <x v="13"/>
    <x v="20"/>
    <n v="0.74"/>
    <x v="6"/>
    <n v="5"/>
    <n v="103"/>
    <n v="108"/>
    <x v="1"/>
    <x v="0"/>
    <s v="Morning"/>
    <s v="January"/>
    <s v="Spring"/>
    <n v="0.22929155386993369"/>
    <n v="-0.25435329828790432"/>
    <n v="0.10399668008577614"/>
    <n v="0.36604748519325236"/>
  </r>
  <r>
    <n v="556"/>
    <d v="2011-01-25T00:00:00"/>
    <x v="0"/>
    <n v="0"/>
    <n v="1"/>
    <n v="8"/>
    <b v="0"/>
    <n v="2"/>
    <n v="2"/>
    <x v="13"/>
    <x v="18"/>
    <n v="0.74"/>
    <x v="7"/>
    <n v="5"/>
    <n v="233"/>
    <n v="238"/>
    <x v="1"/>
    <x v="1"/>
    <s v="Morning"/>
    <s v="January"/>
    <s v="Spring"/>
    <n v="0.22929155386993369"/>
    <n v="-0.25435329828790432"/>
    <n v="0.10399668008577614"/>
    <n v="0.36604748519325236"/>
  </r>
  <r>
    <n v="557"/>
    <d v="2011-01-25T00:00:00"/>
    <x v="0"/>
    <n v="0"/>
    <n v="1"/>
    <n v="9"/>
    <b v="0"/>
    <n v="2"/>
    <n v="2"/>
    <x v="2"/>
    <x v="11"/>
    <n v="0.64"/>
    <x v="1"/>
    <n v="10"/>
    <n v="134"/>
    <n v="144"/>
    <x v="1"/>
    <x v="1"/>
    <s v="Morning"/>
    <s v="January"/>
    <s v="Spring"/>
    <n v="0.22929155386993369"/>
    <n v="-0.25435329828790432"/>
    <n v="0.10399668008577614"/>
    <n v="0.36604748519325236"/>
  </r>
  <r>
    <n v="558"/>
    <d v="2011-01-25T00:00:00"/>
    <x v="0"/>
    <n v="0"/>
    <n v="1"/>
    <n v="10"/>
    <b v="0"/>
    <n v="2"/>
    <n v="2"/>
    <x v="1"/>
    <x v="19"/>
    <n v="0.6"/>
    <x v="14"/>
    <n v="6"/>
    <n v="49"/>
    <n v="55"/>
    <x v="1"/>
    <x v="1"/>
    <s v="Morning"/>
    <s v="January"/>
    <s v="Spring"/>
    <n v="0.22929155386993369"/>
    <n v="-0.25435329828790432"/>
    <n v="0.10399668008577614"/>
    <n v="0.36604748519325236"/>
  </r>
  <r>
    <n v="559"/>
    <d v="2011-01-25T00:00:00"/>
    <x v="0"/>
    <n v="0"/>
    <n v="1"/>
    <n v="11"/>
    <b v="0"/>
    <n v="2"/>
    <n v="2"/>
    <x v="0"/>
    <x v="19"/>
    <n v="0.6"/>
    <x v="7"/>
    <n v="6"/>
    <n v="55"/>
    <n v="61"/>
    <x v="1"/>
    <x v="1"/>
    <s v="Morning"/>
    <s v="January"/>
    <s v="Spring"/>
    <n v="0.22929155386993369"/>
    <n v="-0.25435329828790432"/>
    <n v="0.10399668008577614"/>
    <n v="0.36604748519325236"/>
  </r>
  <r>
    <n v="560"/>
    <d v="2011-01-25T00:00:00"/>
    <x v="0"/>
    <n v="0"/>
    <n v="1"/>
    <n v="12"/>
    <b v="0"/>
    <n v="2"/>
    <n v="2"/>
    <x v="12"/>
    <x v="0"/>
    <n v="0.56000000000000005"/>
    <x v="1"/>
    <n v="21"/>
    <n v="85"/>
    <n v="106"/>
    <x v="1"/>
    <x v="1"/>
    <s v="Afternoon"/>
    <s v="January"/>
    <s v="Spring"/>
    <n v="0.22929155386993369"/>
    <n v="-0.25435329828790432"/>
    <n v="0.10399668008577614"/>
    <n v="0.36604748519325236"/>
  </r>
  <r>
    <n v="561"/>
    <d v="2011-01-25T00:00:00"/>
    <x v="0"/>
    <n v="0"/>
    <n v="1"/>
    <n v="13"/>
    <b v="0"/>
    <n v="2"/>
    <n v="2"/>
    <x v="12"/>
    <x v="1"/>
    <n v="0.56000000000000005"/>
    <x v="7"/>
    <n v="21"/>
    <n v="72"/>
    <n v="93"/>
    <x v="1"/>
    <x v="1"/>
    <s v="Afternoon"/>
    <s v="January"/>
    <s v="Spring"/>
    <n v="0.22929155386993369"/>
    <n v="-0.25435329828790432"/>
    <n v="0.10399668008577614"/>
    <n v="0.36604748519325236"/>
  </r>
  <r>
    <n v="562"/>
    <d v="2011-01-25T00:00:00"/>
    <x v="0"/>
    <n v="0"/>
    <n v="1"/>
    <n v="14"/>
    <b v="0"/>
    <n v="2"/>
    <n v="2"/>
    <x v="11"/>
    <x v="6"/>
    <n v="0.45"/>
    <x v="0"/>
    <n v="11"/>
    <n v="57"/>
    <n v="68"/>
    <x v="1"/>
    <x v="1"/>
    <s v="Afternoon"/>
    <s v="January"/>
    <s v="Spring"/>
    <n v="0.22929155386993369"/>
    <n v="-0.25435329828790432"/>
    <n v="0.10399668008577614"/>
    <n v="0.36604748519325236"/>
  </r>
  <r>
    <n v="563"/>
    <d v="2011-01-25T00:00:00"/>
    <x v="0"/>
    <n v="0"/>
    <n v="1"/>
    <n v="15"/>
    <b v="0"/>
    <n v="2"/>
    <n v="2"/>
    <x v="3"/>
    <x v="4"/>
    <n v="0.42"/>
    <x v="0"/>
    <n v="21"/>
    <n v="63"/>
    <n v="84"/>
    <x v="1"/>
    <x v="1"/>
    <s v="Afternoon"/>
    <s v="January"/>
    <s v="Spring"/>
    <n v="0.22929155386993369"/>
    <n v="-0.25435329828790432"/>
    <n v="0.10399668008577614"/>
    <n v="0.36604748519325236"/>
  </r>
  <r>
    <n v="564"/>
    <d v="2011-01-25T00:00:00"/>
    <x v="0"/>
    <n v="0"/>
    <n v="1"/>
    <n v="16"/>
    <b v="0"/>
    <n v="2"/>
    <n v="2"/>
    <x v="3"/>
    <x v="4"/>
    <n v="0.42"/>
    <x v="0"/>
    <n v="14"/>
    <n v="102"/>
    <n v="116"/>
    <x v="1"/>
    <x v="1"/>
    <s v="Afternoon"/>
    <s v="January"/>
    <s v="Spring"/>
    <n v="0.22929155386993369"/>
    <n v="-0.25435329828790432"/>
    <n v="0.10399668008577614"/>
    <n v="0.36604748519325236"/>
  </r>
  <r>
    <n v="565"/>
    <d v="2011-01-25T00:00:00"/>
    <x v="0"/>
    <n v="0"/>
    <n v="1"/>
    <n v="17"/>
    <b v="0"/>
    <n v="2"/>
    <n v="1"/>
    <x v="11"/>
    <x v="6"/>
    <n v="0.45"/>
    <x v="0"/>
    <n v="14"/>
    <n v="208"/>
    <n v="222"/>
    <x v="1"/>
    <x v="0"/>
    <s v="Evening"/>
    <s v="January"/>
    <s v="Spring"/>
    <n v="0.22929155386993369"/>
    <n v="-0.25435329828790432"/>
    <n v="0.10399668008577614"/>
    <n v="0.36604748519325236"/>
  </r>
  <r>
    <n v="566"/>
    <d v="2011-01-25T00:00:00"/>
    <x v="0"/>
    <n v="0"/>
    <n v="1"/>
    <n v="18"/>
    <b v="0"/>
    <n v="2"/>
    <n v="2"/>
    <x v="11"/>
    <x v="21"/>
    <n v="0.49"/>
    <x v="1"/>
    <n v="7"/>
    <n v="218"/>
    <n v="225"/>
    <x v="1"/>
    <x v="1"/>
    <s v="Evening"/>
    <s v="January"/>
    <s v="Spring"/>
    <n v="0.22929155386993369"/>
    <n v="-0.25435329828790432"/>
    <n v="0.10399668008577614"/>
    <n v="0.36604748519325236"/>
  </r>
  <r>
    <n v="567"/>
    <d v="2011-01-25T00:00:00"/>
    <x v="0"/>
    <n v="0"/>
    <n v="1"/>
    <n v="19"/>
    <b v="0"/>
    <n v="2"/>
    <n v="2"/>
    <x v="12"/>
    <x v="2"/>
    <n v="0.65"/>
    <x v="8"/>
    <n v="13"/>
    <n v="133"/>
    <n v="146"/>
    <x v="1"/>
    <x v="1"/>
    <s v="Evening"/>
    <s v="January"/>
    <s v="Spring"/>
    <n v="0.22929155386993369"/>
    <n v="-0.25435329828790432"/>
    <n v="0.10399668008577614"/>
    <n v="0.36604748519325236"/>
  </r>
  <r>
    <n v="568"/>
    <d v="2011-01-25T00:00:00"/>
    <x v="0"/>
    <n v="0"/>
    <n v="1"/>
    <n v="20"/>
    <b v="0"/>
    <n v="2"/>
    <n v="1"/>
    <x v="0"/>
    <x v="11"/>
    <n v="0.65"/>
    <x v="5"/>
    <n v="16"/>
    <n v="103"/>
    <n v="119"/>
    <x v="1"/>
    <x v="0"/>
    <s v="Evening"/>
    <s v="January"/>
    <s v="Spring"/>
    <n v="0.22929155386993369"/>
    <n v="-0.25435329828790432"/>
    <n v="0.10399668008577614"/>
    <n v="0.36604748519325236"/>
  </r>
  <r>
    <n v="569"/>
    <d v="2011-01-25T00:00:00"/>
    <x v="0"/>
    <n v="0"/>
    <n v="1"/>
    <n v="21"/>
    <b v="0"/>
    <n v="2"/>
    <n v="1"/>
    <x v="0"/>
    <x v="11"/>
    <n v="0.65"/>
    <x v="5"/>
    <n v="5"/>
    <n v="40"/>
    <n v="45"/>
    <x v="1"/>
    <x v="0"/>
    <s v="Night"/>
    <s v="January"/>
    <s v="Spring"/>
    <n v="0.22929155386993369"/>
    <n v="-0.25435329828790432"/>
    <n v="0.10399668008577614"/>
    <n v="0.36604748519325236"/>
  </r>
  <r>
    <n v="570"/>
    <d v="2011-01-25T00:00:00"/>
    <x v="0"/>
    <n v="0"/>
    <n v="1"/>
    <n v="22"/>
    <b v="0"/>
    <n v="2"/>
    <n v="1"/>
    <x v="1"/>
    <x v="11"/>
    <n v="0.64"/>
    <x v="8"/>
    <n v="4"/>
    <n v="49"/>
    <n v="53"/>
    <x v="1"/>
    <x v="0"/>
    <s v="Night"/>
    <s v="January"/>
    <s v="Spring"/>
    <n v="0.22929155386993369"/>
    <n v="-0.25435329828790432"/>
    <n v="0.10399668008577614"/>
    <n v="0.36604748519325236"/>
  </r>
  <r>
    <n v="571"/>
    <d v="2011-01-25T00:00:00"/>
    <x v="0"/>
    <n v="0"/>
    <n v="1"/>
    <n v="23"/>
    <b v="0"/>
    <n v="2"/>
    <n v="2"/>
    <x v="1"/>
    <x v="11"/>
    <n v="0.64"/>
    <x v="8"/>
    <n v="3"/>
    <n v="37"/>
    <n v="40"/>
    <x v="1"/>
    <x v="1"/>
    <s v="Night"/>
    <s v="January"/>
    <s v="Spring"/>
    <n v="0.22929155386993369"/>
    <n v="-0.25435329828790432"/>
    <n v="0.10399668008577614"/>
    <n v="0.36604748519325236"/>
  </r>
  <r>
    <n v="572"/>
    <d v="2011-01-26T00:00:00"/>
    <x v="0"/>
    <n v="0"/>
    <n v="1"/>
    <n v="0"/>
    <b v="0"/>
    <n v="3"/>
    <n v="2"/>
    <x v="1"/>
    <x v="11"/>
    <n v="0.69"/>
    <x v="7"/>
    <n v="3"/>
    <n v="14"/>
    <n v="17"/>
    <x v="1"/>
    <x v="1"/>
    <s v="Night"/>
    <s v="January"/>
    <s v="Spring"/>
    <n v="0.22929155386993369"/>
    <n v="-0.25435329828790432"/>
    <n v="0.10399668008577614"/>
    <n v="0.36604748519325236"/>
  </r>
  <r>
    <n v="573"/>
    <d v="2011-01-26T00:00:00"/>
    <x v="0"/>
    <n v="0"/>
    <n v="1"/>
    <n v="1"/>
    <b v="0"/>
    <n v="3"/>
    <n v="2"/>
    <x v="0"/>
    <x v="19"/>
    <n v="0.65"/>
    <x v="7"/>
    <n v="0"/>
    <n v="5"/>
    <n v="5"/>
    <x v="1"/>
    <x v="1"/>
    <s v="Night"/>
    <s v="January"/>
    <s v="Spring"/>
    <n v="0.22929155386993369"/>
    <n v="-0.25435329828790432"/>
    <n v="0.10399668008577614"/>
    <n v="0.36604748519325236"/>
  </r>
  <r>
    <n v="574"/>
    <d v="2011-01-26T00:00:00"/>
    <x v="0"/>
    <n v="0"/>
    <n v="1"/>
    <n v="2"/>
    <b v="0"/>
    <n v="3"/>
    <n v="3"/>
    <x v="1"/>
    <x v="11"/>
    <n v="0.69"/>
    <x v="5"/>
    <n v="3"/>
    <n v="7"/>
    <n v="10"/>
    <x v="1"/>
    <x v="2"/>
    <s v="Night"/>
    <s v="January"/>
    <s v="Spring"/>
    <n v="0.22929155386993369"/>
    <n v="-0.25435329828790432"/>
    <n v="0.10399668008577614"/>
    <n v="0.36604748519325236"/>
  </r>
  <r>
    <n v="575"/>
    <d v="2011-01-26T00:00:00"/>
    <x v="0"/>
    <n v="0"/>
    <n v="1"/>
    <n v="5"/>
    <b v="0"/>
    <n v="3"/>
    <n v="3"/>
    <x v="2"/>
    <x v="18"/>
    <n v="0.86"/>
    <x v="3"/>
    <n v="0"/>
    <n v="1"/>
    <n v="1"/>
    <x v="1"/>
    <x v="2"/>
    <s v="Night"/>
    <s v="January"/>
    <s v="Spring"/>
    <n v="0.22929155386993369"/>
    <n v="-0.25435329828790432"/>
    <n v="0.10399668008577614"/>
    <n v="0.36604748519325236"/>
  </r>
  <r>
    <n v="576"/>
    <d v="2011-01-26T00:00:00"/>
    <x v="0"/>
    <n v="0"/>
    <n v="1"/>
    <n v="6"/>
    <b v="0"/>
    <n v="3"/>
    <n v="3"/>
    <x v="2"/>
    <x v="18"/>
    <n v="0.86"/>
    <x v="3"/>
    <n v="0"/>
    <n v="8"/>
    <n v="8"/>
    <x v="1"/>
    <x v="2"/>
    <s v="Morning"/>
    <s v="January"/>
    <s v="Spring"/>
    <n v="0.22929155386993369"/>
    <n v="-0.25435329828790432"/>
    <n v="0.10399668008577614"/>
    <n v="0.36604748519325236"/>
  </r>
  <r>
    <n v="577"/>
    <d v="2011-01-26T00:00:00"/>
    <x v="0"/>
    <n v="0"/>
    <n v="1"/>
    <n v="7"/>
    <b v="0"/>
    <n v="3"/>
    <n v="3"/>
    <x v="1"/>
    <x v="12"/>
    <n v="0.87"/>
    <x v="4"/>
    <n v="1"/>
    <n v="29"/>
    <n v="30"/>
    <x v="1"/>
    <x v="2"/>
    <s v="Morning"/>
    <s v="January"/>
    <s v="Spring"/>
    <n v="0.22929155386993369"/>
    <n v="-0.25435329828790432"/>
    <n v="0.10399668008577614"/>
    <n v="0.36604748519325236"/>
  </r>
  <r>
    <n v="578"/>
    <d v="2011-01-26T00:00:00"/>
    <x v="0"/>
    <n v="0"/>
    <n v="1"/>
    <n v="8"/>
    <b v="0"/>
    <n v="3"/>
    <n v="3"/>
    <x v="1"/>
    <x v="12"/>
    <n v="0.87"/>
    <x v="4"/>
    <n v="3"/>
    <n v="69"/>
    <n v="72"/>
    <x v="1"/>
    <x v="2"/>
    <s v="Morning"/>
    <s v="January"/>
    <s v="Spring"/>
    <n v="0.22929155386993369"/>
    <n v="-0.25435329828790432"/>
    <n v="0.10399668008577614"/>
    <n v="0.36604748519325236"/>
  </r>
  <r>
    <n v="579"/>
    <d v="2011-01-26T00:00:00"/>
    <x v="0"/>
    <n v="0"/>
    <n v="1"/>
    <n v="9"/>
    <b v="0"/>
    <n v="3"/>
    <n v="3"/>
    <x v="1"/>
    <x v="12"/>
    <n v="0.87"/>
    <x v="4"/>
    <n v="3"/>
    <n v="55"/>
    <n v="58"/>
    <x v="1"/>
    <x v="2"/>
    <s v="Morning"/>
    <s v="January"/>
    <s v="Spring"/>
    <n v="0.22929155386993369"/>
    <n v="-0.25435329828790432"/>
    <n v="0.10399668008577614"/>
    <n v="0.36604748519325236"/>
  </r>
  <r>
    <n v="580"/>
    <d v="2011-01-26T00:00:00"/>
    <x v="0"/>
    <n v="0"/>
    <n v="1"/>
    <n v="10"/>
    <b v="0"/>
    <n v="3"/>
    <n v="3"/>
    <x v="1"/>
    <x v="12"/>
    <n v="0.93"/>
    <x v="3"/>
    <n v="2"/>
    <n v="26"/>
    <n v="28"/>
    <x v="1"/>
    <x v="2"/>
    <s v="Morning"/>
    <s v="January"/>
    <s v="Spring"/>
    <n v="0.22929155386993369"/>
    <n v="-0.25435329828790432"/>
    <n v="0.10399668008577614"/>
    <n v="0.36604748519325236"/>
  </r>
  <r>
    <n v="581"/>
    <d v="2011-01-26T00:00:00"/>
    <x v="0"/>
    <n v="0"/>
    <n v="1"/>
    <n v="11"/>
    <b v="0"/>
    <n v="3"/>
    <n v="3"/>
    <x v="1"/>
    <x v="13"/>
    <n v="0.93"/>
    <x v="9"/>
    <n v="6"/>
    <n v="35"/>
    <n v="41"/>
    <x v="1"/>
    <x v="2"/>
    <s v="Morning"/>
    <s v="January"/>
    <s v="Spring"/>
    <n v="0.22929155386993369"/>
    <n v="-0.25435329828790432"/>
    <n v="0.10399668008577614"/>
    <n v="0.36604748519325236"/>
  </r>
  <r>
    <n v="582"/>
    <d v="2011-01-26T00:00:00"/>
    <x v="0"/>
    <n v="0"/>
    <n v="1"/>
    <n v="12"/>
    <b v="0"/>
    <n v="3"/>
    <n v="3"/>
    <x v="1"/>
    <x v="13"/>
    <n v="0.93"/>
    <x v="9"/>
    <n v="7"/>
    <n v="41"/>
    <n v="48"/>
    <x v="1"/>
    <x v="2"/>
    <s v="Afternoon"/>
    <s v="January"/>
    <s v="Spring"/>
    <n v="0.22929155386993369"/>
    <n v="-0.25435329828790432"/>
    <n v="0.10399668008577614"/>
    <n v="0.36604748519325236"/>
  </r>
  <r>
    <n v="583"/>
    <d v="2011-01-26T00:00:00"/>
    <x v="0"/>
    <n v="0"/>
    <n v="1"/>
    <n v="13"/>
    <b v="0"/>
    <n v="3"/>
    <n v="3"/>
    <x v="1"/>
    <x v="13"/>
    <n v="0.93"/>
    <x v="9"/>
    <n v="4"/>
    <n v="43"/>
    <n v="47"/>
    <x v="1"/>
    <x v="2"/>
    <s v="Afternoon"/>
    <s v="January"/>
    <s v="Spring"/>
    <n v="0.22929155386993369"/>
    <n v="-0.25435329828790432"/>
    <n v="0.10399668008577614"/>
    <n v="0.36604748519325236"/>
  </r>
  <r>
    <n v="584"/>
    <d v="2011-01-26T00:00:00"/>
    <x v="0"/>
    <n v="0"/>
    <n v="1"/>
    <n v="14"/>
    <b v="0"/>
    <n v="3"/>
    <n v="3"/>
    <x v="1"/>
    <x v="13"/>
    <n v="0.93"/>
    <x v="11"/>
    <n v="0"/>
    <n v="36"/>
    <n v="36"/>
    <x v="1"/>
    <x v="2"/>
    <s v="Afternoon"/>
    <s v="January"/>
    <s v="Spring"/>
    <n v="0.22929155386993369"/>
    <n v="-0.25435329828790432"/>
    <n v="0.10399668008577614"/>
    <n v="0.36604748519325236"/>
  </r>
  <r>
    <n v="585"/>
    <d v="2011-01-26T00:00:00"/>
    <x v="0"/>
    <n v="0"/>
    <n v="1"/>
    <n v="15"/>
    <b v="0"/>
    <n v="3"/>
    <n v="3"/>
    <x v="1"/>
    <x v="18"/>
    <n v="0.93"/>
    <x v="17"/>
    <n v="1"/>
    <n v="42"/>
    <n v="43"/>
    <x v="1"/>
    <x v="2"/>
    <s v="Afternoon"/>
    <s v="January"/>
    <s v="Spring"/>
    <n v="0.22929155386993369"/>
    <n v="-0.25435329828790432"/>
    <n v="0.10399668008577614"/>
    <n v="0.36604748519325236"/>
  </r>
  <r>
    <n v="586"/>
    <d v="2011-01-26T00:00:00"/>
    <x v="0"/>
    <n v="0"/>
    <n v="1"/>
    <n v="16"/>
    <b v="0"/>
    <n v="3"/>
    <n v="4"/>
    <x v="1"/>
    <x v="13"/>
    <n v="0.93"/>
    <x v="9"/>
    <n v="1"/>
    <n v="35"/>
    <n v="36"/>
    <x v="1"/>
    <x v="3"/>
    <s v="Afternoon"/>
    <s v="January"/>
    <s v="Spring"/>
    <n v="0.22929155386993369"/>
    <n v="-0.25435329828790432"/>
    <n v="0.10399668008577614"/>
    <n v="0.36604748519325236"/>
  </r>
  <r>
    <n v="587"/>
    <d v="2011-01-26T00:00:00"/>
    <x v="0"/>
    <n v="0"/>
    <n v="1"/>
    <n v="17"/>
    <b v="0"/>
    <n v="3"/>
    <n v="3"/>
    <x v="2"/>
    <x v="18"/>
    <n v="0.93"/>
    <x v="11"/>
    <n v="0"/>
    <n v="26"/>
    <n v="26"/>
    <x v="1"/>
    <x v="2"/>
    <s v="Evening"/>
    <s v="January"/>
    <s v="Spring"/>
    <n v="0.22929155386993369"/>
    <n v="-0.25435329828790432"/>
    <n v="0.10399668008577614"/>
    <n v="0.36604748519325236"/>
  </r>
  <r>
    <n v="588"/>
    <d v="2011-01-27T00:00:00"/>
    <x v="0"/>
    <n v="0"/>
    <n v="1"/>
    <n v="16"/>
    <b v="0"/>
    <n v="4"/>
    <n v="1"/>
    <x v="1"/>
    <x v="11"/>
    <n v="0.55000000000000004"/>
    <x v="5"/>
    <n v="1"/>
    <n v="23"/>
    <n v="24"/>
    <x v="1"/>
    <x v="0"/>
    <s v="Afternoon"/>
    <s v="January"/>
    <s v="Spring"/>
    <n v="0.22929155386993369"/>
    <n v="-0.25435329828790432"/>
    <n v="0.10399668008577614"/>
    <n v="0.36604748519325236"/>
  </r>
  <r>
    <n v="589"/>
    <d v="2011-01-27T00:00:00"/>
    <x v="0"/>
    <n v="0"/>
    <n v="1"/>
    <n v="17"/>
    <b v="0"/>
    <n v="4"/>
    <n v="1"/>
    <x v="1"/>
    <x v="19"/>
    <n v="0.55000000000000004"/>
    <x v="14"/>
    <n v="2"/>
    <n v="82"/>
    <n v="84"/>
    <x v="1"/>
    <x v="0"/>
    <s v="Evening"/>
    <s v="January"/>
    <s v="Spring"/>
    <n v="0.22929155386993369"/>
    <n v="-0.25435329828790432"/>
    <n v="0.10399668008577614"/>
    <n v="0.36604748519325236"/>
  </r>
  <r>
    <n v="590"/>
    <d v="2011-01-27T00:00:00"/>
    <x v="0"/>
    <n v="0"/>
    <n v="1"/>
    <n v="18"/>
    <b v="0"/>
    <n v="4"/>
    <n v="1"/>
    <x v="2"/>
    <x v="11"/>
    <n v="0.69"/>
    <x v="1"/>
    <n v="3"/>
    <n v="101"/>
    <n v="104"/>
    <x v="1"/>
    <x v="0"/>
    <s v="Evening"/>
    <s v="January"/>
    <s v="Spring"/>
    <n v="0.22929155386993369"/>
    <n v="-0.25435329828790432"/>
    <n v="0.10399668008577614"/>
    <n v="0.36604748519325236"/>
  </r>
  <r>
    <n v="591"/>
    <d v="2011-01-27T00:00:00"/>
    <x v="0"/>
    <n v="0"/>
    <n v="1"/>
    <n v="19"/>
    <b v="0"/>
    <n v="4"/>
    <n v="1"/>
    <x v="2"/>
    <x v="11"/>
    <n v="0.69"/>
    <x v="1"/>
    <n v="3"/>
    <n v="76"/>
    <n v="79"/>
    <x v="1"/>
    <x v="0"/>
    <s v="Evening"/>
    <s v="January"/>
    <s v="Spring"/>
    <n v="0.22929155386993369"/>
    <n v="-0.25435329828790432"/>
    <n v="0.10399668008577614"/>
    <n v="0.36604748519325236"/>
  </r>
  <r>
    <n v="592"/>
    <d v="2011-01-27T00:00:00"/>
    <x v="0"/>
    <n v="0"/>
    <n v="1"/>
    <n v="20"/>
    <b v="0"/>
    <n v="4"/>
    <n v="1"/>
    <x v="15"/>
    <x v="12"/>
    <n v="0.74"/>
    <x v="1"/>
    <n v="4"/>
    <n v="55"/>
    <n v="59"/>
    <x v="1"/>
    <x v="0"/>
    <s v="Evening"/>
    <s v="January"/>
    <s v="Spring"/>
    <n v="0.22929155386993369"/>
    <n v="-0.25435329828790432"/>
    <n v="0.10399668008577614"/>
    <n v="0.36604748519325236"/>
  </r>
  <r>
    <n v="593"/>
    <d v="2011-01-27T00:00:00"/>
    <x v="0"/>
    <n v="0"/>
    <n v="1"/>
    <n v="21"/>
    <b v="0"/>
    <n v="4"/>
    <n v="1"/>
    <x v="15"/>
    <x v="12"/>
    <n v="0.74"/>
    <x v="1"/>
    <n v="2"/>
    <n v="36"/>
    <n v="38"/>
    <x v="1"/>
    <x v="0"/>
    <s v="Night"/>
    <s v="January"/>
    <s v="Spring"/>
    <n v="0.22929155386993369"/>
    <n v="-0.25435329828790432"/>
    <n v="0.10399668008577614"/>
    <n v="0.36604748519325236"/>
  </r>
  <r>
    <n v="594"/>
    <d v="2011-01-27T00:00:00"/>
    <x v="0"/>
    <n v="0"/>
    <n v="1"/>
    <n v="22"/>
    <b v="0"/>
    <n v="4"/>
    <n v="1"/>
    <x v="15"/>
    <x v="12"/>
    <n v="0.74"/>
    <x v="1"/>
    <n v="0"/>
    <n v="27"/>
    <n v="27"/>
    <x v="1"/>
    <x v="0"/>
    <s v="Night"/>
    <s v="January"/>
    <s v="Spring"/>
    <n v="0.22929155386993369"/>
    <n v="-0.25435329828790432"/>
    <n v="0.10399668008577614"/>
    <n v="0.36604748519325236"/>
  </r>
  <r>
    <n v="595"/>
    <d v="2011-01-27T00:00:00"/>
    <x v="0"/>
    <n v="0"/>
    <n v="1"/>
    <n v="23"/>
    <b v="0"/>
    <n v="4"/>
    <n v="1"/>
    <x v="15"/>
    <x v="13"/>
    <n v="0.8"/>
    <x v="8"/>
    <n v="0"/>
    <n v="16"/>
    <n v="16"/>
    <x v="1"/>
    <x v="0"/>
    <s v="Night"/>
    <s v="January"/>
    <s v="Spring"/>
    <n v="0.22929155386993369"/>
    <n v="-0.25435329828790432"/>
    <n v="0.10399668008577614"/>
    <n v="0.36604748519325236"/>
  </r>
  <r>
    <n v="596"/>
    <d v="2011-01-28T00:00:00"/>
    <x v="0"/>
    <n v="0"/>
    <n v="1"/>
    <n v="0"/>
    <b v="0"/>
    <n v="5"/>
    <n v="2"/>
    <x v="2"/>
    <x v="12"/>
    <n v="0.75"/>
    <x v="7"/>
    <n v="0"/>
    <n v="9"/>
    <n v="9"/>
    <x v="1"/>
    <x v="1"/>
    <s v="Night"/>
    <s v="January"/>
    <s v="Spring"/>
    <n v="0.22929155386993369"/>
    <n v="-0.25435329828790432"/>
    <n v="0.10399668008577614"/>
    <n v="0.36604748519325236"/>
  </r>
  <r>
    <n v="597"/>
    <d v="2011-01-28T00:00:00"/>
    <x v="0"/>
    <n v="0"/>
    <n v="1"/>
    <n v="1"/>
    <b v="0"/>
    <n v="5"/>
    <n v="2"/>
    <x v="2"/>
    <x v="12"/>
    <n v="0.75"/>
    <x v="7"/>
    <n v="1"/>
    <n v="2"/>
    <n v="3"/>
    <x v="1"/>
    <x v="1"/>
    <s v="Night"/>
    <s v="January"/>
    <s v="Spring"/>
    <n v="0.22929155386993369"/>
    <n v="-0.25435329828790432"/>
    <n v="0.10399668008577614"/>
    <n v="0.36604748519325236"/>
  </r>
  <r>
    <n v="598"/>
    <d v="2011-01-28T00:00:00"/>
    <x v="0"/>
    <n v="0"/>
    <n v="1"/>
    <n v="2"/>
    <b v="0"/>
    <n v="5"/>
    <n v="2"/>
    <x v="2"/>
    <x v="12"/>
    <n v="0.75"/>
    <x v="8"/>
    <n v="0"/>
    <n v="2"/>
    <n v="2"/>
    <x v="1"/>
    <x v="1"/>
    <s v="Night"/>
    <s v="January"/>
    <s v="Spring"/>
    <n v="0.22929155386993369"/>
    <n v="-0.25435329828790432"/>
    <n v="0.10399668008577614"/>
    <n v="0.36604748519325236"/>
  </r>
  <r>
    <n v="599"/>
    <d v="2011-01-28T00:00:00"/>
    <x v="0"/>
    <n v="0"/>
    <n v="1"/>
    <n v="3"/>
    <b v="0"/>
    <n v="5"/>
    <n v="2"/>
    <x v="2"/>
    <x v="11"/>
    <n v="0.75"/>
    <x v="14"/>
    <n v="1"/>
    <n v="0"/>
    <n v="1"/>
    <x v="1"/>
    <x v="1"/>
    <s v="Night"/>
    <s v="January"/>
    <s v="Spring"/>
    <n v="0.22929155386993369"/>
    <n v="-0.25435329828790432"/>
    <n v="0.10399668008577614"/>
    <n v="0.36604748519325236"/>
  </r>
  <r>
    <n v="600"/>
    <d v="2011-01-28T00:00:00"/>
    <x v="0"/>
    <n v="0"/>
    <n v="1"/>
    <n v="5"/>
    <b v="0"/>
    <n v="5"/>
    <n v="2"/>
    <x v="15"/>
    <x v="12"/>
    <n v="0.8"/>
    <x v="14"/>
    <n v="0"/>
    <n v="4"/>
    <n v="4"/>
    <x v="1"/>
    <x v="1"/>
    <s v="Night"/>
    <s v="January"/>
    <s v="Spring"/>
    <n v="0.22929155386993369"/>
    <n v="-0.25435329828790432"/>
    <n v="0.10399668008577614"/>
    <n v="0.36604748519325236"/>
  </r>
  <r>
    <n v="601"/>
    <d v="2011-01-28T00:00:00"/>
    <x v="0"/>
    <n v="0"/>
    <n v="1"/>
    <n v="6"/>
    <b v="0"/>
    <n v="5"/>
    <n v="2"/>
    <x v="15"/>
    <x v="13"/>
    <n v="0.8"/>
    <x v="7"/>
    <n v="0"/>
    <n v="16"/>
    <n v="16"/>
    <x v="1"/>
    <x v="1"/>
    <s v="Morning"/>
    <s v="January"/>
    <s v="Spring"/>
    <n v="0.22929155386993369"/>
    <n v="-0.25435329828790432"/>
    <n v="0.10399668008577614"/>
    <n v="0.36604748519325236"/>
  </r>
  <r>
    <n v="602"/>
    <d v="2011-01-28T00:00:00"/>
    <x v="0"/>
    <n v="0"/>
    <n v="1"/>
    <n v="7"/>
    <b v="0"/>
    <n v="5"/>
    <n v="2"/>
    <x v="13"/>
    <x v="13"/>
    <n v="0.86"/>
    <x v="1"/>
    <n v="2"/>
    <n v="58"/>
    <n v="60"/>
    <x v="1"/>
    <x v="1"/>
    <s v="Morning"/>
    <s v="January"/>
    <s v="Spring"/>
    <n v="0.22929155386993369"/>
    <n v="-0.25435329828790432"/>
    <n v="0.10399668008577614"/>
    <n v="0.36604748519325236"/>
  </r>
  <r>
    <n v="603"/>
    <d v="2011-01-28T00:00:00"/>
    <x v="0"/>
    <n v="0"/>
    <n v="1"/>
    <n v="8"/>
    <b v="0"/>
    <n v="5"/>
    <n v="2"/>
    <x v="13"/>
    <x v="13"/>
    <n v="0.86"/>
    <x v="1"/>
    <n v="2"/>
    <n v="155"/>
    <n v="157"/>
    <x v="1"/>
    <x v="1"/>
    <s v="Morning"/>
    <s v="January"/>
    <s v="Spring"/>
    <n v="0.22929155386993369"/>
    <n v="-0.25435329828790432"/>
    <n v="0.10399668008577614"/>
    <n v="0.36604748519325236"/>
  </r>
  <r>
    <n v="604"/>
    <d v="2011-01-28T00:00:00"/>
    <x v="0"/>
    <n v="0"/>
    <n v="1"/>
    <n v="9"/>
    <b v="0"/>
    <n v="5"/>
    <n v="3"/>
    <x v="15"/>
    <x v="12"/>
    <n v="0.86"/>
    <x v="1"/>
    <n v="6"/>
    <n v="95"/>
    <n v="101"/>
    <x v="1"/>
    <x v="2"/>
    <s v="Morning"/>
    <s v="January"/>
    <s v="Spring"/>
    <n v="0.22929155386993369"/>
    <n v="-0.25435329828790432"/>
    <n v="0.10399668008577614"/>
    <n v="0.36604748519325236"/>
  </r>
  <r>
    <n v="605"/>
    <d v="2011-01-28T00:00:00"/>
    <x v="0"/>
    <n v="0"/>
    <n v="1"/>
    <n v="10"/>
    <b v="0"/>
    <n v="5"/>
    <n v="3"/>
    <x v="15"/>
    <x v="12"/>
    <n v="0.86"/>
    <x v="14"/>
    <n v="0"/>
    <n v="49"/>
    <n v="49"/>
    <x v="1"/>
    <x v="2"/>
    <s v="Morning"/>
    <s v="January"/>
    <s v="Spring"/>
    <n v="0.22929155386993369"/>
    <n v="-0.25435329828790432"/>
    <n v="0.10399668008577614"/>
    <n v="0.36604748519325236"/>
  </r>
  <r>
    <n v="606"/>
    <d v="2011-01-28T00:00:00"/>
    <x v="0"/>
    <n v="0"/>
    <n v="1"/>
    <n v="11"/>
    <b v="0"/>
    <n v="5"/>
    <n v="3"/>
    <x v="15"/>
    <x v="12"/>
    <n v="0.93"/>
    <x v="14"/>
    <n v="0"/>
    <n v="30"/>
    <n v="30"/>
    <x v="1"/>
    <x v="2"/>
    <s v="Morning"/>
    <s v="January"/>
    <s v="Spring"/>
    <n v="0.22929155386993369"/>
    <n v="-0.25435329828790432"/>
    <n v="0.10399668008577614"/>
    <n v="0.36604748519325236"/>
  </r>
  <r>
    <n v="607"/>
    <d v="2011-01-28T00:00:00"/>
    <x v="0"/>
    <n v="0"/>
    <n v="1"/>
    <n v="12"/>
    <b v="0"/>
    <n v="5"/>
    <n v="3"/>
    <x v="15"/>
    <x v="12"/>
    <n v="0.93"/>
    <x v="14"/>
    <n v="1"/>
    <n v="28"/>
    <n v="29"/>
    <x v="1"/>
    <x v="2"/>
    <s v="Afternoon"/>
    <s v="January"/>
    <s v="Spring"/>
    <n v="0.22929155386993369"/>
    <n v="-0.25435329828790432"/>
    <n v="0.10399668008577614"/>
    <n v="0.36604748519325236"/>
  </r>
  <r>
    <n v="608"/>
    <d v="2011-01-28T00:00:00"/>
    <x v="0"/>
    <n v="0"/>
    <n v="1"/>
    <n v="13"/>
    <b v="0"/>
    <n v="5"/>
    <n v="3"/>
    <x v="15"/>
    <x v="12"/>
    <n v="0.93"/>
    <x v="14"/>
    <n v="0"/>
    <n v="31"/>
    <n v="31"/>
    <x v="1"/>
    <x v="2"/>
    <s v="Afternoon"/>
    <s v="January"/>
    <s v="Spring"/>
    <n v="0.22929155386993369"/>
    <n v="-0.25435329828790432"/>
    <n v="0.10399668008577614"/>
    <n v="0.36604748519325236"/>
  </r>
  <r>
    <n v="609"/>
    <d v="2011-01-28T00:00:00"/>
    <x v="0"/>
    <n v="0"/>
    <n v="1"/>
    <n v="14"/>
    <b v="0"/>
    <n v="5"/>
    <n v="3"/>
    <x v="1"/>
    <x v="1"/>
    <n v="0.8"/>
    <x v="0"/>
    <n v="2"/>
    <n v="36"/>
    <n v="38"/>
    <x v="1"/>
    <x v="2"/>
    <s v="Afternoon"/>
    <s v="January"/>
    <s v="Spring"/>
    <n v="0.22929155386993369"/>
    <n v="-0.25435329828790432"/>
    <n v="0.10399668008577614"/>
    <n v="0.36604748519325236"/>
  </r>
  <r>
    <n v="610"/>
    <d v="2011-01-28T00:00:00"/>
    <x v="0"/>
    <n v="0"/>
    <n v="1"/>
    <n v="15"/>
    <b v="0"/>
    <n v="5"/>
    <n v="2"/>
    <x v="2"/>
    <x v="2"/>
    <n v="0.86"/>
    <x v="0"/>
    <n v="1"/>
    <n v="40"/>
    <n v="41"/>
    <x v="1"/>
    <x v="1"/>
    <s v="Afternoon"/>
    <s v="January"/>
    <s v="Spring"/>
    <n v="0.22929155386993369"/>
    <n v="-0.25435329828790432"/>
    <n v="0.10399668008577614"/>
    <n v="0.36604748519325236"/>
  </r>
  <r>
    <n v="611"/>
    <d v="2011-01-28T00:00:00"/>
    <x v="0"/>
    <n v="0"/>
    <n v="1"/>
    <n v="16"/>
    <b v="0"/>
    <n v="5"/>
    <n v="1"/>
    <x v="1"/>
    <x v="1"/>
    <n v="0.8"/>
    <x v="0"/>
    <n v="10"/>
    <n v="70"/>
    <n v="80"/>
    <x v="1"/>
    <x v="0"/>
    <s v="Afternoon"/>
    <s v="January"/>
    <s v="Spring"/>
    <n v="0.22929155386993369"/>
    <n v="-0.25435329828790432"/>
    <n v="0.10399668008577614"/>
    <n v="0.36604748519325236"/>
  </r>
  <r>
    <n v="612"/>
    <d v="2011-01-28T00:00:00"/>
    <x v="0"/>
    <n v="0"/>
    <n v="1"/>
    <n v="17"/>
    <b v="0"/>
    <n v="5"/>
    <n v="1"/>
    <x v="0"/>
    <x v="19"/>
    <n v="0.75"/>
    <x v="7"/>
    <n v="2"/>
    <n v="147"/>
    <n v="149"/>
    <x v="1"/>
    <x v="0"/>
    <s v="Evening"/>
    <s v="January"/>
    <s v="Spring"/>
    <n v="0.22929155386993369"/>
    <n v="-0.25435329828790432"/>
    <n v="0.10399668008577614"/>
    <n v="0.36604748519325236"/>
  </r>
  <r>
    <n v="613"/>
    <d v="2011-01-28T00:00:00"/>
    <x v="0"/>
    <n v="0"/>
    <n v="1"/>
    <n v="18"/>
    <b v="0"/>
    <n v="5"/>
    <n v="1"/>
    <x v="0"/>
    <x v="11"/>
    <n v="0.75"/>
    <x v="5"/>
    <n v="2"/>
    <n v="107"/>
    <n v="109"/>
    <x v="1"/>
    <x v="0"/>
    <s v="Evening"/>
    <s v="January"/>
    <s v="Spring"/>
    <n v="0.22929155386993369"/>
    <n v="-0.25435329828790432"/>
    <n v="0.10399668008577614"/>
    <n v="0.36604748519325236"/>
  </r>
  <r>
    <n v="614"/>
    <d v="2011-01-28T00:00:00"/>
    <x v="0"/>
    <n v="0"/>
    <n v="1"/>
    <n v="19"/>
    <b v="0"/>
    <n v="5"/>
    <n v="2"/>
    <x v="0"/>
    <x v="19"/>
    <n v="0.75"/>
    <x v="7"/>
    <n v="5"/>
    <n v="84"/>
    <n v="89"/>
    <x v="1"/>
    <x v="1"/>
    <s v="Evening"/>
    <s v="January"/>
    <s v="Spring"/>
    <n v="0.22929155386993369"/>
    <n v="-0.25435329828790432"/>
    <n v="0.10399668008577614"/>
    <n v="0.36604748519325236"/>
  </r>
  <r>
    <n v="615"/>
    <d v="2011-01-28T00:00:00"/>
    <x v="0"/>
    <n v="0"/>
    <n v="1"/>
    <n v="20"/>
    <b v="0"/>
    <n v="5"/>
    <n v="2"/>
    <x v="0"/>
    <x v="11"/>
    <n v="0.7"/>
    <x v="5"/>
    <n v="1"/>
    <n v="61"/>
    <n v="62"/>
    <x v="1"/>
    <x v="1"/>
    <s v="Evening"/>
    <s v="January"/>
    <s v="Spring"/>
    <n v="0.22929155386993369"/>
    <n v="-0.25435329828790432"/>
    <n v="0.10399668008577614"/>
    <n v="0.36604748519325236"/>
  </r>
  <r>
    <n v="616"/>
    <d v="2011-01-28T00:00:00"/>
    <x v="0"/>
    <n v="0"/>
    <n v="1"/>
    <n v="21"/>
    <b v="0"/>
    <n v="5"/>
    <n v="2"/>
    <x v="1"/>
    <x v="11"/>
    <n v="0.75"/>
    <x v="7"/>
    <n v="1"/>
    <n v="57"/>
    <n v="58"/>
    <x v="1"/>
    <x v="1"/>
    <s v="Night"/>
    <s v="January"/>
    <s v="Spring"/>
    <n v="0.22929155386993369"/>
    <n v="-0.25435329828790432"/>
    <n v="0.10399668008577614"/>
    <n v="0.36604748519325236"/>
  </r>
  <r>
    <n v="617"/>
    <d v="2011-01-28T00:00:00"/>
    <x v="0"/>
    <n v="0"/>
    <n v="1"/>
    <n v="22"/>
    <b v="0"/>
    <n v="5"/>
    <n v="1"/>
    <x v="0"/>
    <x v="12"/>
    <n v="0.65"/>
    <x v="11"/>
    <n v="0"/>
    <n v="26"/>
    <n v="26"/>
    <x v="1"/>
    <x v="0"/>
    <s v="Night"/>
    <s v="January"/>
    <s v="Spring"/>
    <n v="0.22929155386993369"/>
    <n v="-0.25435329828790432"/>
    <n v="0.10399668008577614"/>
    <n v="0.36604748519325236"/>
  </r>
  <r>
    <n v="618"/>
    <d v="2011-01-28T00:00:00"/>
    <x v="0"/>
    <n v="0"/>
    <n v="1"/>
    <n v="23"/>
    <b v="0"/>
    <n v="5"/>
    <n v="1"/>
    <x v="0"/>
    <x v="11"/>
    <n v="0.6"/>
    <x v="6"/>
    <n v="1"/>
    <n v="22"/>
    <n v="23"/>
    <x v="1"/>
    <x v="0"/>
    <s v="Night"/>
    <s v="January"/>
    <s v="Spring"/>
    <n v="0.22929155386993369"/>
    <n v="-0.25435329828790432"/>
    <n v="0.10399668008577614"/>
    <n v="0.36604748519325236"/>
  </r>
  <r>
    <n v="619"/>
    <d v="2011-01-29T00:00:00"/>
    <x v="0"/>
    <n v="0"/>
    <n v="1"/>
    <n v="0"/>
    <b v="0"/>
    <n v="6"/>
    <n v="1"/>
    <x v="1"/>
    <x v="13"/>
    <n v="0.64"/>
    <x v="11"/>
    <n v="2"/>
    <n v="26"/>
    <n v="28"/>
    <x v="0"/>
    <x v="0"/>
    <s v="Night"/>
    <s v="January"/>
    <s v="Spring"/>
    <n v="0.22929155386993369"/>
    <n v="-0.25435329828790432"/>
    <n v="0.10399668008577614"/>
    <n v="0.36604748519325236"/>
  </r>
  <r>
    <n v="620"/>
    <d v="2011-01-29T00:00:00"/>
    <x v="0"/>
    <n v="0"/>
    <n v="1"/>
    <n v="1"/>
    <b v="0"/>
    <n v="6"/>
    <n v="1"/>
    <x v="1"/>
    <x v="11"/>
    <n v="0.64"/>
    <x v="5"/>
    <n v="0"/>
    <n v="20"/>
    <n v="20"/>
    <x v="0"/>
    <x v="0"/>
    <s v="Night"/>
    <s v="January"/>
    <s v="Spring"/>
    <n v="0.22929155386993369"/>
    <n v="-0.25435329828790432"/>
    <n v="0.10399668008577614"/>
    <n v="0.36604748519325236"/>
  </r>
  <r>
    <n v="621"/>
    <d v="2011-01-29T00:00:00"/>
    <x v="0"/>
    <n v="0"/>
    <n v="1"/>
    <n v="2"/>
    <b v="0"/>
    <n v="6"/>
    <n v="1"/>
    <x v="1"/>
    <x v="11"/>
    <n v="0.64"/>
    <x v="8"/>
    <n v="0"/>
    <n v="15"/>
    <n v="15"/>
    <x v="0"/>
    <x v="0"/>
    <s v="Night"/>
    <s v="January"/>
    <s v="Spring"/>
    <n v="0.22929155386993369"/>
    <n v="-0.25435329828790432"/>
    <n v="0.10399668008577614"/>
    <n v="0.36604748519325236"/>
  </r>
  <r>
    <n v="622"/>
    <d v="2011-01-29T00:00:00"/>
    <x v="0"/>
    <n v="0"/>
    <n v="1"/>
    <n v="3"/>
    <b v="0"/>
    <n v="6"/>
    <n v="1"/>
    <x v="2"/>
    <x v="12"/>
    <n v="0.64"/>
    <x v="7"/>
    <n v="3"/>
    <n v="5"/>
    <n v="8"/>
    <x v="0"/>
    <x v="0"/>
    <s v="Night"/>
    <s v="January"/>
    <s v="Spring"/>
    <n v="0.22929155386993369"/>
    <n v="-0.25435329828790432"/>
    <n v="0.10399668008577614"/>
    <n v="0.36604748519325236"/>
  </r>
  <r>
    <n v="623"/>
    <d v="2011-01-29T00:00:00"/>
    <x v="0"/>
    <n v="0"/>
    <n v="1"/>
    <n v="4"/>
    <b v="0"/>
    <n v="6"/>
    <n v="1"/>
    <x v="13"/>
    <x v="18"/>
    <n v="0.69"/>
    <x v="14"/>
    <n v="1"/>
    <n v="2"/>
    <n v="3"/>
    <x v="0"/>
    <x v="0"/>
    <s v="Night"/>
    <s v="January"/>
    <s v="Spring"/>
    <n v="0.22929155386993369"/>
    <n v="-0.25435329828790432"/>
    <n v="0.10399668008577614"/>
    <n v="0.36604748519325236"/>
  </r>
  <r>
    <n v="624"/>
    <d v="2011-01-29T00:00:00"/>
    <x v="0"/>
    <n v="0"/>
    <n v="1"/>
    <n v="6"/>
    <b v="0"/>
    <n v="6"/>
    <n v="1"/>
    <x v="13"/>
    <x v="18"/>
    <n v="0.64"/>
    <x v="7"/>
    <n v="0"/>
    <n v="2"/>
    <n v="2"/>
    <x v="0"/>
    <x v="0"/>
    <s v="Morning"/>
    <s v="January"/>
    <s v="Spring"/>
    <n v="0.22929155386993369"/>
    <n v="-0.25435329828790432"/>
    <n v="0.10399668008577614"/>
    <n v="0.36604748519325236"/>
  </r>
  <r>
    <n v="625"/>
    <d v="2011-01-29T00:00:00"/>
    <x v="0"/>
    <n v="0"/>
    <n v="1"/>
    <n v="7"/>
    <b v="0"/>
    <n v="6"/>
    <n v="1"/>
    <x v="13"/>
    <x v="18"/>
    <n v="0.59"/>
    <x v="14"/>
    <n v="1"/>
    <n v="4"/>
    <n v="5"/>
    <x v="0"/>
    <x v="0"/>
    <s v="Morning"/>
    <s v="January"/>
    <s v="Spring"/>
    <n v="0.22929155386993369"/>
    <n v="-0.25435329828790432"/>
    <n v="0.10399668008577614"/>
    <n v="0.36604748519325236"/>
  </r>
  <r>
    <n v="626"/>
    <d v="2011-01-29T00:00:00"/>
    <x v="0"/>
    <n v="0"/>
    <n v="1"/>
    <n v="8"/>
    <b v="0"/>
    <n v="6"/>
    <n v="1"/>
    <x v="15"/>
    <x v="13"/>
    <n v="0.55000000000000004"/>
    <x v="8"/>
    <n v="3"/>
    <n v="31"/>
    <n v="34"/>
    <x v="0"/>
    <x v="0"/>
    <s v="Morning"/>
    <s v="January"/>
    <s v="Spring"/>
    <n v="0.22929155386993369"/>
    <n v="-0.25435329828790432"/>
    <n v="0.10399668008577614"/>
    <n v="0.36604748519325236"/>
  </r>
  <r>
    <n v="627"/>
    <d v="2011-01-29T00:00:00"/>
    <x v="0"/>
    <n v="0"/>
    <n v="1"/>
    <n v="9"/>
    <b v="0"/>
    <n v="6"/>
    <n v="1"/>
    <x v="15"/>
    <x v="12"/>
    <n v="0.59"/>
    <x v="1"/>
    <n v="0"/>
    <n v="34"/>
    <n v="34"/>
    <x v="0"/>
    <x v="0"/>
    <s v="Morning"/>
    <s v="January"/>
    <s v="Spring"/>
    <n v="0.22929155386993369"/>
    <n v="-0.25435329828790432"/>
    <n v="0.10399668008577614"/>
    <n v="0.36604748519325236"/>
  </r>
  <r>
    <n v="628"/>
    <d v="2011-01-29T00:00:00"/>
    <x v="0"/>
    <n v="0"/>
    <n v="1"/>
    <n v="10"/>
    <b v="0"/>
    <n v="6"/>
    <n v="2"/>
    <x v="15"/>
    <x v="12"/>
    <n v="0.64"/>
    <x v="14"/>
    <n v="4"/>
    <n v="51"/>
    <n v="55"/>
    <x v="0"/>
    <x v="1"/>
    <s v="Morning"/>
    <s v="January"/>
    <s v="Spring"/>
    <n v="0.22929155386993369"/>
    <n v="-0.25435329828790432"/>
    <n v="0.10399668008577614"/>
    <n v="0.36604748519325236"/>
  </r>
  <r>
    <n v="629"/>
    <d v="2011-01-29T00:00:00"/>
    <x v="0"/>
    <n v="0"/>
    <n v="1"/>
    <n v="11"/>
    <b v="0"/>
    <n v="6"/>
    <n v="2"/>
    <x v="15"/>
    <x v="13"/>
    <n v="0.64"/>
    <x v="7"/>
    <n v="4"/>
    <n v="60"/>
    <n v="64"/>
    <x v="0"/>
    <x v="1"/>
    <s v="Morning"/>
    <s v="January"/>
    <s v="Spring"/>
    <n v="0.22929155386993369"/>
    <n v="-0.25435329828790432"/>
    <n v="0.10399668008577614"/>
    <n v="0.36604748519325236"/>
  </r>
  <r>
    <n v="630"/>
    <d v="2011-01-29T00:00:00"/>
    <x v="0"/>
    <n v="0"/>
    <n v="1"/>
    <n v="12"/>
    <b v="0"/>
    <n v="6"/>
    <n v="2"/>
    <x v="2"/>
    <x v="13"/>
    <n v="0.59"/>
    <x v="5"/>
    <n v="12"/>
    <n v="66"/>
    <n v="78"/>
    <x v="0"/>
    <x v="1"/>
    <s v="Afternoon"/>
    <s v="January"/>
    <s v="Spring"/>
    <n v="0.22929155386993369"/>
    <n v="-0.25435329828790432"/>
    <n v="0.10399668008577614"/>
    <n v="0.36604748519325236"/>
  </r>
  <r>
    <n v="631"/>
    <d v="2011-01-29T00:00:00"/>
    <x v="0"/>
    <n v="0"/>
    <n v="1"/>
    <n v="13"/>
    <b v="0"/>
    <n v="6"/>
    <n v="2"/>
    <x v="1"/>
    <x v="11"/>
    <n v="0.55000000000000004"/>
    <x v="8"/>
    <n v="9"/>
    <n v="56"/>
    <n v="65"/>
    <x v="0"/>
    <x v="1"/>
    <s v="Afternoon"/>
    <s v="January"/>
    <s v="Spring"/>
    <n v="0.22929155386993369"/>
    <n v="-0.25435329828790432"/>
    <n v="0.10399668008577614"/>
    <n v="0.36604748519325236"/>
  </r>
  <r>
    <n v="632"/>
    <d v="2011-01-29T00:00:00"/>
    <x v="0"/>
    <n v="0"/>
    <n v="1"/>
    <n v="14"/>
    <b v="0"/>
    <n v="6"/>
    <n v="2"/>
    <x v="1"/>
    <x v="11"/>
    <n v="0.6"/>
    <x v="7"/>
    <n v="10"/>
    <n v="89"/>
    <n v="99"/>
    <x v="0"/>
    <x v="1"/>
    <s v="Afternoon"/>
    <s v="January"/>
    <s v="Spring"/>
    <n v="0.22929155386993369"/>
    <n v="-0.25435329828790432"/>
    <n v="0.10399668008577614"/>
    <n v="0.36604748519325236"/>
  </r>
  <r>
    <n v="633"/>
    <d v="2011-01-29T00:00:00"/>
    <x v="0"/>
    <n v="0"/>
    <n v="1"/>
    <n v="15"/>
    <b v="0"/>
    <n v="6"/>
    <n v="1"/>
    <x v="1"/>
    <x v="12"/>
    <n v="0.69"/>
    <x v="2"/>
    <n v="22"/>
    <n v="98"/>
    <n v="120"/>
    <x v="0"/>
    <x v="0"/>
    <s v="Afternoon"/>
    <s v="January"/>
    <s v="Spring"/>
    <n v="0.22929155386993369"/>
    <n v="-0.25435329828790432"/>
    <n v="0.10399668008577614"/>
    <n v="0.36604748519325236"/>
  </r>
  <r>
    <n v="634"/>
    <d v="2011-01-29T00:00:00"/>
    <x v="0"/>
    <n v="0"/>
    <n v="1"/>
    <n v="16"/>
    <b v="0"/>
    <n v="6"/>
    <n v="1"/>
    <x v="0"/>
    <x v="19"/>
    <n v="0.6"/>
    <x v="8"/>
    <n v="19"/>
    <n v="88"/>
    <n v="107"/>
    <x v="0"/>
    <x v="0"/>
    <s v="Afternoon"/>
    <s v="January"/>
    <s v="Spring"/>
    <n v="0.22929155386993369"/>
    <n v="-0.25435329828790432"/>
    <n v="0.10399668008577614"/>
    <n v="0.36604748519325236"/>
  </r>
  <r>
    <n v="635"/>
    <d v="2011-01-29T00:00:00"/>
    <x v="0"/>
    <n v="0"/>
    <n v="1"/>
    <n v="17"/>
    <b v="0"/>
    <n v="6"/>
    <n v="1"/>
    <x v="0"/>
    <x v="0"/>
    <n v="0.6"/>
    <x v="0"/>
    <n v="9"/>
    <n v="82"/>
    <n v="91"/>
    <x v="0"/>
    <x v="0"/>
    <s v="Evening"/>
    <s v="January"/>
    <s v="Spring"/>
    <n v="0.22929155386993369"/>
    <n v="-0.25435329828790432"/>
    <n v="0.10399668008577614"/>
    <n v="0.36604748519325236"/>
  </r>
  <r>
    <n v="636"/>
    <d v="2011-01-29T00:00:00"/>
    <x v="0"/>
    <n v="0"/>
    <n v="1"/>
    <n v="18"/>
    <b v="0"/>
    <n v="6"/>
    <n v="1"/>
    <x v="1"/>
    <x v="11"/>
    <n v="0.69"/>
    <x v="7"/>
    <n v="9"/>
    <n v="59"/>
    <n v="68"/>
    <x v="0"/>
    <x v="0"/>
    <s v="Evening"/>
    <s v="January"/>
    <s v="Spring"/>
    <n v="0.22929155386993369"/>
    <n v="-0.25435329828790432"/>
    <n v="0.10399668008577614"/>
    <n v="0.36604748519325236"/>
  </r>
  <r>
    <n v="637"/>
    <d v="2011-01-29T00:00:00"/>
    <x v="0"/>
    <n v="0"/>
    <n v="1"/>
    <n v="19"/>
    <b v="0"/>
    <n v="6"/>
    <n v="2"/>
    <x v="1"/>
    <x v="12"/>
    <n v="0.69"/>
    <x v="2"/>
    <n v="6"/>
    <n v="52"/>
    <n v="58"/>
    <x v="0"/>
    <x v="1"/>
    <s v="Evening"/>
    <s v="January"/>
    <s v="Spring"/>
    <n v="0.22929155386993369"/>
    <n v="-0.25435329828790432"/>
    <n v="0.10399668008577614"/>
    <n v="0.36604748519325236"/>
  </r>
  <r>
    <n v="638"/>
    <d v="2011-01-29T00:00:00"/>
    <x v="0"/>
    <n v="0"/>
    <n v="1"/>
    <n v="20"/>
    <b v="0"/>
    <n v="6"/>
    <n v="1"/>
    <x v="15"/>
    <x v="12"/>
    <n v="0.74"/>
    <x v="1"/>
    <n v="1"/>
    <n v="42"/>
    <n v="43"/>
    <x v="0"/>
    <x v="0"/>
    <s v="Evening"/>
    <s v="January"/>
    <s v="Spring"/>
    <n v="0.22929155386993369"/>
    <n v="-0.25435329828790432"/>
    <n v="0.10399668008577614"/>
    <n v="0.36604748519325236"/>
  </r>
  <r>
    <n v="639"/>
    <d v="2011-01-29T00:00:00"/>
    <x v="0"/>
    <n v="0"/>
    <n v="1"/>
    <n v="21"/>
    <b v="0"/>
    <n v="6"/>
    <n v="1"/>
    <x v="15"/>
    <x v="12"/>
    <n v="0.74"/>
    <x v="1"/>
    <n v="1"/>
    <n v="35"/>
    <n v="36"/>
    <x v="0"/>
    <x v="0"/>
    <s v="Night"/>
    <s v="January"/>
    <s v="Spring"/>
    <n v="0.22929155386993369"/>
    <n v="-0.25435329828790432"/>
    <n v="0.10399668008577614"/>
    <n v="0.36604748519325236"/>
  </r>
  <r>
    <n v="640"/>
    <d v="2011-01-29T00:00:00"/>
    <x v="0"/>
    <n v="0"/>
    <n v="1"/>
    <n v="22"/>
    <b v="0"/>
    <n v="6"/>
    <n v="1"/>
    <x v="13"/>
    <x v="13"/>
    <n v="0.8"/>
    <x v="1"/>
    <n v="4"/>
    <n v="28"/>
    <n v="32"/>
    <x v="0"/>
    <x v="0"/>
    <s v="Night"/>
    <s v="January"/>
    <s v="Spring"/>
    <n v="0.22929155386993369"/>
    <n v="-0.25435329828790432"/>
    <n v="0.10399668008577614"/>
    <n v="0.36604748519325236"/>
  </r>
  <r>
    <n v="641"/>
    <d v="2011-01-29T00:00:00"/>
    <x v="0"/>
    <n v="0"/>
    <n v="1"/>
    <n v="23"/>
    <b v="0"/>
    <n v="6"/>
    <n v="1"/>
    <x v="13"/>
    <x v="13"/>
    <n v="0.8"/>
    <x v="1"/>
    <n v="3"/>
    <n v="30"/>
    <n v="33"/>
    <x v="0"/>
    <x v="0"/>
    <s v="Night"/>
    <s v="January"/>
    <s v="Spring"/>
    <n v="0.22929155386993369"/>
    <n v="-0.25435329828790432"/>
    <n v="0.10399668008577614"/>
    <n v="0.36604748519325236"/>
  </r>
  <r>
    <n v="642"/>
    <d v="2011-01-30T00:00:00"/>
    <x v="0"/>
    <n v="0"/>
    <n v="1"/>
    <n v="0"/>
    <b v="0"/>
    <n v="0"/>
    <n v="1"/>
    <x v="13"/>
    <x v="18"/>
    <n v="0.8"/>
    <x v="14"/>
    <n v="0"/>
    <n v="33"/>
    <n v="33"/>
    <x v="0"/>
    <x v="0"/>
    <s v="Night"/>
    <s v="January"/>
    <s v="Spring"/>
    <n v="0.22929155386993369"/>
    <n v="-0.25435329828790432"/>
    <n v="0.10399668008577614"/>
    <n v="0.36604748519325236"/>
  </r>
  <r>
    <n v="643"/>
    <d v="2011-01-30T00:00:00"/>
    <x v="0"/>
    <n v="0"/>
    <n v="1"/>
    <n v="1"/>
    <b v="0"/>
    <n v="0"/>
    <n v="1"/>
    <x v="14"/>
    <x v="12"/>
    <n v="0.8"/>
    <x v="0"/>
    <n v="7"/>
    <n v="22"/>
    <n v="29"/>
    <x v="0"/>
    <x v="0"/>
    <s v="Night"/>
    <s v="January"/>
    <s v="Spring"/>
    <n v="0.22929155386993369"/>
    <n v="-0.25435329828790432"/>
    <n v="0.10399668008577614"/>
    <n v="0.36604748519325236"/>
  </r>
  <r>
    <n v="644"/>
    <d v="2011-01-30T00:00:00"/>
    <x v="0"/>
    <n v="0"/>
    <n v="1"/>
    <n v="2"/>
    <b v="0"/>
    <n v="0"/>
    <n v="1"/>
    <x v="13"/>
    <x v="11"/>
    <n v="0.8"/>
    <x v="0"/>
    <n v="1"/>
    <n v="10"/>
    <n v="11"/>
    <x v="0"/>
    <x v="0"/>
    <s v="Night"/>
    <s v="January"/>
    <s v="Spring"/>
    <n v="0.22929155386993369"/>
    <n v="-0.25435329828790432"/>
    <n v="0.10399668008577614"/>
    <n v="0.36604748519325236"/>
  </r>
  <r>
    <n v="645"/>
    <d v="2011-01-30T00:00:00"/>
    <x v="0"/>
    <n v="0"/>
    <n v="1"/>
    <n v="3"/>
    <b v="0"/>
    <n v="0"/>
    <n v="1"/>
    <x v="14"/>
    <x v="12"/>
    <n v="0.93"/>
    <x v="0"/>
    <n v="1"/>
    <n v="7"/>
    <n v="8"/>
    <x v="0"/>
    <x v="0"/>
    <s v="Night"/>
    <s v="January"/>
    <s v="Spring"/>
    <n v="0.22929155386993369"/>
    <n v="-0.25435329828790432"/>
    <n v="0.10399668008577614"/>
    <n v="0.36604748519325236"/>
  </r>
  <r>
    <n v="646"/>
    <d v="2011-01-30T00:00:00"/>
    <x v="0"/>
    <n v="0"/>
    <n v="1"/>
    <n v="4"/>
    <b v="0"/>
    <n v="0"/>
    <n v="1"/>
    <x v="14"/>
    <x v="12"/>
    <n v="0.93"/>
    <x v="0"/>
    <n v="0"/>
    <n v="1"/>
    <n v="1"/>
    <x v="0"/>
    <x v="0"/>
    <s v="Night"/>
    <s v="January"/>
    <s v="Spring"/>
    <n v="0.22929155386993369"/>
    <n v="-0.25435329828790432"/>
    <n v="0.10399668008577614"/>
    <n v="0.36604748519325236"/>
  </r>
  <r>
    <n v="647"/>
    <d v="2011-01-30T00:00:00"/>
    <x v="0"/>
    <n v="0"/>
    <n v="1"/>
    <n v="5"/>
    <b v="0"/>
    <n v="0"/>
    <n v="1"/>
    <x v="14"/>
    <x v="12"/>
    <n v="0.86"/>
    <x v="0"/>
    <n v="0"/>
    <n v="3"/>
    <n v="3"/>
    <x v="0"/>
    <x v="0"/>
    <s v="Night"/>
    <s v="January"/>
    <s v="Spring"/>
    <n v="0.22929155386993369"/>
    <n v="-0.25435329828790432"/>
    <n v="0.10399668008577614"/>
    <n v="0.36604748519325236"/>
  </r>
  <r>
    <n v="648"/>
    <d v="2011-01-30T00:00:00"/>
    <x v="0"/>
    <n v="0"/>
    <n v="1"/>
    <n v="7"/>
    <b v="0"/>
    <n v="0"/>
    <n v="1"/>
    <x v="14"/>
    <x v="12"/>
    <n v="0.86"/>
    <x v="0"/>
    <n v="0"/>
    <n v="3"/>
    <n v="3"/>
    <x v="0"/>
    <x v="0"/>
    <s v="Morning"/>
    <s v="January"/>
    <s v="Spring"/>
    <n v="0.22929155386993369"/>
    <n v="-0.25435329828790432"/>
    <n v="0.10399668008577614"/>
    <n v="0.36604748519325236"/>
  </r>
  <r>
    <n v="649"/>
    <d v="2011-01-30T00:00:00"/>
    <x v="0"/>
    <n v="0"/>
    <n v="1"/>
    <n v="8"/>
    <b v="0"/>
    <n v="0"/>
    <n v="2"/>
    <x v="14"/>
    <x v="12"/>
    <n v="0.86"/>
    <x v="0"/>
    <n v="1"/>
    <n v="11"/>
    <n v="12"/>
    <x v="0"/>
    <x v="1"/>
    <s v="Morning"/>
    <s v="January"/>
    <s v="Spring"/>
    <n v="0.22929155386993369"/>
    <n v="-0.25435329828790432"/>
    <n v="0.10399668008577614"/>
    <n v="0.36604748519325236"/>
  </r>
  <r>
    <n v="650"/>
    <d v="2011-01-30T00:00:00"/>
    <x v="0"/>
    <n v="0"/>
    <n v="1"/>
    <n v="9"/>
    <b v="0"/>
    <n v="0"/>
    <n v="2"/>
    <x v="13"/>
    <x v="11"/>
    <n v="0.8"/>
    <x v="0"/>
    <n v="4"/>
    <n v="34"/>
    <n v="38"/>
    <x v="0"/>
    <x v="1"/>
    <s v="Morning"/>
    <s v="January"/>
    <s v="Spring"/>
    <n v="0.22929155386993369"/>
    <n v="-0.25435329828790432"/>
    <n v="0.10399668008577614"/>
    <n v="0.36604748519325236"/>
  </r>
  <r>
    <n v="651"/>
    <d v="2011-01-30T00:00:00"/>
    <x v="0"/>
    <n v="0"/>
    <n v="1"/>
    <n v="10"/>
    <b v="0"/>
    <n v="0"/>
    <n v="2"/>
    <x v="15"/>
    <x v="19"/>
    <n v="0.8"/>
    <x v="0"/>
    <n v="7"/>
    <n v="57"/>
    <n v="64"/>
    <x v="0"/>
    <x v="1"/>
    <s v="Morning"/>
    <s v="January"/>
    <s v="Spring"/>
    <n v="0.22929155386993369"/>
    <n v="-0.25435329828790432"/>
    <n v="0.10399668008577614"/>
    <n v="0.36604748519325236"/>
  </r>
  <r>
    <n v="652"/>
    <d v="2011-01-30T00:00:00"/>
    <x v="0"/>
    <n v="0"/>
    <n v="1"/>
    <n v="11"/>
    <b v="0"/>
    <n v="0"/>
    <n v="1"/>
    <x v="1"/>
    <x v="1"/>
    <n v="0.75"/>
    <x v="0"/>
    <n v="9"/>
    <n v="50"/>
    <n v="59"/>
    <x v="0"/>
    <x v="0"/>
    <s v="Morning"/>
    <s v="January"/>
    <s v="Spring"/>
    <n v="0.22929155386993369"/>
    <n v="-0.25435329828790432"/>
    <n v="0.10399668008577614"/>
    <n v="0.36604748519325236"/>
  </r>
  <r>
    <n v="653"/>
    <d v="2011-01-30T00:00:00"/>
    <x v="0"/>
    <n v="0"/>
    <n v="1"/>
    <n v="12"/>
    <b v="0"/>
    <n v="0"/>
    <n v="1"/>
    <x v="11"/>
    <x v="21"/>
    <n v="0.52"/>
    <x v="14"/>
    <n v="10"/>
    <n v="87"/>
    <n v="97"/>
    <x v="0"/>
    <x v="0"/>
    <s v="Afternoon"/>
    <s v="January"/>
    <s v="Spring"/>
    <n v="0.22929155386993369"/>
    <n v="-0.25435329828790432"/>
    <n v="0.10399668008577614"/>
    <n v="0.36604748519325236"/>
  </r>
  <r>
    <n v="654"/>
    <d v="2011-01-30T00:00:00"/>
    <x v="0"/>
    <n v="0"/>
    <n v="1"/>
    <n v="13"/>
    <b v="0"/>
    <n v="0"/>
    <n v="1"/>
    <x v="17"/>
    <x v="0"/>
    <n v="0.61"/>
    <x v="14"/>
    <n v="13"/>
    <n v="71"/>
    <n v="84"/>
    <x v="0"/>
    <x v="0"/>
    <s v="Afternoon"/>
    <s v="January"/>
    <s v="Spring"/>
    <n v="0.22929155386993369"/>
    <n v="-0.25435329828790432"/>
    <n v="0.10399668008577614"/>
    <n v="0.36604748519325236"/>
  </r>
  <r>
    <n v="655"/>
    <d v="2011-01-30T00:00:00"/>
    <x v="0"/>
    <n v="0"/>
    <n v="1"/>
    <n v="14"/>
    <b v="0"/>
    <n v="0"/>
    <n v="1"/>
    <x v="17"/>
    <x v="25"/>
    <n v="0.61"/>
    <x v="1"/>
    <n v="18"/>
    <n v="104"/>
    <n v="122"/>
    <x v="0"/>
    <x v="0"/>
    <s v="Afternoon"/>
    <s v="January"/>
    <s v="Spring"/>
    <n v="0.22929155386993369"/>
    <n v="-0.25435329828790432"/>
    <n v="0.10399668008577614"/>
    <n v="0.36604748519325236"/>
  </r>
  <r>
    <n v="656"/>
    <d v="2011-01-30T00:00:00"/>
    <x v="0"/>
    <n v="0"/>
    <n v="1"/>
    <n v="15"/>
    <b v="0"/>
    <n v="0"/>
    <n v="1"/>
    <x v="11"/>
    <x v="6"/>
    <n v="0.56000000000000005"/>
    <x v="0"/>
    <n v="14"/>
    <n v="95"/>
    <n v="109"/>
    <x v="0"/>
    <x v="0"/>
    <s v="Afternoon"/>
    <s v="January"/>
    <s v="Spring"/>
    <n v="0.22929155386993369"/>
    <n v="-0.25435329828790432"/>
    <n v="0.10399668008577614"/>
    <n v="0.36604748519325236"/>
  </r>
  <r>
    <n v="657"/>
    <d v="2011-01-30T00:00:00"/>
    <x v="0"/>
    <n v="0"/>
    <n v="1"/>
    <n v="16"/>
    <b v="0"/>
    <n v="0"/>
    <n v="1"/>
    <x v="11"/>
    <x v="6"/>
    <n v="0.56000000000000005"/>
    <x v="0"/>
    <n v="19"/>
    <n v="104"/>
    <n v="123"/>
    <x v="0"/>
    <x v="0"/>
    <s v="Afternoon"/>
    <s v="January"/>
    <s v="Spring"/>
    <n v="0.22929155386993369"/>
    <n v="-0.25435329828790432"/>
    <n v="0.10399668008577614"/>
    <n v="0.36604748519325236"/>
  </r>
  <r>
    <n v="658"/>
    <d v="2011-01-30T00:00:00"/>
    <x v="0"/>
    <n v="0"/>
    <n v="1"/>
    <n v="17"/>
    <b v="0"/>
    <n v="0"/>
    <n v="1"/>
    <x v="11"/>
    <x v="0"/>
    <n v="0.56000000000000005"/>
    <x v="5"/>
    <n v="6"/>
    <n v="71"/>
    <n v="77"/>
    <x v="0"/>
    <x v="0"/>
    <s v="Evening"/>
    <s v="January"/>
    <s v="Spring"/>
    <n v="0.22929155386993369"/>
    <n v="-0.25435329828790432"/>
    <n v="0.10399668008577614"/>
    <n v="0.36604748519325236"/>
  </r>
  <r>
    <n v="659"/>
    <d v="2011-01-30T00:00:00"/>
    <x v="0"/>
    <n v="0"/>
    <n v="1"/>
    <n v="18"/>
    <b v="0"/>
    <n v="0"/>
    <n v="1"/>
    <x v="12"/>
    <x v="2"/>
    <n v="0.65"/>
    <x v="8"/>
    <n v="8"/>
    <n v="57"/>
    <n v="65"/>
    <x v="0"/>
    <x v="0"/>
    <s v="Evening"/>
    <s v="January"/>
    <s v="Spring"/>
    <n v="0.22929155386993369"/>
    <n v="-0.25435329828790432"/>
    <n v="0.10399668008577614"/>
    <n v="0.36604748519325236"/>
  </r>
  <r>
    <n v="660"/>
    <d v="2011-01-30T00:00:00"/>
    <x v="0"/>
    <n v="0"/>
    <n v="1"/>
    <n v="19"/>
    <b v="0"/>
    <n v="0"/>
    <n v="1"/>
    <x v="12"/>
    <x v="2"/>
    <n v="0.65"/>
    <x v="5"/>
    <n v="9"/>
    <n v="46"/>
    <n v="55"/>
    <x v="0"/>
    <x v="0"/>
    <s v="Evening"/>
    <s v="January"/>
    <s v="Spring"/>
    <n v="0.22929155386993369"/>
    <n v="-0.25435329828790432"/>
    <n v="0.10399668008577614"/>
    <n v="0.36604748519325236"/>
  </r>
  <r>
    <n v="661"/>
    <d v="2011-01-30T00:00:00"/>
    <x v="0"/>
    <n v="0"/>
    <n v="1"/>
    <n v="20"/>
    <b v="0"/>
    <n v="0"/>
    <n v="2"/>
    <x v="12"/>
    <x v="1"/>
    <n v="0.65"/>
    <x v="14"/>
    <n v="3"/>
    <n v="30"/>
    <n v="33"/>
    <x v="0"/>
    <x v="1"/>
    <s v="Evening"/>
    <s v="January"/>
    <s v="Spring"/>
    <n v="0.22929155386993369"/>
    <n v="-0.25435329828790432"/>
    <n v="0.10399668008577614"/>
    <n v="0.36604748519325236"/>
  </r>
  <r>
    <n v="662"/>
    <d v="2011-01-30T00:00:00"/>
    <x v="0"/>
    <n v="0"/>
    <n v="1"/>
    <n v="21"/>
    <b v="0"/>
    <n v="0"/>
    <n v="2"/>
    <x v="0"/>
    <x v="19"/>
    <n v="0.7"/>
    <x v="8"/>
    <n v="3"/>
    <n v="25"/>
    <n v="28"/>
    <x v="0"/>
    <x v="1"/>
    <s v="Night"/>
    <s v="January"/>
    <s v="Spring"/>
    <n v="0.22929155386993369"/>
    <n v="-0.25435329828790432"/>
    <n v="0.10399668008577614"/>
    <n v="0.36604748519325236"/>
  </r>
  <r>
    <n v="663"/>
    <d v="2011-01-30T00:00:00"/>
    <x v="0"/>
    <n v="0"/>
    <n v="1"/>
    <n v="22"/>
    <b v="0"/>
    <n v="0"/>
    <n v="2"/>
    <x v="0"/>
    <x v="11"/>
    <n v="0.7"/>
    <x v="5"/>
    <n v="2"/>
    <n v="19"/>
    <n v="21"/>
    <x v="0"/>
    <x v="1"/>
    <s v="Night"/>
    <s v="January"/>
    <s v="Spring"/>
    <n v="0.22929155386993369"/>
    <n v="-0.25435329828790432"/>
    <n v="0.10399668008577614"/>
    <n v="0.36604748519325236"/>
  </r>
  <r>
    <n v="664"/>
    <d v="2011-01-30T00:00:00"/>
    <x v="0"/>
    <n v="0"/>
    <n v="1"/>
    <n v="23"/>
    <b v="0"/>
    <n v="0"/>
    <n v="2"/>
    <x v="0"/>
    <x v="12"/>
    <n v="0.65"/>
    <x v="3"/>
    <n v="5"/>
    <n v="16"/>
    <n v="21"/>
    <x v="0"/>
    <x v="1"/>
    <s v="Night"/>
    <s v="January"/>
    <s v="Spring"/>
    <n v="0.22929155386993369"/>
    <n v="-0.25435329828790432"/>
    <n v="0.10399668008577614"/>
    <n v="0.36604748519325236"/>
  </r>
  <r>
    <n v="665"/>
    <d v="2011-01-31T00:00:00"/>
    <x v="0"/>
    <n v="0"/>
    <n v="1"/>
    <n v="0"/>
    <b v="0"/>
    <n v="1"/>
    <n v="2"/>
    <x v="0"/>
    <x v="11"/>
    <n v="0.65"/>
    <x v="6"/>
    <n v="1"/>
    <n v="6"/>
    <n v="7"/>
    <x v="1"/>
    <x v="1"/>
    <s v="Night"/>
    <s v="January"/>
    <s v="Spring"/>
    <n v="0.22929155386993369"/>
    <n v="-0.25435329828790432"/>
    <n v="0.10399668008577614"/>
    <n v="0.36604748519325236"/>
  </r>
  <r>
    <n v="666"/>
    <d v="2011-01-31T00:00:00"/>
    <x v="0"/>
    <n v="0"/>
    <n v="1"/>
    <n v="1"/>
    <b v="0"/>
    <n v="1"/>
    <n v="1"/>
    <x v="1"/>
    <x v="12"/>
    <n v="0.64"/>
    <x v="2"/>
    <n v="2"/>
    <n v="5"/>
    <n v="7"/>
    <x v="1"/>
    <x v="0"/>
    <s v="Night"/>
    <s v="January"/>
    <s v="Spring"/>
    <n v="0.22929155386993369"/>
    <n v="-0.25435329828790432"/>
    <n v="0.10399668008577614"/>
    <n v="0.36604748519325236"/>
  </r>
  <r>
    <n v="667"/>
    <d v="2011-01-31T00:00:00"/>
    <x v="0"/>
    <n v="0"/>
    <n v="1"/>
    <n v="2"/>
    <b v="0"/>
    <n v="1"/>
    <n v="1"/>
    <x v="1"/>
    <x v="11"/>
    <n v="0.64"/>
    <x v="5"/>
    <n v="0"/>
    <n v="1"/>
    <n v="1"/>
    <x v="1"/>
    <x v="0"/>
    <s v="Night"/>
    <s v="January"/>
    <s v="Spring"/>
    <n v="0.22929155386993369"/>
    <n v="-0.25435329828790432"/>
    <n v="0.10399668008577614"/>
    <n v="0.36604748519325236"/>
  </r>
  <r>
    <n v="668"/>
    <d v="2011-01-31T00:00:00"/>
    <x v="0"/>
    <n v="0"/>
    <n v="1"/>
    <n v="3"/>
    <b v="0"/>
    <n v="1"/>
    <n v="1"/>
    <x v="1"/>
    <x v="11"/>
    <n v="0.64"/>
    <x v="5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669"/>
    <d v="2011-01-31T00:00:00"/>
    <x v="0"/>
    <n v="0"/>
    <n v="1"/>
    <n v="4"/>
    <b v="0"/>
    <n v="1"/>
    <n v="1"/>
    <x v="2"/>
    <x v="13"/>
    <n v="0.59"/>
    <x v="6"/>
    <n v="0"/>
    <n v="2"/>
    <n v="2"/>
    <x v="1"/>
    <x v="0"/>
    <s v="Night"/>
    <s v="January"/>
    <s v="Spring"/>
    <n v="0.22929155386993369"/>
    <n v="-0.25435329828790432"/>
    <n v="0.10399668008577614"/>
    <n v="0.36604748519325236"/>
  </r>
  <r>
    <n v="670"/>
    <d v="2011-01-31T00:00:00"/>
    <x v="0"/>
    <n v="0"/>
    <n v="1"/>
    <n v="5"/>
    <b v="0"/>
    <n v="1"/>
    <n v="1"/>
    <x v="15"/>
    <x v="17"/>
    <n v="0.64"/>
    <x v="3"/>
    <n v="0"/>
    <n v="8"/>
    <n v="8"/>
    <x v="1"/>
    <x v="0"/>
    <s v="Night"/>
    <s v="January"/>
    <s v="Spring"/>
    <n v="0.22929155386993369"/>
    <n v="-0.25435329828790432"/>
    <n v="0.10399668008577614"/>
    <n v="0.36604748519325236"/>
  </r>
  <r>
    <n v="671"/>
    <d v="2011-01-31T00:00:00"/>
    <x v="0"/>
    <n v="0"/>
    <n v="1"/>
    <n v="6"/>
    <b v="0"/>
    <n v="1"/>
    <n v="1"/>
    <x v="13"/>
    <x v="14"/>
    <n v="0.69"/>
    <x v="9"/>
    <n v="0"/>
    <n v="37"/>
    <n v="37"/>
    <x v="1"/>
    <x v="0"/>
    <s v="Morning"/>
    <s v="January"/>
    <s v="Spring"/>
    <n v="0.22929155386993369"/>
    <n v="-0.25435329828790432"/>
    <n v="0.10399668008577614"/>
    <n v="0.36604748519325236"/>
  </r>
  <r>
    <n v="672"/>
    <d v="2011-01-31T00:00:00"/>
    <x v="0"/>
    <n v="0"/>
    <n v="1"/>
    <n v="7"/>
    <b v="0"/>
    <n v="1"/>
    <n v="2"/>
    <x v="13"/>
    <x v="14"/>
    <n v="0.64"/>
    <x v="3"/>
    <n v="1"/>
    <n v="71"/>
    <n v="72"/>
    <x v="1"/>
    <x v="1"/>
    <s v="Morning"/>
    <s v="January"/>
    <s v="Spring"/>
    <n v="0.22929155386993369"/>
    <n v="-0.25435329828790432"/>
    <n v="0.10399668008577614"/>
    <n v="0.36604748519325236"/>
  </r>
  <r>
    <n v="673"/>
    <d v="2011-01-31T00:00:00"/>
    <x v="0"/>
    <n v="0"/>
    <n v="1"/>
    <n v="8"/>
    <b v="0"/>
    <n v="1"/>
    <n v="2"/>
    <x v="13"/>
    <x v="14"/>
    <n v="0.59"/>
    <x v="3"/>
    <n v="3"/>
    <n v="182"/>
    <n v="185"/>
    <x v="1"/>
    <x v="1"/>
    <s v="Morning"/>
    <s v="January"/>
    <s v="Spring"/>
    <n v="0.22929155386993369"/>
    <n v="-0.25435329828790432"/>
    <n v="0.10399668008577614"/>
    <n v="0.36604748519325236"/>
  </r>
  <r>
    <n v="674"/>
    <d v="2011-01-31T00:00:00"/>
    <x v="0"/>
    <n v="0"/>
    <n v="1"/>
    <n v="9"/>
    <b v="0"/>
    <n v="1"/>
    <n v="2"/>
    <x v="13"/>
    <x v="14"/>
    <n v="0.59"/>
    <x v="4"/>
    <n v="0"/>
    <n v="112"/>
    <n v="112"/>
    <x v="1"/>
    <x v="1"/>
    <s v="Morning"/>
    <s v="January"/>
    <s v="Spring"/>
    <n v="0.22929155386993369"/>
    <n v="-0.25435329828790432"/>
    <n v="0.10399668008577614"/>
    <n v="0.36604748519325236"/>
  </r>
  <r>
    <n v="675"/>
    <d v="2011-01-31T00:00:00"/>
    <x v="0"/>
    <n v="0"/>
    <n v="1"/>
    <n v="10"/>
    <b v="0"/>
    <n v="1"/>
    <n v="2"/>
    <x v="13"/>
    <x v="20"/>
    <n v="0.59"/>
    <x v="5"/>
    <n v="1"/>
    <n v="68"/>
    <n v="69"/>
    <x v="1"/>
    <x v="1"/>
    <s v="Morning"/>
    <s v="January"/>
    <s v="Spring"/>
    <n v="0.22929155386993369"/>
    <n v="-0.25435329828790432"/>
    <n v="0.10399668008577614"/>
    <n v="0.36604748519325236"/>
  </r>
  <r>
    <n v="676"/>
    <d v="2011-01-31T00:00:00"/>
    <x v="0"/>
    <n v="0"/>
    <n v="1"/>
    <n v="11"/>
    <b v="0"/>
    <n v="1"/>
    <n v="2"/>
    <x v="13"/>
    <x v="20"/>
    <n v="0.59"/>
    <x v="5"/>
    <n v="2"/>
    <n v="46"/>
    <n v="48"/>
    <x v="1"/>
    <x v="1"/>
    <s v="Morning"/>
    <s v="January"/>
    <s v="Spring"/>
    <n v="0.22929155386993369"/>
    <n v="-0.25435329828790432"/>
    <n v="0.10399668008577614"/>
    <n v="0.36604748519325236"/>
  </r>
  <r>
    <n v="677"/>
    <d v="2011-01-31T00:00:00"/>
    <x v="0"/>
    <n v="0"/>
    <n v="1"/>
    <n v="12"/>
    <b v="0"/>
    <n v="1"/>
    <n v="2"/>
    <x v="15"/>
    <x v="12"/>
    <n v="0.55000000000000004"/>
    <x v="14"/>
    <n v="6"/>
    <n v="62"/>
    <n v="68"/>
    <x v="1"/>
    <x v="1"/>
    <s v="Afternoon"/>
    <s v="January"/>
    <s v="Spring"/>
    <n v="0.22929155386993369"/>
    <n v="-0.25435329828790432"/>
    <n v="0.10399668008577614"/>
    <n v="0.36604748519325236"/>
  </r>
  <r>
    <n v="678"/>
    <d v="2011-01-31T00:00:00"/>
    <x v="0"/>
    <n v="0"/>
    <n v="1"/>
    <n v="13"/>
    <b v="0"/>
    <n v="1"/>
    <n v="2"/>
    <x v="13"/>
    <x v="11"/>
    <n v="0.59"/>
    <x v="0"/>
    <n v="2"/>
    <n v="52"/>
    <n v="54"/>
    <x v="1"/>
    <x v="1"/>
    <s v="Afternoon"/>
    <s v="January"/>
    <s v="Spring"/>
    <n v="0.22929155386993369"/>
    <n v="-0.25435329828790432"/>
    <n v="0.10399668008577614"/>
    <n v="0.36604748519325236"/>
  </r>
  <r>
    <n v="679"/>
    <d v="2011-01-31T00:00:00"/>
    <x v="0"/>
    <n v="0"/>
    <n v="1"/>
    <n v="14"/>
    <b v="0"/>
    <n v="1"/>
    <n v="2"/>
    <x v="15"/>
    <x v="13"/>
    <n v="0.55000000000000004"/>
    <x v="7"/>
    <n v="1"/>
    <n v="85"/>
    <n v="86"/>
    <x v="1"/>
    <x v="1"/>
    <s v="Afternoon"/>
    <s v="January"/>
    <s v="Spring"/>
    <n v="0.22929155386993369"/>
    <n v="-0.25435329828790432"/>
    <n v="0.10399668008577614"/>
    <n v="0.36604748519325236"/>
  </r>
  <r>
    <n v="680"/>
    <d v="2011-01-31T00:00:00"/>
    <x v="0"/>
    <n v="0"/>
    <n v="1"/>
    <n v="15"/>
    <b v="0"/>
    <n v="1"/>
    <n v="2"/>
    <x v="13"/>
    <x v="18"/>
    <n v="0.59"/>
    <x v="7"/>
    <n v="3"/>
    <n v="41"/>
    <n v="44"/>
    <x v="1"/>
    <x v="1"/>
    <s v="Afternoon"/>
    <s v="January"/>
    <s v="Spring"/>
    <n v="0.22929155386993369"/>
    <n v="-0.25435329828790432"/>
    <n v="0.10399668008577614"/>
    <n v="0.36604748519325236"/>
  </r>
  <r>
    <n v="681"/>
    <d v="2011-01-31T00:00:00"/>
    <x v="0"/>
    <n v="0"/>
    <n v="1"/>
    <n v="16"/>
    <b v="0"/>
    <n v="1"/>
    <n v="2"/>
    <x v="13"/>
    <x v="18"/>
    <n v="0.56000000000000005"/>
    <x v="5"/>
    <n v="3"/>
    <n v="83"/>
    <n v="86"/>
    <x v="1"/>
    <x v="1"/>
    <s v="Afternoon"/>
    <s v="January"/>
    <s v="Spring"/>
    <n v="0.22929155386993369"/>
    <n v="-0.25435329828790432"/>
    <n v="0.10399668008577614"/>
    <n v="0.36604748519325236"/>
  </r>
  <r>
    <n v="682"/>
    <d v="2011-01-31T00:00:00"/>
    <x v="0"/>
    <n v="0"/>
    <n v="1"/>
    <n v="17"/>
    <b v="0"/>
    <n v="1"/>
    <n v="2"/>
    <x v="13"/>
    <x v="20"/>
    <n v="0.59"/>
    <x v="5"/>
    <n v="6"/>
    <n v="155"/>
    <n v="161"/>
    <x v="1"/>
    <x v="1"/>
    <s v="Evening"/>
    <s v="January"/>
    <s v="Spring"/>
    <n v="0.22929155386993369"/>
    <n v="-0.25435329828790432"/>
    <n v="0.10399668008577614"/>
    <n v="0.36604748519325236"/>
  </r>
  <r>
    <n v="683"/>
    <d v="2011-01-31T00:00:00"/>
    <x v="0"/>
    <n v="0"/>
    <n v="1"/>
    <n v="18"/>
    <b v="0"/>
    <n v="1"/>
    <n v="2"/>
    <x v="13"/>
    <x v="20"/>
    <n v="0.55000000000000004"/>
    <x v="6"/>
    <n v="3"/>
    <n v="153"/>
    <n v="156"/>
    <x v="1"/>
    <x v="1"/>
    <s v="Evening"/>
    <s v="January"/>
    <s v="Spring"/>
    <n v="0.22929155386993369"/>
    <n v="-0.25435329828790432"/>
    <n v="0.10399668008577614"/>
    <n v="0.36604748519325236"/>
  </r>
  <r>
    <n v="684"/>
    <d v="2011-01-31T00:00:00"/>
    <x v="0"/>
    <n v="0"/>
    <n v="1"/>
    <n v="19"/>
    <b v="0"/>
    <n v="1"/>
    <n v="1"/>
    <x v="11"/>
    <x v="21"/>
    <n v="0.61"/>
    <x v="14"/>
    <n v="3"/>
    <n v="108"/>
    <n v="111"/>
    <x v="1"/>
    <x v="0"/>
    <s v="Evening"/>
    <s v="January"/>
    <s v="Spring"/>
    <n v="0.22929155386993369"/>
    <n v="-0.25435329828790432"/>
    <n v="0.10399668008577614"/>
    <n v="0.36604748519325236"/>
  </r>
  <r>
    <n v="685"/>
    <d v="2011-01-31T00:00:00"/>
    <x v="0"/>
    <n v="0"/>
    <n v="1"/>
    <n v="20"/>
    <b v="0"/>
    <n v="1"/>
    <n v="3"/>
    <x v="13"/>
    <x v="17"/>
    <n v="0.59"/>
    <x v="8"/>
    <n v="0"/>
    <n v="78"/>
    <n v="78"/>
    <x v="1"/>
    <x v="2"/>
    <s v="Evening"/>
    <s v="January"/>
    <s v="Spring"/>
    <n v="0.22929155386993369"/>
    <n v="-0.25435329828790432"/>
    <n v="0.10399668008577614"/>
    <n v="0.36604748519325236"/>
  </r>
  <r>
    <n v="686"/>
    <d v="2011-01-31T00:00:00"/>
    <x v="0"/>
    <n v="0"/>
    <n v="1"/>
    <n v="21"/>
    <b v="0"/>
    <n v="1"/>
    <n v="3"/>
    <x v="13"/>
    <x v="13"/>
    <n v="0.59"/>
    <x v="1"/>
    <n v="3"/>
    <n v="53"/>
    <n v="56"/>
    <x v="1"/>
    <x v="2"/>
    <s v="Night"/>
    <s v="January"/>
    <s v="Spring"/>
    <n v="0.22929155386993369"/>
    <n v="-0.25435329828790432"/>
    <n v="0.10399668008577614"/>
    <n v="0.36604748519325236"/>
  </r>
  <r>
    <n v="687"/>
    <d v="2011-01-31T00:00:00"/>
    <x v="0"/>
    <n v="0"/>
    <n v="1"/>
    <n v="22"/>
    <b v="0"/>
    <n v="1"/>
    <n v="2"/>
    <x v="13"/>
    <x v="18"/>
    <n v="0.59"/>
    <x v="14"/>
    <n v="0"/>
    <n v="34"/>
    <n v="34"/>
    <x v="1"/>
    <x v="1"/>
    <s v="Night"/>
    <s v="January"/>
    <s v="Spring"/>
    <n v="0.22929155386993369"/>
    <n v="-0.25435329828790432"/>
    <n v="0.10399668008577614"/>
    <n v="0.36604748519325236"/>
  </r>
  <r>
    <n v="688"/>
    <d v="2011-01-31T00:00:00"/>
    <x v="0"/>
    <n v="0"/>
    <n v="1"/>
    <n v="23"/>
    <b v="0"/>
    <n v="1"/>
    <n v="2"/>
    <x v="13"/>
    <x v="13"/>
    <n v="0.64"/>
    <x v="1"/>
    <n v="2"/>
    <n v="15"/>
    <n v="17"/>
    <x v="1"/>
    <x v="1"/>
    <s v="Night"/>
    <s v="January"/>
    <s v="Spring"/>
    <n v="0.22929155386993369"/>
    <n v="-0.25435329828790432"/>
    <n v="0.10399668008577614"/>
    <n v="0.36604748519325236"/>
  </r>
  <r>
    <n v="689"/>
    <d v="2011-02-01T00:00:00"/>
    <x v="0"/>
    <n v="0"/>
    <n v="2"/>
    <n v="0"/>
    <b v="0"/>
    <n v="2"/>
    <n v="2"/>
    <x v="13"/>
    <x v="18"/>
    <n v="0.64"/>
    <x v="14"/>
    <n v="2"/>
    <n v="6"/>
    <n v="8"/>
    <x v="1"/>
    <x v="1"/>
    <s v="Night"/>
    <s v="February"/>
    <s v="Spring"/>
    <n v="0.22929155386993369"/>
    <n v="-0.25435329828790432"/>
    <n v="0.10399668008577614"/>
    <n v="0.36604748519325236"/>
  </r>
  <r>
    <n v="690"/>
    <d v="2011-02-01T00:00:00"/>
    <x v="0"/>
    <n v="0"/>
    <n v="2"/>
    <n v="1"/>
    <b v="0"/>
    <n v="2"/>
    <n v="2"/>
    <x v="13"/>
    <x v="18"/>
    <n v="0.69"/>
    <x v="14"/>
    <n v="0"/>
    <n v="3"/>
    <n v="3"/>
    <x v="1"/>
    <x v="1"/>
    <s v="Night"/>
    <s v="February"/>
    <s v="Spring"/>
    <n v="0.22929155386993369"/>
    <n v="-0.25435329828790432"/>
    <n v="0.10399668008577614"/>
    <n v="0.36604748519325236"/>
  </r>
  <r>
    <n v="691"/>
    <d v="2011-02-01T00:00:00"/>
    <x v="0"/>
    <n v="0"/>
    <n v="2"/>
    <n v="2"/>
    <b v="0"/>
    <n v="2"/>
    <n v="2"/>
    <x v="13"/>
    <x v="11"/>
    <n v="0.69"/>
    <x v="0"/>
    <n v="0"/>
    <n v="2"/>
    <n v="2"/>
    <x v="1"/>
    <x v="1"/>
    <s v="Night"/>
    <s v="February"/>
    <s v="Spring"/>
    <n v="0.22929155386993369"/>
    <n v="-0.25435329828790432"/>
    <n v="0.10399668008577614"/>
    <n v="0.36604748519325236"/>
  </r>
  <r>
    <n v="692"/>
    <d v="2011-02-01T00:00:00"/>
    <x v="0"/>
    <n v="0"/>
    <n v="2"/>
    <n v="3"/>
    <b v="0"/>
    <n v="2"/>
    <n v="2"/>
    <x v="13"/>
    <x v="11"/>
    <n v="0.69"/>
    <x v="0"/>
    <n v="0"/>
    <n v="2"/>
    <n v="2"/>
    <x v="1"/>
    <x v="1"/>
    <s v="Night"/>
    <s v="February"/>
    <s v="Spring"/>
    <n v="0.22929155386993369"/>
    <n v="-0.25435329828790432"/>
    <n v="0.10399668008577614"/>
    <n v="0.36604748519325236"/>
  </r>
  <r>
    <n v="693"/>
    <d v="2011-02-01T00:00:00"/>
    <x v="0"/>
    <n v="0"/>
    <n v="2"/>
    <n v="5"/>
    <b v="0"/>
    <n v="2"/>
    <n v="3"/>
    <x v="14"/>
    <x v="12"/>
    <n v="0.93"/>
    <x v="0"/>
    <n v="0"/>
    <n v="3"/>
    <n v="3"/>
    <x v="1"/>
    <x v="2"/>
    <s v="Night"/>
    <s v="February"/>
    <s v="Spring"/>
    <n v="0.22929155386993369"/>
    <n v="-0.25435329828790432"/>
    <n v="0.10399668008577614"/>
    <n v="0.36604748519325236"/>
  </r>
  <r>
    <n v="694"/>
    <d v="2011-02-01T00:00:00"/>
    <x v="0"/>
    <n v="0"/>
    <n v="2"/>
    <n v="6"/>
    <b v="0"/>
    <n v="2"/>
    <n v="3"/>
    <x v="14"/>
    <x v="12"/>
    <n v="0.93"/>
    <x v="0"/>
    <n v="0"/>
    <n v="22"/>
    <n v="22"/>
    <x v="1"/>
    <x v="2"/>
    <s v="Morning"/>
    <s v="February"/>
    <s v="Spring"/>
    <n v="0.22929155386993369"/>
    <n v="-0.25435329828790432"/>
    <n v="0.10399668008577614"/>
    <n v="0.36604748519325236"/>
  </r>
  <r>
    <n v="695"/>
    <d v="2011-02-01T00:00:00"/>
    <x v="0"/>
    <n v="0"/>
    <n v="2"/>
    <n v="7"/>
    <b v="0"/>
    <n v="2"/>
    <n v="3"/>
    <x v="13"/>
    <x v="11"/>
    <n v="0.93"/>
    <x v="0"/>
    <n v="0"/>
    <n v="52"/>
    <n v="52"/>
    <x v="1"/>
    <x v="2"/>
    <s v="Morning"/>
    <s v="February"/>
    <s v="Spring"/>
    <n v="0.22929155386993369"/>
    <n v="-0.25435329828790432"/>
    <n v="0.10399668008577614"/>
    <n v="0.36604748519325236"/>
  </r>
  <r>
    <n v="696"/>
    <d v="2011-02-01T00:00:00"/>
    <x v="0"/>
    <n v="0"/>
    <n v="2"/>
    <n v="8"/>
    <b v="0"/>
    <n v="2"/>
    <n v="3"/>
    <x v="13"/>
    <x v="11"/>
    <n v="0.93"/>
    <x v="0"/>
    <n v="3"/>
    <n v="132"/>
    <n v="135"/>
    <x v="1"/>
    <x v="2"/>
    <s v="Morning"/>
    <s v="February"/>
    <s v="Spring"/>
    <n v="0.22929155386993369"/>
    <n v="-0.25435329828790432"/>
    <n v="0.10399668008577614"/>
    <n v="0.36604748519325236"/>
  </r>
  <r>
    <n v="697"/>
    <d v="2011-02-01T00:00:00"/>
    <x v="0"/>
    <n v="0"/>
    <n v="2"/>
    <n v="9"/>
    <b v="0"/>
    <n v="2"/>
    <n v="2"/>
    <x v="13"/>
    <x v="11"/>
    <n v="0.93"/>
    <x v="0"/>
    <n v="2"/>
    <n v="114"/>
    <n v="116"/>
    <x v="1"/>
    <x v="1"/>
    <s v="Morning"/>
    <s v="February"/>
    <s v="Spring"/>
    <n v="0.22929155386993369"/>
    <n v="-0.25435329828790432"/>
    <n v="0.10399668008577614"/>
    <n v="0.36604748519325236"/>
  </r>
  <r>
    <n v="698"/>
    <d v="2011-02-01T00:00:00"/>
    <x v="0"/>
    <n v="0"/>
    <n v="2"/>
    <n v="10"/>
    <b v="0"/>
    <n v="2"/>
    <n v="2"/>
    <x v="13"/>
    <x v="11"/>
    <n v="0.93"/>
    <x v="0"/>
    <n v="0"/>
    <n v="47"/>
    <n v="47"/>
    <x v="1"/>
    <x v="1"/>
    <s v="Morning"/>
    <s v="February"/>
    <s v="Spring"/>
    <n v="0.22929155386993369"/>
    <n v="-0.25435329828790432"/>
    <n v="0.10399668008577614"/>
    <n v="0.36604748519325236"/>
  </r>
  <r>
    <n v="699"/>
    <d v="2011-02-01T00:00:00"/>
    <x v="0"/>
    <n v="0"/>
    <n v="2"/>
    <n v="11"/>
    <b v="0"/>
    <n v="2"/>
    <n v="2"/>
    <x v="15"/>
    <x v="19"/>
    <n v="0.86"/>
    <x v="0"/>
    <n v="2"/>
    <n v="49"/>
    <n v="51"/>
    <x v="1"/>
    <x v="1"/>
    <s v="Morning"/>
    <s v="February"/>
    <s v="Spring"/>
    <n v="0.22929155386993369"/>
    <n v="-0.25435329828790432"/>
    <n v="0.10399668008577614"/>
    <n v="0.36604748519325236"/>
  </r>
  <r>
    <n v="700"/>
    <d v="2011-02-01T00:00:00"/>
    <x v="0"/>
    <n v="0"/>
    <n v="2"/>
    <n v="12"/>
    <b v="0"/>
    <n v="2"/>
    <n v="2"/>
    <x v="2"/>
    <x v="2"/>
    <n v="0.86"/>
    <x v="0"/>
    <n v="2"/>
    <n v="53"/>
    <n v="55"/>
    <x v="1"/>
    <x v="1"/>
    <s v="Afternoon"/>
    <s v="February"/>
    <s v="Spring"/>
    <n v="0.22929155386993369"/>
    <n v="-0.25435329828790432"/>
    <n v="0.10399668008577614"/>
    <n v="0.36604748519325236"/>
  </r>
  <r>
    <n v="701"/>
    <d v="2011-02-01T00:00:00"/>
    <x v="0"/>
    <n v="0"/>
    <n v="2"/>
    <n v="13"/>
    <b v="0"/>
    <n v="2"/>
    <n v="2"/>
    <x v="2"/>
    <x v="2"/>
    <n v="0.86"/>
    <x v="0"/>
    <n v="3"/>
    <n v="49"/>
    <n v="52"/>
    <x v="1"/>
    <x v="1"/>
    <s v="Afternoon"/>
    <s v="February"/>
    <s v="Spring"/>
    <n v="0.22929155386993369"/>
    <n v="-0.25435329828790432"/>
    <n v="0.10399668008577614"/>
    <n v="0.36604748519325236"/>
  </r>
  <r>
    <n v="702"/>
    <d v="2011-02-01T00:00:00"/>
    <x v="0"/>
    <n v="0"/>
    <n v="2"/>
    <n v="14"/>
    <b v="0"/>
    <n v="2"/>
    <n v="2"/>
    <x v="1"/>
    <x v="2"/>
    <n v="0.8"/>
    <x v="1"/>
    <n v="5"/>
    <n v="49"/>
    <n v="54"/>
    <x v="1"/>
    <x v="1"/>
    <s v="Afternoon"/>
    <s v="February"/>
    <s v="Spring"/>
    <n v="0.22929155386993369"/>
    <n v="-0.25435329828790432"/>
    <n v="0.10399668008577614"/>
    <n v="0.36604748519325236"/>
  </r>
  <r>
    <n v="703"/>
    <d v="2011-02-01T00:00:00"/>
    <x v="0"/>
    <n v="0"/>
    <n v="2"/>
    <n v="15"/>
    <b v="0"/>
    <n v="2"/>
    <n v="2"/>
    <x v="0"/>
    <x v="0"/>
    <n v="0.75"/>
    <x v="0"/>
    <n v="7"/>
    <n v="45"/>
    <n v="52"/>
    <x v="1"/>
    <x v="1"/>
    <s v="Afternoon"/>
    <s v="February"/>
    <s v="Spring"/>
    <n v="0.22929155386993369"/>
    <n v="-0.25435329828790432"/>
    <n v="0.10399668008577614"/>
    <n v="0.36604748519325236"/>
  </r>
  <r>
    <n v="704"/>
    <d v="2011-02-01T00:00:00"/>
    <x v="0"/>
    <n v="0"/>
    <n v="2"/>
    <n v="16"/>
    <b v="0"/>
    <n v="2"/>
    <n v="2"/>
    <x v="0"/>
    <x v="19"/>
    <n v="0.75"/>
    <x v="7"/>
    <n v="3"/>
    <n v="61"/>
    <n v="64"/>
    <x v="1"/>
    <x v="1"/>
    <s v="Afternoon"/>
    <s v="February"/>
    <s v="Spring"/>
    <n v="0.22929155386993369"/>
    <n v="-0.25435329828790432"/>
    <n v="0.10399668008577614"/>
    <n v="0.36604748519325236"/>
  </r>
  <r>
    <n v="705"/>
    <d v="2011-02-01T00:00:00"/>
    <x v="0"/>
    <n v="0"/>
    <n v="2"/>
    <n v="17"/>
    <b v="0"/>
    <n v="2"/>
    <n v="2"/>
    <x v="0"/>
    <x v="0"/>
    <n v="0.75"/>
    <x v="0"/>
    <n v="4"/>
    <n v="172"/>
    <n v="176"/>
    <x v="1"/>
    <x v="1"/>
    <s v="Evening"/>
    <s v="February"/>
    <s v="Spring"/>
    <n v="0.22929155386993369"/>
    <n v="-0.25435329828790432"/>
    <n v="0.10399668008577614"/>
    <n v="0.36604748519325236"/>
  </r>
  <r>
    <n v="706"/>
    <d v="2011-02-01T00:00:00"/>
    <x v="0"/>
    <n v="0"/>
    <n v="2"/>
    <n v="18"/>
    <b v="0"/>
    <n v="2"/>
    <n v="2"/>
    <x v="0"/>
    <x v="2"/>
    <n v="0.81"/>
    <x v="14"/>
    <n v="3"/>
    <n v="165"/>
    <n v="168"/>
    <x v="1"/>
    <x v="1"/>
    <s v="Evening"/>
    <s v="February"/>
    <s v="Spring"/>
    <n v="0.22929155386993369"/>
    <n v="-0.25435329828790432"/>
    <n v="0.10399668008577614"/>
    <n v="0.36604748519325236"/>
  </r>
  <r>
    <n v="707"/>
    <d v="2011-02-01T00:00:00"/>
    <x v="0"/>
    <n v="0"/>
    <n v="2"/>
    <n v="19"/>
    <b v="0"/>
    <n v="2"/>
    <n v="2"/>
    <x v="0"/>
    <x v="19"/>
    <n v="0.81"/>
    <x v="7"/>
    <n v="3"/>
    <n v="105"/>
    <n v="108"/>
    <x v="1"/>
    <x v="1"/>
    <s v="Evening"/>
    <s v="February"/>
    <s v="Spring"/>
    <n v="0.22929155386993369"/>
    <n v="-0.25435329828790432"/>
    <n v="0.10399668008577614"/>
    <n v="0.36604748519325236"/>
  </r>
  <r>
    <n v="708"/>
    <d v="2011-02-01T00:00:00"/>
    <x v="0"/>
    <n v="0"/>
    <n v="2"/>
    <n v="20"/>
    <b v="0"/>
    <n v="2"/>
    <n v="2"/>
    <x v="1"/>
    <x v="11"/>
    <n v="0.87"/>
    <x v="7"/>
    <n v="5"/>
    <n v="69"/>
    <n v="74"/>
    <x v="1"/>
    <x v="1"/>
    <s v="Evening"/>
    <s v="February"/>
    <s v="Spring"/>
    <n v="0.22929155386993369"/>
    <n v="-0.25435329828790432"/>
    <n v="0.10399668008577614"/>
    <n v="0.36604748519325236"/>
  </r>
  <r>
    <n v="709"/>
    <d v="2011-02-01T00:00:00"/>
    <x v="0"/>
    <n v="0"/>
    <n v="2"/>
    <n v="21"/>
    <b v="0"/>
    <n v="2"/>
    <n v="2"/>
    <x v="1"/>
    <x v="11"/>
    <n v="0.87"/>
    <x v="7"/>
    <n v="0"/>
    <n v="64"/>
    <n v="64"/>
    <x v="1"/>
    <x v="1"/>
    <s v="Night"/>
    <s v="February"/>
    <s v="Spring"/>
    <n v="0.22929155386993369"/>
    <n v="-0.25435329828790432"/>
    <n v="0.10399668008577614"/>
    <n v="0.36604748519325236"/>
  </r>
  <r>
    <n v="710"/>
    <d v="2011-02-01T00:00:00"/>
    <x v="0"/>
    <n v="0"/>
    <n v="2"/>
    <n v="22"/>
    <b v="0"/>
    <n v="2"/>
    <n v="2"/>
    <x v="1"/>
    <x v="2"/>
    <n v="0.87"/>
    <x v="1"/>
    <n v="2"/>
    <n v="34"/>
    <n v="36"/>
    <x v="1"/>
    <x v="1"/>
    <s v="Night"/>
    <s v="February"/>
    <s v="Spring"/>
    <n v="0.22929155386993369"/>
    <n v="-0.25435329828790432"/>
    <n v="0.10399668008577614"/>
    <n v="0.36604748519325236"/>
  </r>
  <r>
    <n v="711"/>
    <d v="2011-02-01T00:00:00"/>
    <x v="0"/>
    <n v="0"/>
    <n v="2"/>
    <n v="23"/>
    <b v="0"/>
    <n v="2"/>
    <n v="3"/>
    <x v="2"/>
    <x v="13"/>
    <n v="0.93"/>
    <x v="5"/>
    <n v="1"/>
    <n v="15"/>
    <n v="16"/>
    <x v="1"/>
    <x v="2"/>
    <s v="Night"/>
    <s v="February"/>
    <s v="Spring"/>
    <n v="0.22929155386993369"/>
    <n v="-0.25435329828790432"/>
    <n v="0.10399668008577614"/>
    <n v="0.36604748519325236"/>
  </r>
  <r>
    <n v="712"/>
    <d v="2011-02-02T00:00:00"/>
    <x v="0"/>
    <n v="0"/>
    <n v="2"/>
    <n v="0"/>
    <b v="0"/>
    <n v="3"/>
    <n v="3"/>
    <x v="1"/>
    <x v="19"/>
    <n v="0.93"/>
    <x v="14"/>
    <n v="0"/>
    <n v="2"/>
    <n v="2"/>
    <x v="1"/>
    <x v="2"/>
    <s v="Night"/>
    <s v="February"/>
    <s v="Spring"/>
    <n v="0.22929155386993369"/>
    <n v="-0.25435329828790432"/>
    <n v="0.10399668008577614"/>
    <n v="0.36604748519325236"/>
  </r>
  <r>
    <n v="713"/>
    <d v="2011-02-02T00:00:00"/>
    <x v="0"/>
    <n v="0"/>
    <n v="2"/>
    <n v="1"/>
    <b v="0"/>
    <n v="3"/>
    <n v="3"/>
    <x v="1"/>
    <x v="11"/>
    <n v="0.93"/>
    <x v="5"/>
    <n v="0"/>
    <n v="3"/>
    <n v="3"/>
    <x v="1"/>
    <x v="2"/>
    <s v="Night"/>
    <s v="February"/>
    <s v="Spring"/>
    <n v="0.22929155386993369"/>
    <n v="-0.25435329828790432"/>
    <n v="0.10399668008577614"/>
    <n v="0.36604748519325236"/>
  </r>
  <r>
    <n v="714"/>
    <d v="2011-02-02T00:00:00"/>
    <x v="0"/>
    <n v="0"/>
    <n v="2"/>
    <n v="2"/>
    <b v="0"/>
    <n v="3"/>
    <n v="3"/>
    <x v="1"/>
    <x v="11"/>
    <n v="0.93"/>
    <x v="7"/>
    <n v="4"/>
    <n v="0"/>
    <n v="4"/>
    <x v="1"/>
    <x v="2"/>
    <s v="Night"/>
    <s v="February"/>
    <s v="Spring"/>
    <n v="0.22929155386993369"/>
    <n v="-0.25435329828790432"/>
    <n v="0.10399668008577614"/>
    <n v="0.36604748519325236"/>
  </r>
  <r>
    <n v="715"/>
    <d v="2011-02-02T00:00:00"/>
    <x v="0"/>
    <n v="0"/>
    <n v="2"/>
    <n v="3"/>
    <b v="0"/>
    <n v="3"/>
    <n v="3"/>
    <x v="1"/>
    <x v="11"/>
    <n v="0.93"/>
    <x v="7"/>
    <n v="0"/>
    <n v="1"/>
    <n v="1"/>
    <x v="1"/>
    <x v="2"/>
    <s v="Night"/>
    <s v="February"/>
    <s v="Spring"/>
    <n v="0.22929155386993369"/>
    <n v="-0.25435329828790432"/>
    <n v="0.10399668008577614"/>
    <n v="0.36604748519325236"/>
  </r>
  <r>
    <n v="716"/>
    <d v="2011-02-02T00:00:00"/>
    <x v="0"/>
    <n v="0"/>
    <n v="2"/>
    <n v="4"/>
    <b v="0"/>
    <n v="3"/>
    <n v="3"/>
    <x v="1"/>
    <x v="12"/>
    <n v="0.93"/>
    <x v="3"/>
    <n v="0"/>
    <n v="1"/>
    <n v="1"/>
    <x v="1"/>
    <x v="2"/>
    <s v="Night"/>
    <s v="February"/>
    <s v="Spring"/>
    <n v="0.22929155386993369"/>
    <n v="-0.25435329828790432"/>
    <n v="0.10399668008577614"/>
    <n v="0.36604748519325236"/>
  </r>
  <r>
    <n v="717"/>
    <d v="2011-02-02T00:00:00"/>
    <x v="0"/>
    <n v="0"/>
    <n v="2"/>
    <n v="5"/>
    <b v="0"/>
    <n v="3"/>
    <n v="3"/>
    <x v="1"/>
    <x v="19"/>
    <n v="0.93"/>
    <x v="14"/>
    <n v="0"/>
    <n v="3"/>
    <n v="3"/>
    <x v="1"/>
    <x v="2"/>
    <s v="Night"/>
    <s v="February"/>
    <s v="Spring"/>
    <n v="0.22929155386993369"/>
    <n v="-0.25435329828790432"/>
    <n v="0.10399668008577614"/>
    <n v="0.36604748519325236"/>
  </r>
  <r>
    <n v="718"/>
    <d v="2011-02-02T00:00:00"/>
    <x v="0"/>
    <n v="0"/>
    <n v="2"/>
    <n v="6"/>
    <b v="0"/>
    <n v="3"/>
    <n v="3"/>
    <x v="1"/>
    <x v="19"/>
    <n v="0.93"/>
    <x v="14"/>
    <n v="1"/>
    <n v="17"/>
    <n v="18"/>
    <x v="1"/>
    <x v="2"/>
    <s v="Morning"/>
    <s v="February"/>
    <s v="Spring"/>
    <n v="0.22929155386993369"/>
    <n v="-0.25435329828790432"/>
    <n v="0.10399668008577614"/>
    <n v="0.36604748519325236"/>
  </r>
  <r>
    <n v="719"/>
    <d v="2011-02-02T00:00:00"/>
    <x v="0"/>
    <n v="0"/>
    <n v="2"/>
    <n v="7"/>
    <b v="0"/>
    <n v="3"/>
    <n v="3"/>
    <x v="1"/>
    <x v="12"/>
    <n v="0.93"/>
    <x v="6"/>
    <n v="1"/>
    <n v="48"/>
    <n v="49"/>
    <x v="1"/>
    <x v="2"/>
    <s v="Morning"/>
    <s v="February"/>
    <s v="Spring"/>
    <n v="0.22929155386993369"/>
    <n v="-0.25435329828790432"/>
    <n v="0.10399668008577614"/>
    <n v="0.36604748519325236"/>
  </r>
  <r>
    <n v="720"/>
    <d v="2011-02-02T00:00:00"/>
    <x v="0"/>
    <n v="0"/>
    <n v="2"/>
    <n v="8"/>
    <b v="0"/>
    <n v="3"/>
    <n v="3"/>
    <x v="1"/>
    <x v="12"/>
    <n v="0.93"/>
    <x v="6"/>
    <n v="1"/>
    <n v="154"/>
    <n v="155"/>
    <x v="1"/>
    <x v="2"/>
    <s v="Morning"/>
    <s v="February"/>
    <s v="Spring"/>
    <n v="0.22929155386993369"/>
    <n v="-0.25435329828790432"/>
    <n v="0.10399668008577614"/>
    <n v="0.36604748519325236"/>
  </r>
  <r>
    <n v="721"/>
    <d v="2011-02-02T00:00:00"/>
    <x v="0"/>
    <n v="0"/>
    <n v="2"/>
    <n v="9"/>
    <b v="0"/>
    <n v="3"/>
    <n v="2"/>
    <x v="0"/>
    <x v="2"/>
    <n v="0.93"/>
    <x v="1"/>
    <n v="4"/>
    <n v="119"/>
    <n v="123"/>
    <x v="1"/>
    <x v="1"/>
    <s v="Morning"/>
    <s v="February"/>
    <s v="Spring"/>
    <n v="0.22929155386993369"/>
    <n v="-0.25435329828790432"/>
    <n v="0.10399668008577614"/>
    <n v="0.36604748519325236"/>
  </r>
  <r>
    <n v="722"/>
    <d v="2011-02-02T00:00:00"/>
    <x v="0"/>
    <n v="0"/>
    <n v="2"/>
    <n v="10"/>
    <b v="0"/>
    <n v="3"/>
    <n v="2"/>
    <x v="1"/>
    <x v="1"/>
    <n v="1"/>
    <x v="0"/>
    <n v="2"/>
    <n v="59"/>
    <n v="61"/>
    <x v="1"/>
    <x v="1"/>
    <s v="Morning"/>
    <s v="February"/>
    <s v="Spring"/>
    <n v="0.22929155386993369"/>
    <n v="-0.25435329828790432"/>
    <n v="0.10399668008577614"/>
    <n v="0.36604748519325236"/>
  </r>
  <r>
    <n v="723"/>
    <d v="2011-02-02T00:00:00"/>
    <x v="0"/>
    <n v="0"/>
    <n v="2"/>
    <n v="11"/>
    <b v="0"/>
    <n v="3"/>
    <n v="2"/>
    <x v="0"/>
    <x v="11"/>
    <n v="0.93"/>
    <x v="5"/>
    <n v="5"/>
    <n v="47"/>
    <n v="52"/>
    <x v="1"/>
    <x v="1"/>
    <s v="Morning"/>
    <s v="February"/>
    <s v="Spring"/>
    <n v="0.22929155386993369"/>
    <n v="-0.25435329828790432"/>
    <n v="0.10399668008577614"/>
    <n v="0.36604748519325236"/>
  </r>
  <r>
    <n v="724"/>
    <d v="2011-02-02T00:00:00"/>
    <x v="0"/>
    <n v="0"/>
    <n v="2"/>
    <n v="12"/>
    <b v="0"/>
    <n v="3"/>
    <n v="2"/>
    <x v="0"/>
    <x v="11"/>
    <n v="0.93"/>
    <x v="6"/>
    <n v="3"/>
    <n v="61"/>
    <n v="64"/>
    <x v="1"/>
    <x v="1"/>
    <s v="Afternoon"/>
    <s v="February"/>
    <s v="Spring"/>
    <n v="0.22929155386993369"/>
    <n v="-0.25435329828790432"/>
    <n v="0.10399668008577614"/>
    <n v="0.36604748519325236"/>
  </r>
  <r>
    <n v="725"/>
    <d v="2011-02-02T00:00:00"/>
    <x v="0"/>
    <n v="0"/>
    <n v="2"/>
    <n v="13"/>
    <b v="0"/>
    <n v="3"/>
    <n v="1"/>
    <x v="10"/>
    <x v="6"/>
    <n v="0.93"/>
    <x v="8"/>
    <n v="1"/>
    <n v="74"/>
    <n v="75"/>
    <x v="1"/>
    <x v="0"/>
    <s v="Afternoon"/>
    <s v="February"/>
    <s v="Spring"/>
    <n v="0.22929155386993369"/>
    <n v="-0.25435329828790432"/>
    <n v="0.10399668008577614"/>
    <n v="0.36604748519325236"/>
  </r>
  <r>
    <n v="726"/>
    <d v="2011-02-02T00:00:00"/>
    <x v="0"/>
    <n v="0"/>
    <n v="2"/>
    <n v="14"/>
    <b v="0"/>
    <n v="3"/>
    <n v="1"/>
    <x v="4"/>
    <x v="5"/>
    <n v="0.82"/>
    <x v="13"/>
    <n v="2"/>
    <n v="61"/>
    <n v="63"/>
    <x v="1"/>
    <x v="0"/>
    <s v="Afternoon"/>
    <s v="February"/>
    <s v="Spring"/>
    <n v="0.22929155386993369"/>
    <n v="-0.25435329828790432"/>
    <n v="0.10399668008577614"/>
    <n v="0.36604748519325236"/>
  </r>
  <r>
    <n v="727"/>
    <d v="2011-02-02T00:00:00"/>
    <x v="0"/>
    <n v="0"/>
    <n v="2"/>
    <n v="15"/>
    <b v="0"/>
    <n v="3"/>
    <n v="1"/>
    <x v="4"/>
    <x v="5"/>
    <n v="0.76"/>
    <x v="9"/>
    <n v="10"/>
    <n v="66"/>
    <n v="76"/>
    <x v="1"/>
    <x v="0"/>
    <s v="Afternoon"/>
    <s v="February"/>
    <s v="Spring"/>
    <n v="0.22929155386993369"/>
    <n v="-0.25435329828790432"/>
    <n v="0.10399668008577614"/>
    <n v="0.36604748519325236"/>
  </r>
  <r>
    <n v="728"/>
    <d v="2011-02-02T00:00:00"/>
    <x v="0"/>
    <n v="0"/>
    <n v="2"/>
    <n v="16"/>
    <b v="0"/>
    <n v="3"/>
    <n v="1"/>
    <x v="5"/>
    <x v="6"/>
    <n v="0.71"/>
    <x v="4"/>
    <n v="8"/>
    <n v="95"/>
    <n v="103"/>
    <x v="1"/>
    <x v="0"/>
    <s v="Afternoon"/>
    <s v="February"/>
    <s v="Spring"/>
    <n v="0.22929155386993369"/>
    <n v="-0.25435329828790432"/>
    <n v="0.10399668008577614"/>
    <n v="0.36604748519325236"/>
  </r>
  <r>
    <n v="729"/>
    <d v="2011-02-02T00:00:00"/>
    <x v="0"/>
    <n v="0"/>
    <n v="2"/>
    <n v="17"/>
    <b v="0"/>
    <n v="3"/>
    <n v="1"/>
    <x v="5"/>
    <x v="21"/>
    <n v="0.53"/>
    <x v="18"/>
    <n v="7"/>
    <n v="183"/>
    <n v="190"/>
    <x v="1"/>
    <x v="0"/>
    <s v="Evening"/>
    <s v="February"/>
    <s v="Spring"/>
    <n v="0.22929155386993369"/>
    <n v="-0.25435329828790432"/>
    <n v="0.10399668008577614"/>
    <n v="0.36604748519325236"/>
  </r>
  <r>
    <n v="730"/>
    <d v="2011-02-02T00:00:00"/>
    <x v="0"/>
    <n v="0"/>
    <n v="2"/>
    <n v="18"/>
    <b v="0"/>
    <n v="3"/>
    <n v="1"/>
    <x v="10"/>
    <x v="0"/>
    <n v="0.42"/>
    <x v="16"/>
    <n v="7"/>
    <n v="175"/>
    <n v="182"/>
    <x v="1"/>
    <x v="0"/>
    <s v="Evening"/>
    <s v="February"/>
    <s v="Spring"/>
    <n v="0.22929155386993369"/>
    <n v="-0.25435329828790432"/>
    <n v="0.10399668008577614"/>
    <n v="0.36604748519325236"/>
  </r>
  <r>
    <n v="731"/>
    <d v="2011-02-02T00:00:00"/>
    <x v="0"/>
    <n v="0"/>
    <n v="2"/>
    <n v="19"/>
    <b v="0"/>
    <n v="3"/>
    <n v="1"/>
    <x v="17"/>
    <x v="19"/>
    <n v="0.45"/>
    <x v="15"/>
    <n v="3"/>
    <n v="88"/>
    <n v="91"/>
    <x v="1"/>
    <x v="0"/>
    <s v="Evening"/>
    <s v="February"/>
    <s v="Spring"/>
    <n v="0.22929155386993369"/>
    <n v="-0.25435329828790432"/>
    <n v="0.10399668008577614"/>
    <n v="0.36604748519325236"/>
  </r>
  <r>
    <n v="732"/>
    <d v="2011-02-02T00:00:00"/>
    <x v="0"/>
    <n v="0"/>
    <n v="2"/>
    <n v="20"/>
    <b v="0"/>
    <n v="3"/>
    <n v="1"/>
    <x v="0"/>
    <x v="13"/>
    <n v="0.48"/>
    <x v="16"/>
    <n v="4"/>
    <n v="71"/>
    <n v="75"/>
    <x v="1"/>
    <x v="0"/>
    <s v="Evening"/>
    <s v="February"/>
    <s v="Spring"/>
    <n v="0.22929155386993369"/>
    <n v="-0.25435329828790432"/>
    <n v="0.10399668008577614"/>
    <n v="0.36604748519325236"/>
  </r>
  <r>
    <n v="733"/>
    <d v="2011-02-02T00:00:00"/>
    <x v="0"/>
    <n v="0"/>
    <n v="2"/>
    <n v="21"/>
    <b v="0"/>
    <n v="3"/>
    <n v="1"/>
    <x v="1"/>
    <x v="13"/>
    <n v="0.47"/>
    <x v="9"/>
    <n v="1"/>
    <n v="62"/>
    <n v="63"/>
    <x v="1"/>
    <x v="0"/>
    <s v="Night"/>
    <s v="February"/>
    <s v="Spring"/>
    <n v="0.22929155386993369"/>
    <n v="-0.25435329828790432"/>
    <n v="0.10399668008577614"/>
    <n v="0.36604748519325236"/>
  </r>
  <r>
    <n v="734"/>
    <d v="2011-02-02T00:00:00"/>
    <x v="0"/>
    <n v="0"/>
    <n v="2"/>
    <n v="22"/>
    <b v="0"/>
    <n v="3"/>
    <n v="1"/>
    <x v="1"/>
    <x v="12"/>
    <n v="0.44"/>
    <x v="2"/>
    <n v="5"/>
    <n v="35"/>
    <n v="40"/>
    <x v="1"/>
    <x v="0"/>
    <s v="Night"/>
    <s v="February"/>
    <s v="Spring"/>
    <n v="0.22929155386993369"/>
    <n v="-0.25435329828790432"/>
    <n v="0.10399668008577614"/>
    <n v="0.36604748519325236"/>
  </r>
  <r>
    <n v="735"/>
    <d v="2011-02-02T00:00:00"/>
    <x v="0"/>
    <n v="0"/>
    <n v="2"/>
    <n v="23"/>
    <b v="0"/>
    <n v="3"/>
    <n v="1"/>
    <x v="2"/>
    <x v="17"/>
    <n v="0.44"/>
    <x v="10"/>
    <n v="3"/>
    <n v="29"/>
    <n v="32"/>
    <x v="1"/>
    <x v="0"/>
    <s v="Night"/>
    <s v="February"/>
    <s v="Spring"/>
    <n v="0.22929155386993369"/>
    <n v="-0.25435329828790432"/>
    <n v="0.10399668008577614"/>
    <n v="0.36604748519325236"/>
  </r>
  <r>
    <n v="736"/>
    <d v="2011-02-03T00:00:00"/>
    <x v="0"/>
    <n v="0"/>
    <n v="2"/>
    <n v="0"/>
    <b v="0"/>
    <n v="4"/>
    <n v="1"/>
    <x v="2"/>
    <x v="17"/>
    <n v="0.4"/>
    <x v="10"/>
    <n v="1"/>
    <n v="11"/>
    <n v="12"/>
    <x v="1"/>
    <x v="0"/>
    <s v="Night"/>
    <s v="February"/>
    <s v="Spring"/>
    <n v="0.22929155386993369"/>
    <n v="-0.25435329828790432"/>
    <n v="0.10399668008577614"/>
    <n v="0.36604748519325236"/>
  </r>
  <r>
    <n v="737"/>
    <d v="2011-02-03T00:00:00"/>
    <x v="0"/>
    <n v="0"/>
    <n v="2"/>
    <n v="1"/>
    <b v="0"/>
    <n v="4"/>
    <n v="1"/>
    <x v="2"/>
    <x v="20"/>
    <n v="0.44"/>
    <x v="18"/>
    <n v="0"/>
    <n v="5"/>
    <n v="5"/>
    <x v="1"/>
    <x v="0"/>
    <s v="Night"/>
    <s v="February"/>
    <s v="Spring"/>
    <n v="0.22929155386993369"/>
    <n v="-0.25435329828790432"/>
    <n v="0.10399668008577614"/>
    <n v="0.36604748519325236"/>
  </r>
  <r>
    <n v="738"/>
    <d v="2011-02-03T00:00:00"/>
    <x v="0"/>
    <n v="0"/>
    <n v="2"/>
    <n v="2"/>
    <b v="0"/>
    <n v="4"/>
    <n v="1"/>
    <x v="15"/>
    <x v="17"/>
    <n v="0.43"/>
    <x v="2"/>
    <n v="0"/>
    <n v="2"/>
    <n v="2"/>
    <x v="1"/>
    <x v="0"/>
    <s v="Night"/>
    <s v="February"/>
    <s v="Spring"/>
    <n v="0.22929155386993369"/>
    <n v="-0.25435329828790432"/>
    <n v="0.10399668008577614"/>
    <n v="0.36604748519325236"/>
  </r>
  <r>
    <n v="739"/>
    <d v="2011-02-03T00:00:00"/>
    <x v="0"/>
    <n v="0"/>
    <n v="2"/>
    <n v="3"/>
    <b v="0"/>
    <n v="4"/>
    <n v="1"/>
    <x v="15"/>
    <x v="17"/>
    <n v="0.43"/>
    <x v="2"/>
    <n v="0"/>
    <n v="1"/>
    <n v="1"/>
    <x v="1"/>
    <x v="0"/>
    <s v="Night"/>
    <s v="February"/>
    <s v="Spring"/>
    <n v="0.22929155386993369"/>
    <n v="-0.25435329828790432"/>
    <n v="0.10399668008577614"/>
    <n v="0.36604748519325236"/>
  </r>
  <r>
    <n v="740"/>
    <d v="2011-02-03T00:00:00"/>
    <x v="0"/>
    <n v="0"/>
    <n v="2"/>
    <n v="5"/>
    <b v="0"/>
    <n v="4"/>
    <n v="1"/>
    <x v="13"/>
    <x v="14"/>
    <n v="0.5"/>
    <x v="4"/>
    <n v="0"/>
    <n v="2"/>
    <n v="2"/>
    <x v="1"/>
    <x v="0"/>
    <s v="Night"/>
    <s v="February"/>
    <s v="Spring"/>
    <n v="0.22929155386993369"/>
    <n v="-0.25435329828790432"/>
    <n v="0.10399668008577614"/>
    <n v="0.36604748519325236"/>
  </r>
  <r>
    <n v="741"/>
    <d v="2011-02-03T00:00:00"/>
    <x v="0"/>
    <n v="0"/>
    <n v="2"/>
    <n v="6"/>
    <b v="0"/>
    <n v="4"/>
    <n v="1"/>
    <x v="13"/>
    <x v="14"/>
    <n v="0.43"/>
    <x v="11"/>
    <n v="0"/>
    <n v="39"/>
    <n v="39"/>
    <x v="1"/>
    <x v="0"/>
    <s v="Morning"/>
    <s v="February"/>
    <s v="Spring"/>
    <n v="0.22929155386993369"/>
    <n v="-0.25435329828790432"/>
    <n v="0.10399668008577614"/>
    <n v="0.36604748519325236"/>
  </r>
  <r>
    <n v="742"/>
    <d v="2011-02-03T00:00:00"/>
    <x v="0"/>
    <n v="0"/>
    <n v="2"/>
    <n v="7"/>
    <b v="0"/>
    <n v="4"/>
    <n v="1"/>
    <x v="14"/>
    <x v="16"/>
    <n v="0.5"/>
    <x v="9"/>
    <n v="1"/>
    <n v="86"/>
    <n v="87"/>
    <x v="1"/>
    <x v="0"/>
    <s v="Morning"/>
    <s v="February"/>
    <s v="Spring"/>
    <n v="0.22929155386993369"/>
    <n v="-0.25435329828790432"/>
    <n v="0.10399668008577614"/>
    <n v="0.36604748519325236"/>
  </r>
  <r>
    <n v="743"/>
    <d v="2011-02-03T00:00:00"/>
    <x v="0"/>
    <n v="0"/>
    <n v="2"/>
    <n v="8"/>
    <b v="0"/>
    <n v="4"/>
    <n v="1"/>
    <x v="14"/>
    <x v="16"/>
    <n v="0.5"/>
    <x v="11"/>
    <n v="4"/>
    <n v="184"/>
    <n v="188"/>
    <x v="1"/>
    <x v="0"/>
    <s v="Morning"/>
    <s v="February"/>
    <s v="Spring"/>
    <n v="0.22929155386993369"/>
    <n v="-0.25435329828790432"/>
    <n v="0.10399668008577614"/>
    <n v="0.36604748519325236"/>
  </r>
  <r>
    <n v="744"/>
    <d v="2011-02-03T00:00:00"/>
    <x v="0"/>
    <n v="0"/>
    <n v="2"/>
    <n v="9"/>
    <b v="0"/>
    <n v="4"/>
    <n v="1"/>
    <x v="13"/>
    <x v="14"/>
    <n v="0.47"/>
    <x v="4"/>
    <n v="6"/>
    <n v="127"/>
    <n v="133"/>
    <x v="1"/>
    <x v="0"/>
    <s v="Morning"/>
    <s v="February"/>
    <s v="Spring"/>
    <n v="0.22929155386993369"/>
    <n v="-0.25435329828790432"/>
    <n v="0.10399668008577614"/>
    <n v="0.36604748519325236"/>
  </r>
  <r>
    <n v="745"/>
    <d v="2011-02-03T00:00:00"/>
    <x v="0"/>
    <n v="0"/>
    <n v="2"/>
    <n v="10"/>
    <b v="0"/>
    <n v="4"/>
    <n v="1"/>
    <x v="15"/>
    <x v="20"/>
    <n v="0.43"/>
    <x v="9"/>
    <n v="2"/>
    <n v="50"/>
    <n v="52"/>
    <x v="1"/>
    <x v="0"/>
    <s v="Morning"/>
    <s v="February"/>
    <s v="Spring"/>
    <n v="0.22929155386993369"/>
    <n v="-0.25435329828790432"/>
    <n v="0.10399668008577614"/>
    <n v="0.36604748519325236"/>
  </r>
  <r>
    <n v="746"/>
    <d v="2011-02-03T00:00:00"/>
    <x v="0"/>
    <n v="0"/>
    <n v="2"/>
    <n v="11"/>
    <b v="0"/>
    <n v="4"/>
    <n v="1"/>
    <x v="15"/>
    <x v="14"/>
    <n v="0.43"/>
    <x v="10"/>
    <n v="9"/>
    <n v="55"/>
    <n v="64"/>
    <x v="1"/>
    <x v="0"/>
    <s v="Morning"/>
    <s v="February"/>
    <s v="Spring"/>
    <n v="0.22929155386993369"/>
    <n v="-0.25435329828790432"/>
    <n v="0.10399668008577614"/>
    <n v="0.36604748519325236"/>
  </r>
  <r>
    <n v="747"/>
    <d v="2011-02-03T00:00:00"/>
    <x v="0"/>
    <n v="0"/>
    <n v="2"/>
    <n v="12"/>
    <b v="0"/>
    <n v="4"/>
    <n v="1"/>
    <x v="2"/>
    <x v="18"/>
    <n v="0.4"/>
    <x v="11"/>
    <n v="2"/>
    <n v="67"/>
    <n v="69"/>
    <x v="1"/>
    <x v="0"/>
    <s v="Afternoon"/>
    <s v="February"/>
    <s v="Spring"/>
    <n v="0.22929155386993369"/>
    <n v="-0.25435329828790432"/>
    <n v="0.10399668008577614"/>
    <n v="0.36604748519325236"/>
  </r>
  <r>
    <n v="748"/>
    <d v="2011-02-03T00:00:00"/>
    <x v="0"/>
    <n v="0"/>
    <n v="2"/>
    <n v="13"/>
    <b v="0"/>
    <n v="4"/>
    <n v="1"/>
    <x v="2"/>
    <x v="17"/>
    <n v="0.4"/>
    <x v="12"/>
    <n v="4"/>
    <n v="47"/>
    <n v="51"/>
    <x v="1"/>
    <x v="0"/>
    <s v="Afternoon"/>
    <s v="February"/>
    <s v="Spring"/>
    <n v="0.22929155386993369"/>
    <n v="-0.25435329828790432"/>
    <n v="0.10399668008577614"/>
    <n v="0.36604748519325236"/>
  </r>
  <r>
    <n v="749"/>
    <d v="2011-02-03T00:00:00"/>
    <x v="0"/>
    <n v="0"/>
    <n v="2"/>
    <n v="14"/>
    <b v="0"/>
    <n v="4"/>
    <n v="1"/>
    <x v="1"/>
    <x v="13"/>
    <n v="0.37"/>
    <x v="13"/>
    <n v="4"/>
    <n v="43"/>
    <n v="47"/>
    <x v="1"/>
    <x v="0"/>
    <s v="Afternoon"/>
    <s v="February"/>
    <s v="Spring"/>
    <n v="0.22929155386993369"/>
    <n v="-0.25435329828790432"/>
    <n v="0.10399668008577614"/>
    <n v="0.36604748519325236"/>
  </r>
  <r>
    <n v="750"/>
    <d v="2011-02-03T00:00:00"/>
    <x v="0"/>
    <n v="0"/>
    <n v="2"/>
    <n v="15"/>
    <b v="0"/>
    <n v="4"/>
    <n v="1"/>
    <x v="1"/>
    <x v="13"/>
    <n v="0.37"/>
    <x v="9"/>
    <n v="4"/>
    <n v="56"/>
    <n v="60"/>
    <x v="1"/>
    <x v="0"/>
    <s v="Afternoon"/>
    <s v="February"/>
    <s v="Spring"/>
    <n v="0.22929155386993369"/>
    <n v="-0.25435329828790432"/>
    <n v="0.10399668008577614"/>
    <n v="0.36604748519325236"/>
  </r>
  <r>
    <n v="751"/>
    <d v="2011-02-03T00:00:00"/>
    <x v="0"/>
    <n v="0"/>
    <n v="2"/>
    <n v="16"/>
    <b v="0"/>
    <n v="4"/>
    <n v="1"/>
    <x v="1"/>
    <x v="12"/>
    <n v="0.37"/>
    <x v="2"/>
    <n v="5"/>
    <n v="73"/>
    <n v="78"/>
    <x v="1"/>
    <x v="0"/>
    <s v="Afternoon"/>
    <s v="February"/>
    <s v="Spring"/>
    <n v="0.22929155386993369"/>
    <n v="-0.25435329828790432"/>
    <n v="0.10399668008577614"/>
    <n v="0.36604748519325236"/>
  </r>
  <r>
    <n v="752"/>
    <d v="2011-02-03T00:00:00"/>
    <x v="0"/>
    <n v="0"/>
    <n v="2"/>
    <n v="17"/>
    <b v="0"/>
    <n v="4"/>
    <n v="1"/>
    <x v="2"/>
    <x v="13"/>
    <n v="0.4"/>
    <x v="5"/>
    <n v="5"/>
    <n v="170"/>
    <n v="175"/>
    <x v="1"/>
    <x v="0"/>
    <s v="Evening"/>
    <s v="February"/>
    <s v="Spring"/>
    <n v="0.22929155386993369"/>
    <n v="-0.25435329828790432"/>
    <n v="0.10399668008577614"/>
    <n v="0.36604748519325236"/>
  </r>
  <r>
    <n v="753"/>
    <d v="2011-02-03T00:00:00"/>
    <x v="0"/>
    <n v="0"/>
    <n v="2"/>
    <n v="18"/>
    <b v="0"/>
    <n v="4"/>
    <n v="1"/>
    <x v="2"/>
    <x v="12"/>
    <n v="0.4"/>
    <x v="8"/>
    <n v="2"/>
    <n v="145"/>
    <n v="147"/>
    <x v="1"/>
    <x v="0"/>
    <s v="Evening"/>
    <s v="February"/>
    <s v="Spring"/>
    <n v="0.22929155386993369"/>
    <n v="-0.25435329828790432"/>
    <n v="0.10399668008577614"/>
    <n v="0.36604748519325236"/>
  </r>
  <r>
    <n v="754"/>
    <d v="2011-02-03T00:00:00"/>
    <x v="0"/>
    <n v="0"/>
    <n v="2"/>
    <n v="19"/>
    <b v="0"/>
    <n v="4"/>
    <n v="1"/>
    <x v="2"/>
    <x v="2"/>
    <n v="0.4"/>
    <x v="0"/>
    <n v="4"/>
    <n v="92"/>
    <n v="96"/>
    <x v="1"/>
    <x v="0"/>
    <s v="Evening"/>
    <s v="February"/>
    <s v="Spring"/>
    <n v="0.22929155386993369"/>
    <n v="-0.25435329828790432"/>
    <n v="0.10399668008577614"/>
    <n v="0.36604748519325236"/>
  </r>
  <r>
    <n v="755"/>
    <d v="2011-02-03T00:00:00"/>
    <x v="0"/>
    <n v="0"/>
    <n v="2"/>
    <n v="20"/>
    <b v="0"/>
    <n v="4"/>
    <n v="1"/>
    <x v="2"/>
    <x v="11"/>
    <n v="0.47"/>
    <x v="1"/>
    <n v="1"/>
    <n v="108"/>
    <n v="109"/>
    <x v="1"/>
    <x v="0"/>
    <s v="Evening"/>
    <s v="February"/>
    <s v="Spring"/>
    <n v="0.22929155386993369"/>
    <n v="-0.25435329828790432"/>
    <n v="0.10399668008577614"/>
    <n v="0.36604748519325236"/>
  </r>
  <r>
    <n v="756"/>
    <d v="2011-02-03T00:00:00"/>
    <x v="0"/>
    <n v="0"/>
    <n v="2"/>
    <n v="21"/>
    <b v="0"/>
    <n v="4"/>
    <n v="1"/>
    <x v="15"/>
    <x v="12"/>
    <n v="0.55000000000000004"/>
    <x v="14"/>
    <n v="1"/>
    <n v="53"/>
    <n v="54"/>
    <x v="1"/>
    <x v="0"/>
    <s v="Night"/>
    <s v="February"/>
    <s v="Spring"/>
    <n v="0.22929155386993369"/>
    <n v="-0.25435329828790432"/>
    <n v="0.10399668008577614"/>
    <n v="0.36604748519325236"/>
  </r>
  <r>
    <n v="757"/>
    <d v="2011-02-03T00:00:00"/>
    <x v="0"/>
    <n v="0"/>
    <n v="2"/>
    <n v="22"/>
    <b v="0"/>
    <n v="4"/>
    <n v="1"/>
    <x v="15"/>
    <x v="12"/>
    <n v="0.51"/>
    <x v="1"/>
    <n v="2"/>
    <n v="39"/>
    <n v="41"/>
    <x v="1"/>
    <x v="0"/>
    <s v="Night"/>
    <s v="February"/>
    <s v="Spring"/>
    <n v="0.22929155386993369"/>
    <n v="-0.25435329828790432"/>
    <n v="0.10399668008577614"/>
    <n v="0.36604748519325236"/>
  </r>
  <r>
    <n v="758"/>
    <d v="2011-02-03T00:00:00"/>
    <x v="0"/>
    <n v="0"/>
    <n v="2"/>
    <n v="23"/>
    <b v="0"/>
    <n v="4"/>
    <n v="1"/>
    <x v="2"/>
    <x v="11"/>
    <n v="0.47"/>
    <x v="14"/>
    <n v="4"/>
    <n v="34"/>
    <n v="38"/>
    <x v="1"/>
    <x v="0"/>
    <s v="Night"/>
    <s v="February"/>
    <s v="Spring"/>
    <n v="0.22929155386993369"/>
    <n v="-0.25435329828790432"/>
    <n v="0.10399668008577614"/>
    <n v="0.36604748519325236"/>
  </r>
  <r>
    <n v="759"/>
    <d v="2011-02-04T00:00:00"/>
    <x v="0"/>
    <n v="0"/>
    <n v="2"/>
    <n v="0"/>
    <b v="0"/>
    <n v="5"/>
    <n v="2"/>
    <x v="2"/>
    <x v="2"/>
    <n v="0.44"/>
    <x v="0"/>
    <n v="3"/>
    <n v="10"/>
    <n v="13"/>
    <x v="1"/>
    <x v="1"/>
    <s v="Night"/>
    <s v="February"/>
    <s v="Spring"/>
    <n v="0.22929155386993369"/>
    <n v="-0.25435329828790432"/>
    <n v="0.10399668008577614"/>
    <n v="0.36604748519325236"/>
  </r>
  <r>
    <n v="760"/>
    <d v="2011-02-04T00:00:00"/>
    <x v="0"/>
    <n v="0"/>
    <n v="2"/>
    <n v="1"/>
    <b v="0"/>
    <n v="5"/>
    <n v="2"/>
    <x v="13"/>
    <x v="11"/>
    <n v="0.59"/>
    <x v="0"/>
    <n v="0"/>
    <n v="7"/>
    <n v="7"/>
    <x v="1"/>
    <x v="1"/>
    <s v="Night"/>
    <s v="February"/>
    <s v="Spring"/>
    <n v="0.22929155386993369"/>
    <n v="-0.25435329828790432"/>
    <n v="0.10399668008577614"/>
    <n v="0.36604748519325236"/>
  </r>
  <r>
    <n v="761"/>
    <d v="2011-02-04T00:00:00"/>
    <x v="0"/>
    <n v="0"/>
    <n v="2"/>
    <n v="2"/>
    <b v="0"/>
    <n v="5"/>
    <n v="2"/>
    <x v="14"/>
    <x v="17"/>
    <n v="0.63"/>
    <x v="14"/>
    <n v="0"/>
    <n v="1"/>
    <n v="1"/>
    <x v="1"/>
    <x v="1"/>
    <s v="Night"/>
    <s v="February"/>
    <s v="Spring"/>
    <n v="0.22929155386993369"/>
    <n v="-0.25435329828790432"/>
    <n v="0.10399668008577614"/>
    <n v="0.36604748519325236"/>
  </r>
  <r>
    <n v="762"/>
    <d v="2011-02-04T00:00:00"/>
    <x v="0"/>
    <n v="0"/>
    <n v="2"/>
    <n v="3"/>
    <b v="0"/>
    <n v="5"/>
    <n v="2"/>
    <x v="14"/>
    <x v="17"/>
    <n v="0.63"/>
    <x v="14"/>
    <n v="0"/>
    <n v="1"/>
    <n v="1"/>
    <x v="1"/>
    <x v="1"/>
    <s v="Night"/>
    <s v="February"/>
    <s v="Spring"/>
    <n v="0.22929155386993369"/>
    <n v="-0.25435329828790432"/>
    <n v="0.10399668008577614"/>
    <n v="0.36604748519325236"/>
  </r>
  <r>
    <n v="763"/>
    <d v="2011-02-04T00:00:00"/>
    <x v="0"/>
    <n v="0"/>
    <n v="2"/>
    <n v="5"/>
    <b v="0"/>
    <n v="5"/>
    <n v="2"/>
    <x v="14"/>
    <x v="20"/>
    <n v="0.63"/>
    <x v="7"/>
    <n v="0"/>
    <n v="7"/>
    <n v="7"/>
    <x v="1"/>
    <x v="1"/>
    <s v="Night"/>
    <s v="February"/>
    <s v="Spring"/>
    <n v="0.22929155386993369"/>
    <n v="-0.25435329828790432"/>
    <n v="0.10399668008577614"/>
    <n v="0.36604748519325236"/>
  </r>
  <r>
    <n v="764"/>
    <d v="2011-02-04T00:00:00"/>
    <x v="0"/>
    <n v="0"/>
    <n v="2"/>
    <n v="6"/>
    <b v="0"/>
    <n v="5"/>
    <n v="2"/>
    <x v="13"/>
    <x v="11"/>
    <n v="0.55000000000000004"/>
    <x v="0"/>
    <n v="2"/>
    <n v="26"/>
    <n v="28"/>
    <x v="1"/>
    <x v="1"/>
    <s v="Morning"/>
    <s v="February"/>
    <s v="Spring"/>
    <n v="0.22929155386993369"/>
    <n v="-0.25435329828790432"/>
    <n v="0.10399668008577614"/>
    <n v="0.36604748519325236"/>
  </r>
  <r>
    <n v="765"/>
    <d v="2011-02-04T00:00:00"/>
    <x v="0"/>
    <n v="0"/>
    <n v="2"/>
    <n v="7"/>
    <b v="0"/>
    <n v="5"/>
    <n v="1"/>
    <x v="14"/>
    <x v="12"/>
    <n v="0.59"/>
    <x v="0"/>
    <n v="0"/>
    <n v="87"/>
    <n v="87"/>
    <x v="1"/>
    <x v="0"/>
    <s v="Morning"/>
    <s v="February"/>
    <s v="Spring"/>
    <n v="0.22929155386993369"/>
    <n v="-0.25435329828790432"/>
    <n v="0.10399668008577614"/>
    <n v="0.36604748519325236"/>
  </r>
  <r>
    <n v="766"/>
    <d v="2011-02-04T00:00:00"/>
    <x v="0"/>
    <n v="0"/>
    <n v="2"/>
    <n v="8"/>
    <b v="0"/>
    <n v="5"/>
    <n v="1"/>
    <x v="14"/>
    <x v="20"/>
    <n v="0.74"/>
    <x v="7"/>
    <n v="3"/>
    <n v="217"/>
    <n v="220"/>
    <x v="1"/>
    <x v="0"/>
    <s v="Morning"/>
    <s v="February"/>
    <s v="Spring"/>
    <n v="0.22929155386993369"/>
    <n v="-0.25435329828790432"/>
    <n v="0.10399668008577614"/>
    <n v="0.36604748519325236"/>
  </r>
  <r>
    <n v="767"/>
    <d v="2011-02-04T00:00:00"/>
    <x v="0"/>
    <n v="0"/>
    <n v="2"/>
    <n v="9"/>
    <b v="0"/>
    <n v="5"/>
    <n v="2"/>
    <x v="13"/>
    <x v="18"/>
    <n v="0.8"/>
    <x v="7"/>
    <n v="3"/>
    <n v="124"/>
    <n v="127"/>
    <x v="1"/>
    <x v="1"/>
    <s v="Morning"/>
    <s v="February"/>
    <s v="Spring"/>
    <n v="0.22929155386993369"/>
    <n v="-0.25435329828790432"/>
    <n v="0.10399668008577614"/>
    <n v="0.36604748519325236"/>
  </r>
  <r>
    <n v="768"/>
    <d v="2011-02-04T00:00:00"/>
    <x v="0"/>
    <n v="0"/>
    <n v="2"/>
    <n v="10"/>
    <b v="0"/>
    <n v="5"/>
    <n v="2"/>
    <x v="2"/>
    <x v="12"/>
    <n v="0.51"/>
    <x v="7"/>
    <n v="5"/>
    <n v="46"/>
    <n v="51"/>
    <x v="1"/>
    <x v="1"/>
    <s v="Morning"/>
    <s v="February"/>
    <s v="Spring"/>
    <n v="0.22929155386993369"/>
    <n v="-0.25435329828790432"/>
    <n v="0.10399668008577614"/>
    <n v="0.36604748519325236"/>
  </r>
  <r>
    <n v="769"/>
    <d v="2011-02-04T00:00:00"/>
    <x v="0"/>
    <n v="0"/>
    <n v="2"/>
    <n v="11"/>
    <b v="0"/>
    <n v="5"/>
    <n v="1"/>
    <x v="1"/>
    <x v="11"/>
    <n v="0.51"/>
    <x v="8"/>
    <n v="3"/>
    <n v="61"/>
    <n v="64"/>
    <x v="1"/>
    <x v="0"/>
    <s v="Morning"/>
    <s v="February"/>
    <s v="Spring"/>
    <n v="0.22929155386993369"/>
    <n v="-0.25435329828790432"/>
    <n v="0.10399668008577614"/>
    <n v="0.36604748519325236"/>
  </r>
  <r>
    <n v="770"/>
    <d v="2011-02-04T00:00:00"/>
    <x v="0"/>
    <n v="0"/>
    <n v="2"/>
    <n v="12"/>
    <b v="0"/>
    <n v="5"/>
    <n v="2"/>
    <x v="0"/>
    <x v="19"/>
    <n v="0.48"/>
    <x v="8"/>
    <n v="8"/>
    <n v="78"/>
    <n v="86"/>
    <x v="1"/>
    <x v="1"/>
    <s v="Afternoon"/>
    <s v="February"/>
    <s v="Spring"/>
    <n v="0.22929155386993369"/>
    <n v="-0.25435329828790432"/>
    <n v="0.10399668008577614"/>
    <n v="0.36604748519325236"/>
  </r>
  <r>
    <n v="771"/>
    <d v="2011-02-04T00:00:00"/>
    <x v="0"/>
    <n v="0"/>
    <n v="2"/>
    <n v="13"/>
    <b v="0"/>
    <n v="5"/>
    <n v="2"/>
    <x v="12"/>
    <x v="2"/>
    <n v="0.5"/>
    <x v="6"/>
    <n v="9"/>
    <n v="73"/>
    <n v="82"/>
    <x v="1"/>
    <x v="1"/>
    <s v="Afternoon"/>
    <s v="February"/>
    <s v="Spring"/>
    <n v="0.22929155386993369"/>
    <n v="-0.25435329828790432"/>
    <n v="0.10399668008577614"/>
    <n v="0.36604748519325236"/>
  </r>
  <r>
    <n v="772"/>
    <d v="2011-02-04T00:00:00"/>
    <x v="0"/>
    <n v="0"/>
    <n v="2"/>
    <n v="14"/>
    <b v="0"/>
    <n v="5"/>
    <n v="2"/>
    <x v="17"/>
    <x v="1"/>
    <n v="0.45"/>
    <x v="8"/>
    <n v="15"/>
    <n v="76"/>
    <n v="91"/>
    <x v="1"/>
    <x v="1"/>
    <s v="Afternoon"/>
    <s v="February"/>
    <s v="Spring"/>
    <n v="0.22929155386993369"/>
    <n v="-0.25435329828790432"/>
    <n v="0.10399668008577614"/>
    <n v="0.36604748519325236"/>
  </r>
  <r>
    <n v="773"/>
    <d v="2011-02-04T00:00:00"/>
    <x v="0"/>
    <n v="0"/>
    <n v="2"/>
    <n v="15"/>
    <b v="0"/>
    <n v="5"/>
    <n v="2"/>
    <x v="17"/>
    <x v="1"/>
    <n v="0.48"/>
    <x v="2"/>
    <n v="9"/>
    <n v="81"/>
    <n v="90"/>
    <x v="1"/>
    <x v="1"/>
    <s v="Afternoon"/>
    <s v="February"/>
    <s v="Spring"/>
    <n v="0.22929155386993369"/>
    <n v="-0.25435329828790432"/>
    <n v="0.10399668008577614"/>
    <n v="0.36604748519325236"/>
  </r>
  <r>
    <n v="774"/>
    <d v="2011-02-04T00:00:00"/>
    <x v="0"/>
    <n v="0"/>
    <n v="2"/>
    <n v="16"/>
    <b v="0"/>
    <n v="5"/>
    <n v="2"/>
    <x v="11"/>
    <x v="0"/>
    <n v="0.42"/>
    <x v="6"/>
    <n v="8"/>
    <n v="91"/>
    <n v="99"/>
    <x v="1"/>
    <x v="1"/>
    <s v="Afternoon"/>
    <s v="February"/>
    <s v="Spring"/>
    <n v="0.22929155386993369"/>
    <n v="-0.25435329828790432"/>
    <n v="0.10399668008577614"/>
    <n v="0.36604748519325236"/>
  </r>
  <r>
    <n v="775"/>
    <d v="2011-02-04T00:00:00"/>
    <x v="0"/>
    <n v="0"/>
    <n v="2"/>
    <n v="17"/>
    <b v="0"/>
    <n v="5"/>
    <n v="2"/>
    <x v="12"/>
    <x v="1"/>
    <n v="0.56000000000000005"/>
    <x v="7"/>
    <n v="10"/>
    <n v="195"/>
    <n v="205"/>
    <x v="1"/>
    <x v="1"/>
    <s v="Evening"/>
    <s v="February"/>
    <s v="Spring"/>
    <n v="0.22929155386993369"/>
    <n v="-0.25435329828790432"/>
    <n v="0.10399668008577614"/>
    <n v="0.36604748519325236"/>
  </r>
  <r>
    <n v="776"/>
    <d v="2011-02-04T00:00:00"/>
    <x v="0"/>
    <n v="0"/>
    <n v="2"/>
    <n v="18"/>
    <b v="0"/>
    <n v="5"/>
    <n v="2"/>
    <x v="0"/>
    <x v="2"/>
    <n v="0.6"/>
    <x v="14"/>
    <n v="3"/>
    <n v="152"/>
    <n v="155"/>
    <x v="1"/>
    <x v="1"/>
    <s v="Evening"/>
    <s v="February"/>
    <s v="Spring"/>
    <n v="0.22929155386993369"/>
    <n v="-0.25435329828790432"/>
    <n v="0.10399668008577614"/>
    <n v="0.36604748519325236"/>
  </r>
  <r>
    <n v="777"/>
    <d v="2011-02-04T00:00:00"/>
    <x v="0"/>
    <n v="0"/>
    <n v="2"/>
    <n v="19"/>
    <b v="0"/>
    <n v="5"/>
    <n v="2"/>
    <x v="0"/>
    <x v="19"/>
    <n v="0.65"/>
    <x v="7"/>
    <n v="1"/>
    <n v="102"/>
    <n v="103"/>
    <x v="1"/>
    <x v="1"/>
    <s v="Evening"/>
    <s v="February"/>
    <s v="Spring"/>
    <n v="0.22929155386993369"/>
    <n v="-0.25435329828790432"/>
    <n v="0.10399668008577614"/>
    <n v="0.36604748519325236"/>
  </r>
  <r>
    <n v="778"/>
    <d v="2011-02-04T00:00:00"/>
    <x v="0"/>
    <n v="0"/>
    <n v="2"/>
    <n v="20"/>
    <b v="0"/>
    <n v="5"/>
    <n v="2"/>
    <x v="0"/>
    <x v="19"/>
    <n v="0.65"/>
    <x v="8"/>
    <n v="2"/>
    <n v="69"/>
    <n v="71"/>
    <x v="1"/>
    <x v="1"/>
    <s v="Evening"/>
    <s v="February"/>
    <s v="Spring"/>
    <n v="0.22929155386993369"/>
    <n v="-0.25435329828790432"/>
    <n v="0.10399668008577614"/>
    <n v="0.36604748519325236"/>
  </r>
  <r>
    <n v="779"/>
    <d v="2011-02-04T00:00:00"/>
    <x v="0"/>
    <n v="0"/>
    <n v="2"/>
    <n v="21"/>
    <b v="0"/>
    <n v="5"/>
    <n v="2"/>
    <x v="0"/>
    <x v="19"/>
    <n v="0.7"/>
    <x v="8"/>
    <n v="2"/>
    <n v="41"/>
    <n v="43"/>
    <x v="1"/>
    <x v="1"/>
    <s v="Night"/>
    <s v="February"/>
    <s v="Spring"/>
    <n v="0.22929155386993369"/>
    <n v="-0.25435329828790432"/>
    <n v="0.10399668008577614"/>
    <n v="0.36604748519325236"/>
  </r>
  <r>
    <n v="780"/>
    <d v="2011-02-04T00:00:00"/>
    <x v="0"/>
    <n v="0"/>
    <n v="2"/>
    <n v="22"/>
    <b v="0"/>
    <n v="5"/>
    <n v="2"/>
    <x v="0"/>
    <x v="19"/>
    <n v="0.65"/>
    <x v="8"/>
    <n v="1"/>
    <n v="45"/>
    <n v="46"/>
    <x v="1"/>
    <x v="1"/>
    <s v="Night"/>
    <s v="February"/>
    <s v="Spring"/>
    <n v="0.22929155386993369"/>
    <n v="-0.25435329828790432"/>
    <n v="0.10399668008577614"/>
    <n v="0.36604748519325236"/>
  </r>
  <r>
    <n v="781"/>
    <d v="2011-02-04T00:00:00"/>
    <x v="0"/>
    <n v="0"/>
    <n v="2"/>
    <n v="23"/>
    <b v="0"/>
    <n v="5"/>
    <n v="2"/>
    <x v="0"/>
    <x v="19"/>
    <n v="0.7"/>
    <x v="7"/>
    <n v="1"/>
    <n v="30"/>
    <n v="31"/>
    <x v="1"/>
    <x v="1"/>
    <s v="Night"/>
    <s v="February"/>
    <s v="Spring"/>
    <n v="0.22929155386993369"/>
    <n v="-0.25435329828790432"/>
    <n v="0.10399668008577614"/>
    <n v="0.36604748519325236"/>
  </r>
  <r>
    <n v="782"/>
    <d v="2011-02-05T00:00:00"/>
    <x v="0"/>
    <n v="0"/>
    <n v="2"/>
    <n v="0"/>
    <b v="0"/>
    <n v="6"/>
    <n v="2"/>
    <x v="0"/>
    <x v="19"/>
    <n v="0.7"/>
    <x v="8"/>
    <n v="3"/>
    <n v="36"/>
    <n v="39"/>
    <x v="0"/>
    <x v="1"/>
    <s v="Night"/>
    <s v="February"/>
    <s v="Spring"/>
    <n v="0.22929155386993369"/>
    <n v="-0.25435329828790432"/>
    <n v="0.10399668008577614"/>
    <n v="0.36604748519325236"/>
  </r>
  <r>
    <n v="783"/>
    <d v="2011-02-05T00:00:00"/>
    <x v="0"/>
    <n v="0"/>
    <n v="2"/>
    <n v="1"/>
    <b v="0"/>
    <n v="6"/>
    <n v="2"/>
    <x v="0"/>
    <x v="19"/>
    <n v="0.65"/>
    <x v="8"/>
    <n v="1"/>
    <n v="17"/>
    <n v="18"/>
    <x v="0"/>
    <x v="1"/>
    <s v="Night"/>
    <s v="February"/>
    <s v="Spring"/>
    <n v="0.22929155386993369"/>
    <n v="-0.25435329828790432"/>
    <n v="0.10399668008577614"/>
    <n v="0.36604748519325236"/>
  </r>
  <r>
    <n v="784"/>
    <d v="2011-02-05T00:00:00"/>
    <x v="0"/>
    <n v="0"/>
    <n v="2"/>
    <n v="2"/>
    <b v="0"/>
    <n v="6"/>
    <n v="2"/>
    <x v="0"/>
    <x v="19"/>
    <n v="0.75"/>
    <x v="8"/>
    <n v="5"/>
    <n v="12"/>
    <n v="17"/>
    <x v="0"/>
    <x v="1"/>
    <s v="Night"/>
    <s v="February"/>
    <s v="Spring"/>
    <n v="0.22929155386993369"/>
    <n v="-0.25435329828790432"/>
    <n v="0.10399668008577614"/>
    <n v="0.36604748519325236"/>
  </r>
  <r>
    <n v="785"/>
    <d v="2011-02-05T00:00:00"/>
    <x v="0"/>
    <n v="0"/>
    <n v="2"/>
    <n v="3"/>
    <b v="0"/>
    <n v="6"/>
    <n v="2"/>
    <x v="0"/>
    <x v="19"/>
    <n v="0.75"/>
    <x v="8"/>
    <n v="1"/>
    <n v="10"/>
    <n v="11"/>
    <x v="0"/>
    <x v="1"/>
    <s v="Night"/>
    <s v="February"/>
    <s v="Spring"/>
    <n v="0.22929155386993369"/>
    <n v="-0.25435329828790432"/>
    <n v="0.10399668008577614"/>
    <n v="0.36604748519325236"/>
  </r>
  <r>
    <n v="786"/>
    <d v="2011-02-05T00:00:00"/>
    <x v="0"/>
    <n v="0"/>
    <n v="2"/>
    <n v="4"/>
    <b v="0"/>
    <n v="6"/>
    <n v="3"/>
    <x v="1"/>
    <x v="11"/>
    <n v="0.93"/>
    <x v="7"/>
    <n v="0"/>
    <n v="8"/>
    <n v="8"/>
    <x v="0"/>
    <x v="2"/>
    <s v="Night"/>
    <s v="February"/>
    <s v="Spring"/>
    <n v="0.22929155386993369"/>
    <n v="-0.25435329828790432"/>
    <n v="0.10399668008577614"/>
    <n v="0.36604748519325236"/>
  </r>
  <r>
    <n v="787"/>
    <d v="2011-02-05T00:00:00"/>
    <x v="0"/>
    <n v="0"/>
    <n v="2"/>
    <n v="5"/>
    <b v="0"/>
    <n v="6"/>
    <n v="3"/>
    <x v="2"/>
    <x v="11"/>
    <n v="1"/>
    <x v="1"/>
    <n v="0"/>
    <n v="9"/>
    <n v="9"/>
    <x v="0"/>
    <x v="2"/>
    <s v="Night"/>
    <s v="February"/>
    <s v="Spring"/>
    <n v="0.22929155386993369"/>
    <n v="-0.25435329828790432"/>
    <n v="0.10399668008577614"/>
    <n v="0.36604748519325236"/>
  </r>
  <r>
    <n v="788"/>
    <d v="2011-02-05T00:00:00"/>
    <x v="0"/>
    <n v="0"/>
    <n v="2"/>
    <n v="6"/>
    <b v="0"/>
    <n v="6"/>
    <n v="3"/>
    <x v="2"/>
    <x v="2"/>
    <n v="1"/>
    <x v="0"/>
    <n v="0"/>
    <n v="4"/>
    <n v="4"/>
    <x v="0"/>
    <x v="2"/>
    <s v="Morning"/>
    <s v="February"/>
    <s v="Spring"/>
    <n v="0.22929155386993369"/>
    <n v="-0.25435329828790432"/>
    <n v="0.10399668008577614"/>
    <n v="0.36604748519325236"/>
  </r>
  <r>
    <n v="789"/>
    <d v="2011-02-05T00:00:00"/>
    <x v="0"/>
    <n v="0"/>
    <n v="2"/>
    <n v="7"/>
    <b v="0"/>
    <n v="6"/>
    <n v="3"/>
    <x v="1"/>
    <x v="2"/>
    <n v="0.93"/>
    <x v="1"/>
    <n v="0"/>
    <n v="4"/>
    <n v="4"/>
    <x v="0"/>
    <x v="2"/>
    <s v="Morning"/>
    <s v="February"/>
    <s v="Spring"/>
    <n v="0.22929155386993369"/>
    <n v="-0.25435329828790432"/>
    <n v="0.10399668008577614"/>
    <n v="0.36604748519325236"/>
  </r>
  <r>
    <n v="790"/>
    <d v="2011-02-05T00:00:00"/>
    <x v="0"/>
    <n v="0"/>
    <n v="2"/>
    <n v="8"/>
    <b v="0"/>
    <n v="6"/>
    <n v="3"/>
    <x v="2"/>
    <x v="11"/>
    <n v="1"/>
    <x v="1"/>
    <n v="0"/>
    <n v="10"/>
    <n v="10"/>
    <x v="0"/>
    <x v="2"/>
    <s v="Morning"/>
    <s v="February"/>
    <s v="Spring"/>
    <n v="0.22929155386993369"/>
    <n v="-0.25435329828790432"/>
    <n v="0.10399668008577614"/>
    <n v="0.36604748519325236"/>
  </r>
  <r>
    <n v="791"/>
    <d v="2011-02-05T00:00:00"/>
    <x v="0"/>
    <n v="0"/>
    <n v="2"/>
    <n v="9"/>
    <b v="0"/>
    <n v="6"/>
    <n v="3"/>
    <x v="2"/>
    <x v="11"/>
    <n v="1"/>
    <x v="1"/>
    <n v="3"/>
    <n v="17"/>
    <n v="20"/>
    <x v="0"/>
    <x v="2"/>
    <s v="Morning"/>
    <s v="February"/>
    <s v="Spring"/>
    <n v="0.22929155386993369"/>
    <n v="-0.25435329828790432"/>
    <n v="0.10399668008577614"/>
    <n v="0.36604748519325236"/>
  </r>
  <r>
    <n v="792"/>
    <d v="2011-02-05T00:00:00"/>
    <x v="0"/>
    <n v="0"/>
    <n v="2"/>
    <n v="10"/>
    <b v="0"/>
    <n v="6"/>
    <n v="3"/>
    <x v="2"/>
    <x v="12"/>
    <n v="1"/>
    <x v="7"/>
    <n v="3"/>
    <n v="31"/>
    <n v="34"/>
    <x v="0"/>
    <x v="2"/>
    <s v="Morning"/>
    <s v="February"/>
    <s v="Spring"/>
    <n v="0.22929155386993369"/>
    <n v="-0.25435329828790432"/>
    <n v="0.10399668008577614"/>
    <n v="0.36604748519325236"/>
  </r>
  <r>
    <n v="793"/>
    <d v="2011-02-05T00:00:00"/>
    <x v="0"/>
    <n v="0"/>
    <n v="2"/>
    <n v="11"/>
    <b v="0"/>
    <n v="6"/>
    <n v="3"/>
    <x v="1"/>
    <x v="11"/>
    <n v="1"/>
    <x v="7"/>
    <n v="1"/>
    <n v="46"/>
    <n v="47"/>
    <x v="0"/>
    <x v="2"/>
    <s v="Morning"/>
    <s v="February"/>
    <s v="Spring"/>
    <n v="0.22929155386993369"/>
    <n v="-0.25435329828790432"/>
    <n v="0.10399668008577614"/>
    <n v="0.36604748519325236"/>
  </r>
  <r>
    <n v="794"/>
    <d v="2011-02-05T00:00:00"/>
    <x v="0"/>
    <n v="0"/>
    <n v="2"/>
    <n v="12"/>
    <b v="0"/>
    <n v="6"/>
    <n v="3"/>
    <x v="1"/>
    <x v="11"/>
    <n v="1"/>
    <x v="8"/>
    <n v="10"/>
    <n v="42"/>
    <n v="52"/>
    <x v="0"/>
    <x v="2"/>
    <s v="Afternoon"/>
    <s v="February"/>
    <s v="Spring"/>
    <n v="0.22929155386993369"/>
    <n v="-0.25435329828790432"/>
    <n v="0.10399668008577614"/>
    <n v="0.36604748519325236"/>
  </r>
  <r>
    <n v="795"/>
    <d v="2011-02-05T00:00:00"/>
    <x v="0"/>
    <n v="0"/>
    <n v="2"/>
    <n v="13"/>
    <b v="0"/>
    <n v="6"/>
    <n v="3"/>
    <x v="1"/>
    <x v="11"/>
    <n v="1"/>
    <x v="8"/>
    <n v="10"/>
    <n v="62"/>
    <n v="72"/>
    <x v="0"/>
    <x v="2"/>
    <s v="Afternoon"/>
    <s v="February"/>
    <s v="Spring"/>
    <n v="0.22929155386993369"/>
    <n v="-0.25435329828790432"/>
    <n v="0.10399668008577614"/>
    <n v="0.36604748519325236"/>
  </r>
  <r>
    <n v="796"/>
    <d v="2011-02-05T00:00:00"/>
    <x v="0"/>
    <n v="0"/>
    <n v="2"/>
    <n v="14"/>
    <b v="0"/>
    <n v="6"/>
    <n v="3"/>
    <x v="1"/>
    <x v="1"/>
    <n v="1"/>
    <x v="0"/>
    <n v="5"/>
    <n v="50"/>
    <n v="55"/>
    <x v="0"/>
    <x v="2"/>
    <s v="Afternoon"/>
    <s v="February"/>
    <s v="Spring"/>
    <n v="0.22929155386993369"/>
    <n v="-0.25435329828790432"/>
    <n v="0.10399668008577614"/>
    <n v="0.36604748519325236"/>
  </r>
  <r>
    <n v="797"/>
    <d v="2011-02-05T00:00:00"/>
    <x v="0"/>
    <n v="0"/>
    <n v="2"/>
    <n v="15"/>
    <b v="0"/>
    <n v="6"/>
    <n v="3"/>
    <x v="1"/>
    <x v="1"/>
    <n v="1"/>
    <x v="0"/>
    <n v="11"/>
    <n v="49"/>
    <n v="60"/>
    <x v="0"/>
    <x v="2"/>
    <s v="Afternoon"/>
    <s v="February"/>
    <s v="Spring"/>
    <n v="0.22929155386993369"/>
    <n v="-0.25435329828790432"/>
    <n v="0.10399668008577614"/>
    <n v="0.36604748519325236"/>
  </r>
  <r>
    <n v="798"/>
    <d v="2011-02-05T00:00:00"/>
    <x v="0"/>
    <n v="0"/>
    <n v="2"/>
    <n v="16"/>
    <b v="0"/>
    <n v="6"/>
    <n v="3"/>
    <x v="1"/>
    <x v="11"/>
    <n v="1"/>
    <x v="7"/>
    <n v="8"/>
    <n v="63"/>
    <n v="71"/>
    <x v="0"/>
    <x v="2"/>
    <s v="Afternoon"/>
    <s v="February"/>
    <s v="Spring"/>
    <n v="0.22929155386993369"/>
    <n v="-0.25435329828790432"/>
    <n v="0.10399668008577614"/>
    <n v="0.36604748519325236"/>
  </r>
  <r>
    <n v="799"/>
    <d v="2011-02-05T00:00:00"/>
    <x v="0"/>
    <n v="0"/>
    <n v="2"/>
    <n v="17"/>
    <b v="0"/>
    <n v="6"/>
    <n v="2"/>
    <x v="0"/>
    <x v="12"/>
    <n v="1"/>
    <x v="3"/>
    <n v="14"/>
    <n v="64"/>
    <n v="78"/>
    <x v="0"/>
    <x v="1"/>
    <s v="Evening"/>
    <s v="February"/>
    <s v="Spring"/>
    <n v="0.22929155386993369"/>
    <n v="-0.25435329828790432"/>
    <n v="0.10399668008577614"/>
    <n v="0.36604748519325236"/>
  </r>
  <r>
    <n v="800"/>
    <d v="2011-02-05T00:00:00"/>
    <x v="0"/>
    <n v="0"/>
    <n v="2"/>
    <n v="18"/>
    <b v="0"/>
    <n v="6"/>
    <n v="2"/>
    <x v="17"/>
    <x v="19"/>
    <n v="0.93"/>
    <x v="10"/>
    <n v="2"/>
    <n v="81"/>
    <n v="83"/>
    <x v="0"/>
    <x v="1"/>
    <s v="Evening"/>
    <s v="February"/>
    <s v="Spring"/>
    <n v="0.22929155386993369"/>
    <n v="-0.25435329828790432"/>
    <n v="0.10399668008577614"/>
    <n v="0.36604748519325236"/>
  </r>
  <r>
    <n v="801"/>
    <d v="2011-02-05T00:00:00"/>
    <x v="0"/>
    <n v="0"/>
    <n v="2"/>
    <n v="19"/>
    <b v="0"/>
    <n v="6"/>
    <n v="2"/>
    <x v="17"/>
    <x v="19"/>
    <n v="0.93"/>
    <x v="10"/>
    <n v="6"/>
    <n v="78"/>
    <n v="84"/>
    <x v="0"/>
    <x v="1"/>
    <s v="Evening"/>
    <s v="February"/>
    <s v="Spring"/>
    <n v="0.22929155386993369"/>
    <n v="-0.25435329828790432"/>
    <n v="0.10399668008577614"/>
    <n v="0.36604748519325236"/>
  </r>
  <r>
    <n v="802"/>
    <d v="2011-02-05T00:00:00"/>
    <x v="0"/>
    <n v="0"/>
    <n v="2"/>
    <n v="20"/>
    <b v="0"/>
    <n v="6"/>
    <n v="1"/>
    <x v="11"/>
    <x v="0"/>
    <n v="0.87"/>
    <x v="2"/>
    <n v="5"/>
    <n v="64"/>
    <n v="69"/>
    <x v="0"/>
    <x v="0"/>
    <s v="Evening"/>
    <s v="February"/>
    <s v="Spring"/>
    <n v="0.22929155386993369"/>
    <n v="-0.25435329828790432"/>
    <n v="0.10399668008577614"/>
    <n v="0.36604748519325236"/>
  </r>
  <r>
    <n v="803"/>
    <d v="2011-02-05T00:00:00"/>
    <x v="0"/>
    <n v="0"/>
    <n v="2"/>
    <n v="21"/>
    <b v="0"/>
    <n v="6"/>
    <n v="1"/>
    <x v="12"/>
    <x v="2"/>
    <n v="1"/>
    <x v="5"/>
    <n v="3"/>
    <n v="53"/>
    <n v="56"/>
    <x v="0"/>
    <x v="0"/>
    <s v="Night"/>
    <s v="February"/>
    <s v="Spring"/>
    <n v="0.22929155386993369"/>
    <n v="-0.25435329828790432"/>
    <n v="0.10399668008577614"/>
    <n v="0.36604748519325236"/>
  </r>
  <r>
    <n v="804"/>
    <d v="2011-02-05T00:00:00"/>
    <x v="0"/>
    <n v="0"/>
    <n v="2"/>
    <n v="22"/>
    <b v="0"/>
    <n v="6"/>
    <n v="1"/>
    <x v="12"/>
    <x v="1"/>
    <n v="0.93"/>
    <x v="7"/>
    <n v="2"/>
    <n v="43"/>
    <n v="45"/>
    <x v="0"/>
    <x v="0"/>
    <s v="Night"/>
    <s v="February"/>
    <s v="Spring"/>
    <n v="0.22929155386993369"/>
    <n v="-0.25435329828790432"/>
    <n v="0.10399668008577614"/>
    <n v="0.36604748519325236"/>
  </r>
  <r>
    <n v="805"/>
    <d v="2011-02-05T00:00:00"/>
    <x v="0"/>
    <n v="0"/>
    <n v="2"/>
    <n v="23"/>
    <b v="0"/>
    <n v="6"/>
    <n v="1"/>
    <x v="12"/>
    <x v="2"/>
    <n v="0.93"/>
    <x v="6"/>
    <n v="7"/>
    <n v="52"/>
    <n v="59"/>
    <x v="0"/>
    <x v="0"/>
    <s v="Night"/>
    <s v="February"/>
    <s v="Spring"/>
    <n v="0.22929155386993369"/>
    <n v="-0.25435329828790432"/>
    <n v="0.10399668008577614"/>
    <n v="0.36604748519325236"/>
  </r>
  <r>
    <n v="806"/>
    <d v="2011-02-06T00:00:00"/>
    <x v="0"/>
    <n v="0"/>
    <n v="2"/>
    <n v="0"/>
    <b v="0"/>
    <n v="0"/>
    <n v="1"/>
    <x v="12"/>
    <x v="2"/>
    <n v="0.7"/>
    <x v="5"/>
    <n v="2"/>
    <n v="37"/>
    <n v="39"/>
    <x v="0"/>
    <x v="0"/>
    <s v="Night"/>
    <s v="February"/>
    <s v="Spring"/>
    <n v="0.22929155386993369"/>
    <n v="-0.25435329828790432"/>
    <n v="0.10399668008577614"/>
    <n v="0.36604748519325236"/>
  </r>
  <r>
    <n v="807"/>
    <d v="2011-02-06T00:00:00"/>
    <x v="0"/>
    <n v="0"/>
    <n v="2"/>
    <n v="1"/>
    <b v="0"/>
    <n v="0"/>
    <n v="1"/>
    <x v="12"/>
    <x v="11"/>
    <n v="0.65"/>
    <x v="12"/>
    <n v="4"/>
    <n v="40"/>
    <n v="44"/>
    <x v="0"/>
    <x v="0"/>
    <s v="Night"/>
    <s v="February"/>
    <s v="Spring"/>
    <n v="0.22929155386993369"/>
    <n v="-0.25435329828790432"/>
    <n v="0.10399668008577614"/>
    <n v="0.36604748519325236"/>
  </r>
  <r>
    <n v="808"/>
    <d v="2011-02-06T00:00:00"/>
    <x v="0"/>
    <n v="0"/>
    <n v="2"/>
    <n v="2"/>
    <b v="0"/>
    <n v="0"/>
    <n v="1"/>
    <x v="12"/>
    <x v="11"/>
    <n v="0.6"/>
    <x v="9"/>
    <n v="0"/>
    <n v="20"/>
    <n v="20"/>
    <x v="0"/>
    <x v="0"/>
    <s v="Night"/>
    <s v="February"/>
    <s v="Spring"/>
    <n v="0.22929155386993369"/>
    <n v="-0.25435329828790432"/>
    <n v="0.10399668008577614"/>
    <n v="0.36604748519325236"/>
  </r>
  <r>
    <n v="809"/>
    <d v="2011-02-06T00:00:00"/>
    <x v="0"/>
    <n v="0"/>
    <n v="2"/>
    <n v="3"/>
    <b v="0"/>
    <n v="0"/>
    <n v="1"/>
    <x v="12"/>
    <x v="0"/>
    <n v="0.6"/>
    <x v="1"/>
    <n v="3"/>
    <n v="10"/>
    <n v="13"/>
    <x v="0"/>
    <x v="0"/>
    <s v="Night"/>
    <s v="February"/>
    <s v="Spring"/>
    <n v="0.22929155386993369"/>
    <n v="-0.25435329828790432"/>
    <n v="0.10399668008577614"/>
    <n v="0.36604748519325236"/>
  </r>
  <r>
    <n v="810"/>
    <d v="2011-02-06T00:00:00"/>
    <x v="0"/>
    <n v="0"/>
    <n v="2"/>
    <n v="4"/>
    <b v="0"/>
    <n v="0"/>
    <n v="1"/>
    <x v="12"/>
    <x v="11"/>
    <n v="0.6"/>
    <x v="11"/>
    <n v="0"/>
    <n v="2"/>
    <n v="2"/>
    <x v="0"/>
    <x v="0"/>
    <s v="Night"/>
    <s v="February"/>
    <s v="Spring"/>
    <n v="0.22929155386993369"/>
    <n v="-0.25435329828790432"/>
    <n v="0.10399668008577614"/>
    <n v="0.36604748519325236"/>
  </r>
  <r>
    <n v="811"/>
    <d v="2011-02-06T00:00:00"/>
    <x v="0"/>
    <n v="0"/>
    <n v="2"/>
    <n v="5"/>
    <b v="0"/>
    <n v="0"/>
    <n v="1"/>
    <x v="12"/>
    <x v="2"/>
    <n v="0.6"/>
    <x v="6"/>
    <n v="0"/>
    <n v="1"/>
    <n v="1"/>
    <x v="0"/>
    <x v="0"/>
    <s v="Night"/>
    <s v="February"/>
    <s v="Spring"/>
    <n v="0.22929155386993369"/>
    <n v="-0.25435329828790432"/>
    <n v="0.10399668008577614"/>
    <n v="0.36604748519325236"/>
  </r>
  <r>
    <n v="812"/>
    <d v="2011-02-06T00:00:00"/>
    <x v="0"/>
    <n v="0"/>
    <n v="2"/>
    <n v="6"/>
    <b v="0"/>
    <n v="0"/>
    <n v="1"/>
    <x v="12"/>
    <x v="2"/>
    <n v="0.6"/>
    <x v="6"/>
    <n v="0"/>
    <n v="1"/>
    <n v="1"/>
    <x v="0"/>
    <x v="0"/>
    <s v="Morning"/>
    <s v="February"/>
    <s v="Spring"/>
    <n v="0.22929155386993369"/>
    <n v="-0.25435329828790432"/>
    <n v="0.10399668008577614"/>
    <n v="0.36604748519325236"/>
  </r>
  <r>
    <n v="813"/>
    <d v="2011-02-06T00:00:00"/>
    <x v="0"/>
    <n v="0"/>
    <n v="2"/>
    <n v="7"/>
    <b v="0"/>
    <n v="0"/>
    <n v="1"/>
    <x v="0"/>
    <x v="19"/>
    <n v="0.65"/>
    <x v="8"/>
    <n v="0"/>
    <n v="8"/>
    <n v="8"/>
    <x v="0"/>
    <x v="0"/>
    <s v="Morning"/>
    <s v="February"/>
    <s v="Spring"/>
    <n v="0.22929155386993369"/>
    <n v="-0.25435329828790432"/>
    <n v="0.10399668008577614"/>
    <n v="0.36604748519325236"/>
  </r>
  <r>
    <n v="814"/>
    <d v="2011-02-06T00:00:00"/>
    <x v="0"/>
    <n v="0"/>
    <n v="2"/>
    <n v="8"/>
    <b v="0"/>
    <n v="0"/>
    <n v="1"/>
    <x v="0"/>
    <x v="2"/>
    <n v="0.65"/>
    <x v="14"/>
    <n v="2"/>
    <n v="21"/>
    <n v="23"/>
    <x v="0"/>
    <x v="0"/>
    <s v="Morning"/>
    <s v="February"/>
    <s v="Spring"/>
    <n v="0.22929155386993369"/>
    <n v="-0.25435329828790432"/>
    <n v="0.10399668008577614"/>
    <n v="0.36604748519325236"/>
  </r>
  <r>
    <n v="815"/>
    <d v="2011-02-06T00:00:00"/>
    <x v="0"/>
    <n v="0"/>
    <n v="2"/>
    <n v="9"/>
    <b v="0"/>
    <n v="0"/>
    <n v="1"/>
    <x v="17"/>
    <x v="0"/>
    <n v="0.56000000000000005"/>
    <x v="14"/>
    <n v="7"/>
    <n v="38"/>
    <n v="45"/>
    <x v="0"/>
    <x v="0"/>
    <s v="Morning"/>
    <s v="February"/>
    <s v="Spring"/>
    <n v="0.22929155386993369"/>
    <n v="-0.25435329828790432"/>
    <n v="0.10399668008577614"/>
    <n v="0.36604748519325236"/>
  </r>
  <r>
    <n v="816"/>
    <d v="2011-02-06T00:00:00"/>
    <x v="0"/>
    <n v="0"/>
    <n v="2"/>
    <n v="10"/>
    <b v="0"/>
    <n v="0"/>
    <n v="1"/>
    <x v="11"/>
    <x v="0"/>
    <n v="0.52"/>
    <x v="2"/>
    <n v="15"/>
    <n v="74"/>
    <n v="89"/>
    <x v="0"/>
    <x v="0"/>
    <s v="Morning"/>
    <s v="February"/>
    <s v="Spring"/>
    <n v="0.22929155386993369"/>
    <n v="-0.25435329828790432"/>
    <n v="0.10399668008577614"/>
    <n v="0.36604748519325236"/>
  </r>
  <r>
    <n v="817"/>
    <d v="2011-02-06T00:00:00"/>
    <x v="0"/>
    <n v="0"/>
    <n v="2"/>
    <n v="11"/>
    <b v="0"/>
    <n v="0"/>
    <n v="1"/>
    <x v="3"/>
    <x v="25"/>
    <n v="0.49"/>
    <x v="2"/>
    <n v="28"/>
    <n v="89"/>
    <n v="117"/>
    <x v="0"/>
    <x v="0"/>
    <s v="Morning"/>
    <s v="February"/>
    <s v="Spring"/>
    <n v="0.22929155386993369"/>
    <n v="-0.25435329828790432"/>
    <n v="0.10399668008577614"/>
    <n v="0.36604748519325236"/>
  </r>
  <r>
    <n v="818"/>
    <d v="2011-02-06T00:00:00"/>
    <x v="0"/>
    <n v="0"/>
    <n v="2"/>
    <n v="12"/>
    <b v="0"/>
    <n v="0"/>
    <n v="1"/>
    <x v="10"/>
    <x v="6"/>
    <n v="0.46"/>
    <x v="0"/>
    <n v="48"/>
    <n v="126"/>
    <n v="174"/>
    <x v="0"/>
    <x v="0"/>
    <s v="Afternoon"/>
    <s v="February"/>
    <s v="Spring"/>
    <n v="0.22929155386993369"/>
    <n v="-0.25435329828790432"/>
    <n v="0.10399668008577614"/>
    <n v="0.36604748519325236"/>
  </r>
  <r>
    <n v="819"/>
    <d v="2011-02-06T00:00:00"/>
    <x v="0"/>
    <n v="0"/>
    <n v="2"/>
    <n v="13"/>
    <b v="0"/>
    <n v="0"/>
    <n v="1"/>
    <x v="10"/>
    <x v="30"/>
    <n v="0.46"/>
    <x v="0"/>
    <n v="47"/>
    <n v="135"/>
    <n v="182"/>
    <x v="0"/>
    <x v="0"/>
    <s v="Afternoon"/>
    <s v="February"/>
    <s v="Spring"/>
    <n v="0.22929155386993369"/>
    <n v="-0.25435329828790432"/>
    <n v="0.10399668008577614"/>
    <n v="0.36604748519325236"/>
  </r>
  <r>
    <n v="820"/>
    <d v="2011-02-06T00:00:00"/>
    <x v="0"/>
    <n v="0"/>
    <n v="2"/>
    <n v="14"/>
    <b v="0"/>
    <n v="0"/>
    <n v="1"/>
    <x v="10"/>
    <x v="4"/>
    <n v="0.46"/>
    <x v="1"/>
    <n v="47"/>
    <n v="114"/>
    <n v="161"/>
    <x v="0"/>
    <x v="0"/>
    <s v="Afternoon"/>
    <s v="February"/>
    <s v="Spring"/>
    <n v="0.22929155386993369"/>
    <n v="-0.25435329828790432"/>
    <n v="0.10399668008577614"/>
    <n v="0.36604748519325236"/>
  </r>
  <r>
    <n v="821"/>
    <d v="2011-02-06T00:00:00"/>
    <x v="0"/>
    <n v="0"/>
    <n v="2"/>
    <n v="15"/>
    <b v="0"/>
    <n v="0"/>
    <n v="1"/>
    <x v="10"/>
    <x v="4"/>
    <n v="0.46"/>
    <x v="1"/>
    <n v="52"/>
    <n v="130"/>
    <n v="182"/>
    <x v="0"/>
    <x v="0"/>
    <s v="Afternoon"/>
    <s v="February"/>
    <s v="Spring"/>
    <n v="0.22929155386993369"/>
    <n v="-0.25435329828790432"/>
    <n v="0.10399668008577614"/>
    <n v="0.36604748519325236"/>
  </r>
  <r>
    <n v="822"/>
    <d v="2011-02-06T00:00:00"/>
    <x v="0"/>
    <n v="0"/>
    <n v="2"/>
    <n v="16"/>
    <b v="0"/>
    <n v="0"/>
    <n v="1"/>
    <x v="10"/>
    <x v="4"/>
    <n v="0.49"/>
    <x v="14"/>
    <n v="42"/>
    <n v="115"/>
    <n v="157"/>
    <x v="0"/>
    <x v="0"/>
    <s v="Afternoon"/>
    <s v="February"/>
    <s v="Spring"/>
    <n v="0.22929155386993369"/>
    <n v="-0.25435329828790432"/>
    <n v="0.10399668008577614"/>
    <n v="0.36604748519325236"/>
  </r>
  <r>
    <n v="823"/>
    <d v="2011-02-06T00:00:00"/>
    <x v="0"/>
    <n v="0"/>
    <n v="2"/>
    <n v="17"/>
    <b v="0"/>
    <n v="0"/>
    <n v="1"/>
    <x v="10"/>
    <x v="30"/>
    <n v="0.46"/>
    <x v="0"/>
    <n v="24"/>
    <n v="97"/>
    <n v="121"/>
    <x v="0"/>
    <x v="0"/>
    <s v="Evening"/>
    <s v="February"/>
    <s v="Spring"/>
    <n v="0.22929155386993369"/>
    <n v="-0.25435329828790432"/>
    <n v="0.10399668008577614"/>
    <n v="0.36604748519325236"/>
  </r>
  <r>
    <n v="824"/>
    <d v="2011-02-06T00:00:00"/>
    <x v="0"/>
    <n v="0"/>
    <n v="2"/>
    <n v="18"/>
    <b v="0"/>
    <n v="0"/>
    <n v="1"/>
    <x v="11"/>
    <x v="25"/>
    <n v="0.56000000000000005"/>
    <x v="8"/>
    <n v="13"/>
    <n v="65"/>
    <n v="78"/>
    <x v="0"/>
    <x v="0"/>
    <s v="Evening"/>
    <s v="February"/>
    <s v="Spring"/>
    <n v="0.22929155386993369"/>
    <n v="-0.25435329828790432"/>
    <n v="0.10399668008577614"/>
    <n v="0.36604748519325236"/>
  </r>
  <r>
    <n v="825"/>
    <d v="2011-02-06T00:00:00"/>
    <x v="0"/>
    <n v="0"/>
    <n v="2"/>
    <n v="19"/>
    <b v="0"/>
    <n v="0"/>
    <n v="1"/>
    <x v="17"/>
    <x v="0"/>
    <n v="0.61"/>
    <x v="7"/>
    <n v="1"/>
    <n v="20"/>
    <n v="21"/>
    <x v="0"/>
    <x v="0"/>
    <s v="Evening"/>
    <s v="February"/>
    <s v="Spring"/>
    <n v="0.22929155386993369"/>
    <n v="-0.25435329828790432"/>
    <n v="0.10399668008577614"/>
    <n v="0.36604748519325236"/>
  </r>
  <r>
    <n v="826"/>
    <d v="2011-02-06T00:00:00"/>
    <x v="0"/>
    <n v="0"/>
    <n v="2"/>
    <n v="20"/>
    <b v="0"/>
    <n v="0"/>
    <n v="1"/>
    <x v="17"/>
    <x v="0"/>
    <n v="0.61"/>
    <x v="14"/>
    <n v="5"/>
    <n v="21"/>
    <n v="26"/>
    <x v="0"/>
    <x v="0"/>
    <s v="Evening"/>
    <s v="February"/>
    <s v="Spring"/>
    <n v="0.22929155386993369"/>
    <n v="-0.25435329828790432"/>
    <n v="0.10399668008577614"/>
    <n v="0.36604748519325236"/>
  </r>
  <r>
    <n v="827"/>
    <d v="2011-02-06T00:00:00"/>
    <x v="0"/>
    <n v="0"/>
    <n v="2"/>
    <n v="21"/>
    <b v="0"/>
    <n v="0"/>
    <n v="1"/>
    <x v="12"/>
    <x v="25"/>
    <n v="0.6"/>
    <x v="0"/>
    <n v="5"/>
    <n v="22"/>
    <n v="27"/>
    <x v="0"/>
    <x v="0"/>
    <s v="Night"/>
    <s v="February"/>
    <s v="Spring"/>
    <n v="0.22929155386993369"/>
    <n v="-0.25435329828790432"/>
    <n v="0.10399668008577614"/>
    <n v="0.36604748519325236"/>
  </r>
  <r>
    <n v="828"/>
    <d v="2011-02-06T00:00:00"/>
    <x v="0"/>
    <n v="0"/>
    <n v="2"/>
    <n v="22"/>
    <b v="0"/>
    <n v="0"/>
    <n v="1"/>
    <x v="12"/>
    <x v="25"/>
    <n v="0.6"/>
    <x v="0"/>
    <n v="5"/>
    <n v="57"/>
    <n v="62"/>
    <x v="0"/>
    <x v="0"/>
    <s v="Night"/>
    <s v="February"/>
    <s v="Spring"/>
    <n v="0.22929155386993369"/>
    <n v="-0.25435329828790432"/>
    <n v="0.10399668008577614"/>
    <n v="0.36604748519325236"/>
  </r>
  <r>
    <n v="829"/>
    <d v="2011-02-06T00:00:00"/>
    <x v="0"/>
    <n v="0"/>
    <n v="2"/>
    <n v="23"/>
    <b v="0"/>
    <n v="0"/>
    <n v="1"/>
    <x v="0"/>
    <x v="0"/>
    <n v="0.65"/>
    <x v="0"/>
    <n v="4"/>
    <n v="26"/>
    <n v="30"/>
    <x v="0"/>
    <x v="0"/>
    <s v="Night"/>
    <s v="February"/>
    <s v="Spring"/>
    <n v="0.22929155386993369"/>
    <n v="-0.25435329828790432"/>
    <n v="0.10399668008577614"/>
    <n v="0.36604748519325236"/>
  </r>
  <r>
    <n v="830"/>
    <d v="2011-02-07T00:00:00"/>
    <x v="0"/>
    <n v="0"/>
    <n v="2"/>
    <n v="0"/>
    <b v="0"/>
    <n v="1"/>
    <n v="1"/>
    <x v="0"/>
    <x v="0"/>
    <n v="0.65"/>
    <x v="0"/>
    <n v="1"/>
    <n v="14"/>
    <n v="15"/>
    <x v="1"/>
    <x v="0"/>
    <s v="Night"/>
    <s v="February"/>
    <s v="Spring"/>
    <n v="0.22929155386993369"/>
    <n v="-0.25435329828790432"/>
    <n v="0.10399668008577614"/>
    <n v="0.36604748519325236"/>
  </r>
  <r>
    <n v="831"/>
    <d v="2011-02-07T00:00:00"/>
    <x v="0"/>
    <n v="0"/>
    <n v="2"/>
    <n v="1"/>
    <b v="0"/>
    <n v="1"/>
    <n v="1"/>
    <x v="1"/>
    <x v="1"/>
    <n v="0.75"/>
    <x v="0"/>
    <n v="1"/>
    <n v="4"/>
    <n v="5"/>
    <x v="1"/>
    <x v="0"/>
    <s v="Night"/>
    <s v="February"/>
    <s v="Spring"/>
    <n v="0.22929155386993369"/>
    <n v="-0.25435329828790432"/>
    <n v="0.10399668008577614"/>
    <n v="0.36604748519325236"/>
  </r>
  <r>
    <n v="832"/>
    <d v="2011-02-07T00:00:00"/>
    <x v="0"/>
    <n v="0"/>
    <n v="2"/>
    <n v="2"/>
    <b v="0"/>
    <n v="1"/>
    <n v="1"/>
    <x v="2"/>
    <x v="2"/>
    <n v="0.8"/>
    <x v="0"/>
    <n v="0"/>
    <n v="3"/>
    <n v="3"/>
    <x v="1"/>
    <x v="0"/>
    <s v="Night"/>
    <s v="February"/>
    <s v="Spring"/>
    <n v="0.22929155386993369"/>
    <n v="-0.25435329828790432"/>
    <n v="0.10399668008577614"/>
    <n v="0.36604748519325236"/>
  </r>
  <r>
    <n v="833"/>
    <d v="2011-02-07T00:00:00"/>
    <x v="0"/>
    <n v="0"/>
    <n v="2"/>
    <n v="3"/>
    <b v="0"/>
    <n v="1"/>
    <n v="1"/>
    <x v="2"/>
    <x v="2"/>
    <n v="0.86"/>
    <x v="0"/>
    <n v="0"/>
    <n v="1"/>
    <n v="1"/>
    <x v="1"/>
    <x v="0"/>
    <s v="Night"/>
    <s v="February"/>
    <s v="Spring"/>
    <n v="0.22929155386993369"/>
    <n v="-0.25435329828790432"/>
    <n v="0.10399668008577614"/>
    <n v="0.36604748519325236"/>
  </r>
  <r>
    <n v="834"/>
    <d v="2011-02-07T00:00:00"/>
    <x v="0"/>
    <n v="0"/>
    <n v="2"/>
    <n v="4"/>
    <b v="0"/>
    <n v="1"/>
    <n v="1"/>
    <x v="2"/>
    <x v="2"/>
    <n v="0.86"/>
    <x v="0"/>
    <n v="1"/>
    <n v="1"/>
    <n v="2"/>
    <x v="1"/>
    <x v="0"/>
    <s v="Night"/>
    <s v="February"/>
    <s v="Spring"/>
    <n v="0.22929155386993369"/>
    <n v="-0.25435329828790432"/>
    <n v="0.10399668008577614"/>
    <n v="0.36604748519325236"/>
  </r>
  <r>
    <n v="835"/>
    <d v="2011-02-07T00:00:00"/>
    <x v="0"/>
    <n v="0"/>
    <n v="2"/>
    <n v="5"/>
    <b v="0"/>
    <n v="1"/>
    <n v="1"/>
    <x v="2"/>
    <x v="2"/>
    <n v="0.86"/>
    <x v="0"/>
    <n v="1"/>
    <n v="9"/>
    <n v="10"/>
    <x v="1"/>
    <x v="0"/>
    <s v="Night"/>
    <s v="February"/>
    <s v="Spring"/>
    <n v="0.22929155386993369"/>
    <n v="-0.25435329828790432"/>
    <n v="0.10399668008577614"/>
    <n v="0.36604748519325236"/>
  </r>
  <r>
    <n v="836"/>
    <d v="2011-02-07T00:00:00"/>
    <x v="0"/>
    <n v="0"/>
    <n v="2"/>
    <n v="6"/>
    <b v="0"/>
    <n v="1"/>
    <n v="1"/>
    <x v="15"/>
    <x v="19"/>
    <n v="0.93"/>
    <x v="0"/>
    <n v="1"/>
    <n v="29"/>
    <n v="30"/>
    <x v="1"/>
    <x v="0"/>
    <s v="Morning"/>
    <s v="February"/>
    <s v="Spring"/>
    <n v="0.22929155386993369"/>
    <n v="-0.25435329828790432"/>
    <n v="0.10399668008577614"/>
    <n v="0.36604748519325236"/>
  </r>
  <r>
    <n v="837"/>
    <d v="2011-02-07T00:00:00"/>
    <x v="0"/>
    <n v="0"/>
    <n v="2"/>
    <n v="7"/>
    <b v="0"/>
    <n v="1"/>
    <n v="1"/>
    <x v="15"/>
    <x v="19"/>
    <n v="0.86"/>
    <x v="0"/>
    <n v="6"/>
    <n v="89"/>
    <n v="95"/>
    <x v="1"/>
    <x v="0"/>
    <s v="Morning"/>
    <s v="February"/>
    <s v="Spring"/>
    <n v="0.22929155386993369"/>
    <n v="-0.25435329828790432"/>
    <n v="0.10399668008577614"/>
    <n v="0.36604748519325236"/>
  </r>
  <r>
    <n v="838"/>
    <d v="2011-02-07T00:00:00"/>
    <x v="0"/>
    <n v="0"/>
    <n v="2"/>
    <n v="8"/>
    <b v="0"/>
    <n v="1"/>
    <n v="2"/>
    <x v="13"/>
    <x v="11"/>
    <n v="1"/>
    <x v="0"/>
    <n v="7"/>
    <n v="223"/>
    <n v="230"/>
    <x v="1"/>
    <x v="1"/>
    <s v="Morning"/>
    <s v="February"/>
    <s v="Spring"/>
    <n v="0.22929155386993369"/>
    <n v="-0.25435329828790432"/>
    <n v="0.10399668008577614"/>
    <n v="0.36604748519325236"/>
  </r>
  <r>
    <n v="839"/>
    <d v="2011-02-07T00:00:00"/>
    <x v="0"/>
    <n v="0"/>
    <n v="2"/>
    <n v="9"/>
    <b v="0"/>
    <n v="1"/>
    <n v="1"/>
    <x v="1"/>
    <x v="1"/>
    <n v="0.8"/>
    <x v="0"/>
    <n v="3"/>
    <n v="115"/>
    <n v="118"/>
    <x v="1"/>
    <x v="0"/>
    <s v="Morning"/>
    <s v="February"/>
    <s v="Spring"/>
    <n v="0.22929155386993369"/>
    <n v="-0.25435329828790432"/>
    <n v="0.10399668008577614"/>
    <n v="0.36604748519325236"/>
  </r>
  <r>
    <n v="840"/>
    <d v="2011-02-07T00:00:00"/>
    <x v="0"/>
    <n v="0"/>
    <n v="2"/>
    <n v="10"/>
    <b v="0"/>
    <n v="1"/>
    <n v="1"/>
    <x v="0"/>
    <x v="2"/>
    <n v="0.75"/>
    <x v="14"/>
    <n v="6"/>
    <n v="49"/>
    <n v="55"/>
    <x v="1"/>
    <x v="0"/>
    <s v="Morning"/>
    <s v="February"/>
    <s v="Spring"/>
    <n v="0.22929155386993369"/>
    <n v="-0.25435329828790432"/>
    <n v="0.10399668008577614"/>
    <n v="0.36604748519325236"/>
  </r>
  <r>
    <n v="841"/>
    <d v="2011-02-07T00:00:00"/>
    <x v="0"/>
    <n v="0"/>
    <n v="2"/>
    <n v="11"/>
    <b v="0"/>
    <n v="1"/>
    <n v="1"/>
    <x v="11"/>
    <x v="21"/>
    <n v="0.65"/>
    <x v="1"/>
    <n v="11"/>
    <n v="36"/>
    <n v="47"/>
    <x v="1"/>
    <x v="0"/>
    <s v="Morning"/>
    <s v="February"/>
    <s v="Spring"/>
    <n v="0.22929155386993369"/>
    <n v="-0.25435329828790432"/>
    <n v="0.10399668008577614"/>
    <n v="0.36604748519325236"/>
  </r>
  <r>
    <n v="842"/>
    <d v="2011-02-07T00:00:00"/>
    <x v="0"/>
    <n v="0"/>
    <n v="2"/>
    <n v="12"/>
    <b v="0"/>
    <n v="1"/>
    <n v="2"/>
    <x v="3"/>
    <x v="4"/>
    <n v="0.62"/>
    <x v="0"/>
    <n v="7"/>
    <n v="59"/>
    <n v="66"/>
    <x v="1"/>
    <x v="1"/>
    <s v="Afternoon"/>
    <s v="February"/>
    <s v="Spring"/>
    <n v="0.22929155386993369"/>
    <n v="-0.25435329828790432"/>
    <n v="0.10399668008577614"/>
    <n v="0.36604748519325236"/>
  </r>
  <r>
    <n v="843"/>
    <d v="2011-02-07T00:00:00"/>
    <x v="0"/>
    <n v="0"/>
    <n v="2"/>
    <n v="13"/>
    <b v="0"/>
    <n v="1"/>
    <n v="2"/>
    <x v="5"/>
    <x v="30"/>
    <n v="0.56999999999999995"/>
    <x v="1"/>
    <n v="10"/>
    <n v="54"/>
    <n v="64"/>
    <x v="1"/>
    <x v="1"/>
    <s v="Afternoon"/>
    <s v="February"/>
    <s v="Spring"/>
    <n v="0.22929155386993369"/>
    <n v="-0.25435329828790432"/>
    <n v="0.10399668008577614"/>
    <n v="0.36604748519325236"/>
  </r>
  <r>
    <n v="844"/>
    <d v="2011-02-07T00:00:00"/>
    <x v="0"/>
    <n v="0"/>
    <n v="2"/>
    <n v="14"/>
    <b v="0"/>
    <n v="1"/>
    <n v="2"/>
    <x v="5"/>
    <x v="30"/>
    <n v="0.56999999999999995"/>
    <x v="1"/>
    <n v="8"/>
    <n v="52"/>
    <n v="60"/>
    <x v="1"/>
    <x v="1"/>
    <s v="Afternoon"/>
    <s v="February"/>
    <s v="Spring"/>
    <n v="0.22929155386993369"/>
    <n v="-0.25435329828790432"/>
    <n v="0.10399668008577614"/>
    <n v="0.36604748519325236"/>
  </r>
  <r>
    <n v="845"/>
    <d v="2011-02-07T00:00:00"/>
    <x v="0"/>
    <n v="0"/>
    <n v="2"/>
    <n v="15"/>
    <b v="0"/>
    <n v="1"/>
    <n v="2"/>
    <x v="4"/>
    <x v="5"/>
    <n v="0.54"/>
    <x v="1"/>
    <n v="4"/>
    <n v="46"/>
    <n v="50"/>
    <x v="1"/>
    <x v="1"/>
    <s v="Afternoon"/>
    <s v="February"/>
    <s v="Spring"/>
    <n v="0.22929155386993369"/>
    <n v="-0.25435329828790432"/>
    <n v="0.10399668008577614"/>
    <n v="0.36604748519325236"/>
  </r>
  <r>
    <n v="846"/>
    <d v="2011-02-07T00:00:00"/>
    <x v="0"/>
    <n v="0"/>
    <n v="2"/>
    <n v="16"/>
    <b v="0"/>
    <n v="1"/>
    <n v="2"/>
    <x v="5"/>
    <x v="4"/>
    <n v="0.56999999999999995"/>
    <x v="7"/>
    <n v="16"/>
    <n v="98"/>
    <n v="114"/>
    <x v="1"/>
    <x v="1"/>
    <s v="Afternoon"/>
    <s v="February"/>
    <s v="Spring"/>
    <n v="0.22929155386993369"/>
    <n v="-0.25435329828790432"/>
    <n v="0.10399668008577614"/>
    <n v="0.36604748519325236"/>
  </r>
  <r>
    <n v="847"/>
    <d v="2011-02-07T00:00:00"/>
    <x v="0"/>
    <n v="0"/>
    <n v="2"/>
    <n v="17"/>
    <b v="0"/>
    <n v="1"/>
    <n v="2"/>
    <x v="3"/>
    <x v="21"/>
    <n v="0.7"/>
    <x v="8"/>
    <n v="9"/>
    <n v="207"/>
    <n v="216"/>
    <x v="1"/>
    <x v="1"/>
    <s v="Evening"/>
    <s v="February"/>
    <s v="Spring"/>
    <n v="0.22929155386993369"/>
    <n v="-0.25435329828790432"/>
    <n v="0.10399668008577614"/>
    <n v="0.36604748519325236"/>
  </r>
  <r>
    <n v="848"/>
    <d v="2011-02-07T00:00:00"/>
    <x v="0"/>
    <n v="0"/>
    <n v="2"/>
    <n v="18"/>
    <b v="0"/>
    <n v="1"/>
    <n v="2"/>
    <x v="10"/>
    <x v="6"/>
    <n v="0.66"/>
    <x v="7"/>
    <n v="5"/>
    <n v="170"/>
    <n v="175"/>
    <x v="1"/>
    <x v="1"/>
    <s v="Evening"/>
    <s v="February"/>
    <s v="Spring"/>
    <n v="0.22929155386993369"/>
    <n v="-0.25435329828790432"/>
    <n v="0.10399668008577614"/>
    <n v="0.36604748519325236"/>
  </r>
  <r>
    <n v="849"/>
    <d v="2011-02-07T00:00:00"/>
    <x v="0"/>
    <n v="0"/>
    <n v="2"/>
    <n v="19"/>
    <b v="0"/>
    <n v="1"/>
    <n v="2"/>
    <x v="3"/>
    <x v="4"/>
    <n v="0.7"/>
    <x v="0"/>
    <n v="5"/>
    <n v="123"/>
    <n v="128"/>
    <x v="1"/>
    <x v="1"/>
    <s v="Evening"/>
    <s v="February"/>
    <s v="Spring"/>
    <n v="0.22929155386993369"/>
    <n v="-0.25435329828790432"/>
    <n v="0.10399668008577614"/>
    <n v="0.36604748519325236"/>
  </r>
  <r>
    <n v="850"/>
    <d v="2011-02-07T00:00:00"/>
    <x v="0"/>
    <n v="0"/>
    <n v="2"/>
    <n v="20"/>
    <b v="0"/>
    <n v="1"/>
    <n v="2"/>
    <x v="3"/>
    <x v="6"/>
    <n v="0.7"/>
    <x v="14"/>
    <n v="6"/>
    <n v="82"/>
    <n v="88"/>
    <x v="1"/>
    <x v="1"/>
    <s v="Evening"/>
    <s v="February"/>
    <s v="Spring"/>
    <n v="0.22929155386993369"/>
    <n v="-0.25435329828790432"/>
    <n v="0.10399668008577614"/>
    <n v="0.36604748519325236"/>
  </r>
  <r>
    <n v="851"/>
    <d v="2011-02-07T00:00:00"/>
    <x v="0"/>
    <n v="0"/>
    <n v="2"/>
    <n v="21"/>
    <b v="0"/>
    <n v="1"/>
    <n v="1"/>
    <x v="3"/>
    <x v="4"/>
    <n v="0.7"/>
    <x v="0"/>
    <n v="3"/>
    <n v="75"/>
    <n v="78"/>
    <x v="1"/>
    <x v="0"/>
    <s v="Night"/>
    <s v="February"/>
    <s v="Spring"/>
    <n v="0.22929155386993369"/>
    <n v="-0.25435329828790432"/>
    <n v="0.10399668008577614"/>
    <n v="0.36604748519325236"/>
  </r>
  <r>
    <n v="852"/>
    <d v="2011-02-07T00:00:00"/>
    <x v="0"/>
    <n v="0"/>
    <n v="2"/>
    <n v="22"/>
    <b v="0"/>
    <n v="1"/>
    <n v="1"/>
    <x v="17"/>
    <x v="25"/>
    <n v="0.81"/>
    <x v="1"/>
    <n v="3"/>
    <n v="34"/>
    <n v="37"/>
    <x v="1"/>
    <x v="0"/>
    <s v="Night"/>
    <s v="February"/>
    <s v="Spring"/>
    <n v="0.22929155386993369"/>
    <n v="-0.25435329828790432"/>
    <n v="0.10399668008577614"/>
    <n v="0.36604748519325236"/>
  </r>
  <r>
    <n v="853"/>
    <d v="2011-02-07T00:00:00"/>
    <x v="0"/>
    <n v="0"/>
    <n v="2"/>
    <n v="23"/>
    <b v="0"/>
    <n v="1"/>
    <n v="2"/>
    <x v="11"/>
    <x v="6"/>
    <n v="0.81"/>
    <x v="0"/>
    <n v="6"/>
    <n v="19"/>
    <n v="25"/>
    <x v="1"/>
    <x v="1"/>
    <s v="Night"/>
    <s v="February"/>
    <s v="Spring"/>
    <n v="0.22929155386993369"/>
    <n v="-0.25435329828790432"/>
    <n v="0.10399668008577614"/>
    <n v="0.36604748519325236"/>
  </r>
  <r>
    <n v="854"/>
    <d v="2011-02-08T00:00:00"/>
    <x v="0"/>
    <n v="0"/>
    <n v="2"/>
    <n v="0"/>
    <b v="0"/>
    <n v="2"/>
    <n v="2"/>
    <x v="17"/>
    <x v="21"/>
    <n v="0.87"/>
    <x v="0"/>
    <n v="4"/>
    <n v="6"/>
    <n v="10"/>
    <x v="1"/>
    <x v="1"/>
    <s v="Night"/>
    <s v="February"/>
    <s v="Spring"/>
    <n v="0.22929155386993369"/>
    <n v="-0.25435329828790432"/>
    <n v="0.10399668008577614"/>
    <n v="0.36604748519325236"/>
  </r>
  <r>
    <n v="855"/>
    <d v="2011-02-08T00:00:00"/>
    <x v="0"/>
    <n v="0"/>
    <n v="2"/>
    <n v="1"/>
    <b v="0"/>
    <n v="2"/>
    <n v="2"/>
    <x v="17"/>
    <x v="21"/>
    <n v="0.87"/>
    <x v="0"/>
    <n v="0"/>
    <n v="4"/>
    <n v="4"/>
    <x v="1"/>
    <x v="1"/>
    <s v="Night"/>
    <s v="February"/>
    <s v="Spring"/>
    <n v="0.22929155386993369"/>
    <n v="-0.25435329828790432"/>
    <n v="0.10399668008577614"/>
    <n v="0.36604748519325236"/>
  </r>
  <r>
    <n v="856"/>
    <d v="2011-02-08T00:00:00"/>
    <x v="0"/>
    <n v="0"/>
    <n v="2"/>
    <n v="2"/>
    <b v="0"/>
    <n v="2"/>
    <n v="2"/>
    <x v="12"/>
    <x v="1"/>
    <n v="0.93"/>
    <x v="14"/>
    <n v="1"/>
    <n v="1"/>
    <n v="2"/>
    <x v="1"/>
    <x v="1"/>
    <s v="Night"/>
    <s v="February"/>
    <s v="Spring"/>
    <n v="0.22929155386993369"/>
    <n v="-0.25435329828790432"/>
    <n v="0.10399668008577614"/>
    <n v="0.36604748519325236"/>
  </r>
  <r>
    <n v="857"/>
    <d v="2011-02-08T00:00:00"/>
    <x v="0"/>
    <n v="0"/>
    <n v="2"/>
    <n v="3"/>
    <b v="0"/>
    <n v="2"/>
    <n v="3"/>
    <x v="17"/>
    <x v="1"/>
    <n v="0.93"/>
    <x v="8"/>
    <n v="0"/>
    <n v="1"/>
    <n v="1"/>
    <x v="1"/>
    <x v="2"/>
    <s v="Night"/>
    <s v="February"/>
    <s v="Spring"/>
    <n v="0.22929155386993369"/>
    <n v="-0.25435329828790432"/>
    <n v="0.10399668008577614"/>
    <n v="0.36604748519325236"/>
  </r>
  <r>
    <n v="858"/>
    <d v="2011-02-08T00:00:00"/>
    <x v="0"/>
    <n v="0"/>
    <n v="2"/>
    <n v="4"/>
    <b v="0"/>
    <n v="2"/>
    <n v="1"/>
    <x v="12"/>
    <x v="2"/>
    <n v="0.93"/>
    <x v="8"/>
    <n v="0"/>
    <n v="3"/>
    <n v="3"/>
    <x v="1"/>
    <x v="0"/>
    <s v="Night"/>
    <s v="February"/>
    <s v="Spring"/>
    <n v="0.22929155386993369"/>
    <n v="-0.25435329828790432"/>
    <n v="0.10399668008577614"/>
    <n v="0.36604748519325236"/>
  </r>
  <r>
    <n v="859"/>
    <d v="2011-02-08T00:00:00"/>
    <x v="0"/>
    <n v="0"/>
    <n v="2"/>
    <n v="5"/>
    <b v="0"/>
    <n v="2"/>
    <n v="1"/>
    <x v="12"/>
    <x v="11"/>
    <n v="0.81"/>
    <x v="9"/>
    <n v="0"/>
    <n v="2"/>
    <n v="2"/>
    <x v="1"/>
    <x v="0"/>
    <s v="Night"/>
    <s v="February"/>
    <s v="Spring"/>
    <n v="0.22929155386993369"/>
    <n v="-0.25435329828790432"/>
    <n v="0.10399668008577614"/>
    <n v="0.36604748519325236"/>
  </r>
  <r>
    <n v="860"/>
    <d v="2011-02-08T00:00:00"/>
    <x v="0"/>
    <n v="0"/>
    <n v="2"/>
    <n v="6"/>
    <b v="0"/>
    <n v="2"/>
    <n v="1"/>
    <x v="12"/>
    <x v="11"/>
    <n v="0.7"/>
    <x v="9"/>
    <n v="0"/>
    <n v="39"/>
    <n v="39"/>
    <x v="1"/>
    <x v="0"/>
    <s v="Morning"/>
    <s v="February"/>
    <s v="Spring"/>
    <n v="0.22929155386993369"/>
    <n v="-0.25435329828790432"/>
    <n v="0.10399668008577614"/>
    <n v="0.36604748519325236"/>
  </r>
  <r>
    <n v="861"/>
    <d v="2011-02-08T00:00:00"/>
    <x v="0"/>
    <n v="0"/>
    <n v="2"/>
    <n v="7"/>
    <b v="0"/>
    <n v="2"/>
    <n v="1"/>
    <x v="0"/>
    <x v="13"/>
    <n v="0.65"/>
    <x v="12"/>
    <n v="3"/>
    <n v="97"/>
    <n v="100"/>
    <x v="1"/>
    <x v="0"/>
    <s v="Morning"/>
    <s v="February"/>
    <s v="Spring"/>
    <n v="0.22929155386993369"/>
    <n v="-0.25435329828790432"/>
    <n v="0.10399668008577614"/>
    <n v="0.36604748519325236"/>
  </r>
  <r>
    <n v="862"/>
    <d v="2011-02-08T00:00:00"/>
    <x v="0"/>
    <n v="0"/>
    <n v="2"/>
    <n v="8"/>
    <b v="0"/>
    <n v="2"/>
    <n v="1"/>
    <x v="0"/>
    <x v="13"/>
    <n v="0.56000000000000005"/>
    <x v="15"/>
    <n v="7"/>
    <n v="236"/>
    <n v="243"/>
    <x v="1"/>
    <x v="0"/>
    <s v="Morning"/>
    <s v="February"/>
    <s v="Spring"/>
    <n v="0.22929155386993369"/>
    <n v="-0.25435329828790432"/>
    <n v="0.10399668008577614"/>
    <n v="0.36604748519325236"/>
  </r>
  <r>
    <n v="863"/>
    <d v="2011-02-08T00:00:00"/>
    <x v="0"/>
    <n v="0"/>
    <n v="2"/>
    <n v="9"/>
    <b v="0"/>
    <n v="2"/>
    <n v="1"/>
    <x v="0"/>
    <x v="13"/>
    <n v="0.52"/>
    <x v="15"/>
    <n v="7"/>
    <n v="128"/>
    <n v="135"/>
    <x v="1"/>
    <x v="0"/>
    <s v="Morning"/>
    <s v="February"/>
    <s v="Spring"/>
    <n v="0.22929155386993369"/>
    <n v="-0.25435329828790432"/>
    <n v="0.10399668008577614"/>
    <n v="0.36604748519325236"/>
  </r>
  <r>
    <n v="864"/>
    <d v="2011-02-08T00:00:00"/>
    <x v="0"/>
    <n v="0"/>
    <n v="2"/>
    <n v="10"/>
    <b v="0"/>
    <n v="2"/>
    <n v="1"/>
    <x v="1"/>
    <x v="18"/>
    <n v="0.47"/>
    <x v="16"/>
    <n v="4"/>
    <n v="44"/>
    <n v="48"/>
    <x v="1"/>
    <x v="0"/>
    <s v="Morning"/>
    <s v="February"/>
    <s v="Spring"/>
    <n v="0.22929155386993369"/>
    <n v="-0.25435329828790432"/>
    <n v="0.10399668008577614"/>
    <n v="0.36604748519325236"/>
  </r>
  <r>
    <n v="865"/>
    <d v="2011-02-08T00:00:00"/>
    <x v="0"/>
    <n v="0"/>
    <n v="2"/>
    <n v="11"/>
    <b v="0"/>
    <n v="2"/>
    <n v="1"/>
    <x v="1"/>
    <x v="18"/>
    <n v="0.47"/>
    <x v="17"/>
    <n v="1"/>
    <n v="49"/>
    <n v="50"/>
    <x v="1"/>
    <x v="0"/>
    <s v="Morning"/>
    <s v="February"/>
    <s v="Spring"/>
    <n v="0.22929155386993369"/>
    <n v="-0.25435329828790432"/>
    <n v="0.10399668008577614"/>
    <n v="0.36604748519325236"/>
  </r>
  <r>
    <n v="866"/>
    <d v="2011-02-08T00:00:00"/>
    <x v="0"/>
    <n v="0"/>
    <n v="2"/>
    <n v="12"/>
    <b v="0"/>
    <n v="2"/>
    <n v="1"/>
    <x v="0"/>
    <x v="13"/>
    <n v="0.38"/>
    <x v="15"/>
    <n v="2"/>
    <n v="63"/>
    <n v="65"/>
    <x v="1"/>
    <x v="0"/>
    <s v="Afternoon"/>
    <s v="February"/>
    <s v="Spring"/>
    <n v="0.22929155386993369"/>
    <n v="-0.25435329828790432"/>
    <n v="0.10399668008577614"/>
    <n v="0.36604748519325236"/>
  </r>
  <r>
    <n v="867"/>
    <d v="2011-02-08T00:00:00"/>
    <x v="0"/>
    <n v="0"/>
    <n v="2"/>
    <n v="13"/>
    <b v="0"/>
    <n v="2"/>
    <n v="2"/>
    <x v="0"/>
    <x v="13"/>
    <n v="0.32"/>
    <x v="10"/>
    <n v="2"/>
    <n v="48"/>
    <n v="50"/>
    <x v="1"/>
    <x v="1"/>
    <s v="Afternoon"/>
    <s v="February"/>
    <s v="Spring"/>
    <n v="0.22929155386993369"/>
    <n v="-0.25435329828790432"/>
    <n v="0.10399668008577614"/>
    <n v="0.36604748519325236"/>
  </r>
  <r>
    <n v="868"/>
    <d v="2011-02-08T00:00:00"/>
    <x v="0"/>
    <n v="0"/>
    <n v="2"/>
    <n v="14"/>
    <b v="0"/>
    <n v="2"/>
    <n v="1"/>
    <x v="1"/>
    <x v="13"/>
    <n v="0.37"/>
    <x v="12"/>
    <n v="3"/>
    <n v="61"/>
    <n v="64"/>
    <x v="1"/>
    <x v="0"/>
    <s v="Afternoon"/>
    <s v="February"/>
    <s v="Spring"/>
    <n v="0.22929155386993369"/>
    <n v="-0.25435329828790432"/>
    <n v="0.10399668008577614"/>
    <n v="0.36604748519325236"/>
  </r>
  <r>
    <n v="869"/>
    <d v="2011-02-08T00:00:00"/>
    <x v="0"/>
    <n v="0"/>
    <n v="2"/>
    <n v="15"/>
    <b v="0"/>
    <n v="2"/>
    <n v="1"/>
    <x v="1"/>
    <x v="13"/>
    <n v="0.35"/>
    <x v="13"/>
    <n v="6"/>
    <n v="45"/>
    <n v="51"/>
    <x v="1"/>
    <x v="0"/>
    <s v="Afternoon"/>
    <s v="February"/>
    <s v="Spring"/>
    <n v="0.22929155386993369"/>
    <n v="-0.25435329828790432"/>
    <n v="0.10399668008577614"/>
    <n v="0.36604748519325236"/>
  </r>
  <r>
    <n v="870"/>
    <d v="2011-02-08T00:00:00"/>
    <x v="0"/>
    <n v="0"/>
    <n v="2"/>
    <n v="16"/>
    <b v="0"/>
    <n v="2"/>
    <n v="1"/>
    <x v="1"/>
    <x v="18"/>
    <n v="0.35"/>
    <x v="18"/>
    <n v="4"/>
    <n v="79"/>
    <n v="83"/>
    <x v="1"/>
    <x v="0"/>
    <s v="Afternoon"/>
    <s v="February"/>
    <s v="Spring"/>
    <n v="0.22929155386993369"/>
    <n v="-0.25435329828790432"/>
    <n v="0.10399668008577614"/>
    <n v="0.36604748519325236"/>
  </r>
  <r>
    <n v="871"/>
    <d v="2011-02-08T00:00:00"/>
    <x v="0"/>
    <n v="0"/>
    <n v="2"/>
    <n v="17"/>
    <b v="0"/>
    <n v="2"/>
    <n v="1"/>
    <x v="1"/>
    <x v="18"/>
    <n v="0.32"/>
    <x v="19"/>
    <n v="4"/>
    <n v="172"/>
    <n v="176"/>
    <x v="1"/>
    <x v="0"/>
    <s v="Evening"/>
    <s v="February"/>
    <s v="Spring"/>
    <n v="0.22929155386993369"/>
    <n v="-0.25435329828790432"/>
    <n v="0.10399668008577614"/>
    <n v="0.36604748519325236"/>
  </r>
  <r>
    <n v="872"/>
    <d v="2011-02-08T00:00:00"/>
    <x v="0"/>
    <n v="0"/>
    <n v="2"/>
    <n v="18"/>
    <b v="0"/>
    <n v="2"/>
    <n v="1"/>
    <x v="2"/>
    <x v="18"/>
    <n v="0.32"/>
    <x v="13"/>
    <n v="1"/>
    <n v="151"/>
    <n v="152"/>
    <x v="1"/>
    <x v="0"/>
    <s v="Evening"/>
    <s v="February"/>
    <s v="Spring"/>
    <n v="0.22929155386993369"/>
    <n v="-0.25435329828790432"/>
    <n v="0.10399668008577614"/>
    <n v="0.36604748519325236"/>
  </r>
  <r>
    <n v="873"/>
    <d v="2011-02-08T00:00:00"/>
    <x v="0"/>
    <n v="0"/>
    <n v="2"/>
    <n v="19"/>
    <b v="0"/>
    <n v="2"/>
    <n v="1"/>
    <x v="13"/>
    <x v="16"/>
    <n v="0.4"/>
    <x v="17"/>
    <n v="1"/>
    <n v="100"/>
    <n v="101"/>
    <x v="1"/>
    <x v="0"/>
    <s v="Evening"/>
    <s v="February"/>
    <s v="Spring"/>
    <n v="0.22929155386993369"/>
    <n v="-0.25435329828790432"/>
    <n v="0.10399668008577614"/>
    <n v="0.36604748519325236"/>
  </r>
  <r>
    <n v="874"/>
    <d v="2011-02-08T00:00:00"/>
    <x v="0"/>
    <n v="0"/>
    <n v="2"/>
    <n v="20"/>
    <b v="0"/>
    <n v="2"/>
    <n v="1"/>
    <x v="13"/>
    <x v="14"/>
    <n v="0.4"/>
    <x v="9"/>
    <n v="3"/>
    <n v="53"/>
    <n v="56"/>
    <x v="1"/>
    <x v="0"/>
    <s v="Evening"/>
    <s v="February"/>
    <s v="Spring"/>
    <n v="0.22929155386993369"/>
    <n v="-0.25435329828790432"/>
    <n v="0.10399668008577614"/>
    <n v="0.36604748519325236"/>
  </r>
  <r>
    <n v="875"/>
    <d v="2011-02-08T00:00:00"/>
    <x v="0"/>
    <n v="0"/>
    <n v="2"/>
    <n v="21"/>
    <b v="0"/>
    <n v="2"/>
    <n v="1"/>
    <x v="14"/>
    <x v="15"/>
    <n v="0.33"/>
    <x v="17"/>
    <n v="8"/>
    <n v="46"/>
    <n v="54"/>
    <x v="1"/>
    <x v="0"/>
    <s v="Night"/>
    <s v="February"/>
    <s v="Spring"/>
    <n v="0.22929155386993369"/>
    <n v="-0.25435329828790432"/>
    <n v="0.10399668008577614"/>
    <n v="0.36604748519325236"/>
  </r>
  <r>
    <n v="876"/>
    <d v="2011-02-08T00:00:00"/>
    <x v="0"/>
    <n v="0"/>
    <n v="2"/>
    <n v="22"/>
    <b v="0"/>
    <n v="2"/>
    <n v="1"/>
    <x v="16"/>
    <x v="15"/>
    <n v="0.33"/>
    <x v="11"/>
    <n v="0"/>
    <n v="29"/>
    <n v="29"/>
    <x v="1"/>
    <x v="0"/>
    <s v="Night"/>
    <s v="February"/>
    <s v="Spring"/>
    <n v="0.22929155386993369"/>
    <n v="-0.25435329828790432"/>
    <n v="0.10399668008577614"/>
    <n v="0.36604748519325236"/>
  </r>
  <r>
    <n v="877"/>
    <d v="2011-02-08T00:00:00"/>
    <x v="0"/>
    <n v="0"/>
    <n v="2"/>
    <n v="23"/>
    <b v="0"/>
    <n v="2"/>
    <n v="1"/>
    <x v="16"/>
    <x v="15"/>
    <n v="0.33"/>
    <x v="9"/>
    <n v="3"/>
    <n v="9"/>
    <n v="12"/>
    <x v="1"/>
    <x v="0"/>
    <s v="Night"/>
    <s v="February"/>
    <s v="Spring"/>
    <n v="0.22929155386993369"/>
    <n v="-0.25435329828790432"/>
    <n v="0.10399668008577614"/>
    <n v="0.36604748519325236"/>
  </r>
  <r>
    <n v="878"/>
    <d v="2011-02-09T00:00:00"/>
    <x v="0"/>
    <n v="0"/>
    <n v="2"/>
    <n v="0"/>
    <b v="0"/>
    <n v="3"/>
    <n v="1"/>
    <x v="18"/>
    <x v="23"/>
    <n v="0.36"/>
    <x v="11"/>
    <n v="0"/>
    <n v="17"/>
    <n v="17"/>
    <x v="1"/>
    <x v="0"/>
    <s v="Night"/>
    <s v="February"/>
    <s v="Spring"/>
    <n v="0.22929155386993369"/>
    <n v="-0.25435329828790432"/>
    <n v="0.10399668008577614"/>
    <n v="0.36604748519325236"/>
  </r>
  <r>
    <n v="879"/>
    <d v="2011-02-09T00:00:00"/>
    <x v="0"/>
    <n v="0"/>
    <n v="2"/>
    <n v="1"/>
    <b v="0"/>
    <n v="3"/>
    <n v="1"/>
    <x v="18"/>
    <x v="15"/>
    <n v="0.36"/>
    <x v="6"/>
    <n v="0"/>
    <n v="7"/>
    <n v="7"/>
    <x v="1"/>
    <x v="0"/>
    <s v="Night"/>
    <s v="February"/>
    <s v="Spring"/>
    <n v="0.22929155386993369"/>
    <n v="-0.25435329828790432"/>
    <n v="0.10399668008577614"/>
    <n v="0.36604748519325236"/>
  </r>
  <r>
    <n v="880"/>
    <d v="2011-02-09T00:00:00"/>
    <x v="0"/>
    <n v="0"/>
    <n v="2"/>
    <n v="2"/>
    <b v="0"/>
    <n v="3"/>
    <n v="1"/>
    <x v="19"/>
    <x v="23"/>
    <n v="0.38"/>
    <x v="3"/>
    <n v="1"/>
    <n v="2"/>
    <n v="3"/>
    <x v="1"/>
    <x v="0"/>
    <s v="Night"/>
    <s v="February"/>
    <s v="Spring"/>
    <n v="0.22929155386993369"/>
    <n v="-0.25435329828790432"/>
    <n v="0.10399668008577614"/>
    <n v="0.36604748519325236"/>
  </r>
  <r>
    <n v="881"/>
    <d v="2011-02-09T00:00:00"/>
    <x v="0"/>
    <n v="0"/>
    <n v="2"/>
    <n v="3"/>
    <b v="0"/>
    <n v="3"/>
    <n v="1"/>
    <x v="20"/>
    <x v="23"/>
    <n v="0.45"/>
    <x v="7"/>
    <n v="0"/>
    <n v="2"/>
    <n v="2"/>
    <x v="1"/>
    <x v="0"/>
    <s v="Night"/>
    <s v="February"/>
    <s v="Spring"/>
    <n v="0.22929155386993369"/>
    <n v="-0.25435329828790432"/>
    <n v="0.10399668008577614"/>
    <n v="0.36604748519325236"/>
  </r>
  <r>
    <n v="882"/>
    <d v="2011-02-09T00:00:00"/>
    <x v="0"/>
    <n v="0"/>
    <n v="2"/>
    <n v="5"/>
    <b v="0"/>
    <n v="3"/>
    <n v="1"/>
    <x v="20"/>
    <x v="15"/>
    <n v="0.45"/>
    <x v="14"/>
    <n v="0"/>
    <n v="7"/>
    <n v="7"/>
    <x v="1"/>
    <x v="0"/>
    <s v="Night"/>
    <s v="February"/>
    <s v="Spring"/>
    <n v="0.22929155386993369"/>
    <n v="-0.25435329828790432"/>
    <n v="0.10399668008577614"/>
    <n v="0.36604748519325236"/>
  </r>
  <r>
    <n v="883"/>
    <d v="2011-02-09T00:00:00"/>
    <x v="0"/>
    <n v="0"/>
    <n v="2"/>
    <n v="6"/>
    <b v="0"/>
    <n v="3"/>
    <n v="1"/>
    <x v="20"/>
    <x v="20"/>
    <n v="0.45"/>
    <x v="0"/>
    <n v="0"/>
    <n v="43"/>
    <n v="43"/>
    <x v="1"/>
    <x v="0"/>
    <s v="Morning"/>
    <s v="February"/>
    <s v="Spring"/>
    <n v="0.22929155386993369"/>
    <n v="-0.25435329828790432"/>
    <n v="0.10399668008577614"/>
    <n v="0.36604748519325236"/>
  </r>
  <r>
    <n v="884"/>
    <d v="2011-02-09T00:00:00"/>
    <x v="0"/>
    <n v="0"/>
    <n v="2"/>
    <n v="7"/>
    <b v="0"/>
    <n v="3"/>
    <n v="1"/>
    <x v="20"/>
    <x v="15"/>
    <n v="0.49"/>
    <x v="14"/>
    <n v="4"/>
    <n v="95"/>
    <n v="99"/>
    <x v="1"/>
    <x v="0"/>
    <s v="Morning"/>
    <s v="February"/>
    <s v="Spring"/>
    <n v="0.22929155386993369"/>
    <n v="-0.25435329828790432"/>
    <n v="0.10399668008577614"/>
    <n v="0.36604748519325236"/>
  </r>
  <r>
    <n v="885"/>
    <d v="2011-02-09T00:00:00"/>
    <x v="0"/>
    <n v="0"/>
    <n v="2"/>
    <n v="8"/>
    <b v="0"/>
    <n v="3"/>
    <n v="1"/>
    <x v="18"/>
    <x v="14"/>
    <n v="0.42"/>
    <x v="0"/>
    <n v="1"/>
    <n v="198"/>
    <n v="199"/>
    <x v="1"/>
    <x v="0"/>
    <s v="Morning"/>
    <s v="February"/>
    <s v="Spring"/>
    <n v="0.22929155386993369"/>
    <n v="-0.25435329828790432"/>
    <n v="0.10399668008577614"/>
    <n v="0.36604748519325236"/>
  </r>
  <r>
    <n v="886"/>
    <d v="2011-02-09T00:00:00"/>
    <x v="0"/>
    <n v="0"/>
    <n v="2"/>
    <n v="9"/>
    <b v="0"/>
    <n v="3"/>
    <n v="1"/>
    <x v="16"/>
    <x v="14"/>
    <n v="0.39"/>
    <x v="8"/>
    <n v="4"/>
    <n v="119"/>
    <n v="123"/>
    <x v="1"/>
    <x v="0"/>
    <s v="Morning"/>
    <s v="February"/>
    <s v="Spring"/>
    <n v="0.22929155386993369"/>
    <n v="-0.25435329828790432"/>
    <n v="0.10399668008577614"/>
    <n v="0.36604748519325236"/>
  </r>
  <r>
    <n v="887"/>
    <d v="2011-02-09T00:00:00"/>
    <x v="0"/>
    <n v="0"/>
    <n v="2"/>
    <n v="10"/>
    <b v="0"/>
    <n v="3"/>
    <n v="1"/>
    <x v="14"/>
    <x v="18"/>
    <n v="0.36"/>
    <x v="0"/>
    <n v="8"/>
    <n v="51"/>
    <n v="59"/>
    <x v="1"/>
    <x v="0"/>
    <s v="Morning"/>
    <s v="February"/>
    <s v="Spring"/>
    <n v="0.22929155386993369"/>
    <n v="-0.25435329828790432"/>
    <n v="0.10399668008577614"/>
    <n v="0.36604748519325236"/>
  </r>
  <r>
    <n v="888"/>
    <d v="2011-02-09T00:00:00"/>
    <x v="0"/>
    <n v="0"/>
    <n v="2"/>
    <n v="11"/>
    <b v="0"/>
    <n v="3"/>
    <n v="2"/>
    <x v="14"/>
    <x v="20"/>
    <n v="0.43"/>
    <x v="8"/>
    <n v="1"/>
    <n v="40"/>
    <n v="41"/>
    <x v="1"/>
    <x v="1"/>
    <s v="Morning"/>
    <s v="February"/>
    <s v="Spring"/>
    <n v="0.22929155386993369"/>
    <n v="-0.25435329828790432"/>
    <n v="0.10399668008577614"/>
    <n v="0.36604748519325236"/>
  </r>
  <r>
    <n v="889"/>
    <d v="2011-02-09T00:00:00"/>
    <x v="0"/>
    <n v="0"/>
    <n v="2"/>
    <n v="12"/>
    <b v="0"/>
    <n v="3"/>
    <n v="2"/>
    <x v="15"/>
    <x v="18"/>
    <n v="0.4"/>
    <x v="6"/>
    <n v="4"/>
    <n v="57"/>
    <n v="61"/>
    <x v="1"/>
    <x v="1"/>
    <s v="Afternoon"/>
    <s v="February"/>
    <s v="Spring"/>
    <n v="0.22929155386993369"/>
    <n v="-0.25435329828790432"/>
    <n v="0.10399668008577614"/>
    <n v="0.36604748519325236"/>
  </r>
  <r>
    <n v="890"/>
    <d v="2011-02-09T00:00:00"/>
    <x v="0"/>
    <n v="0"/>
    <n v="2"/>
    <n v="13"/>
    <b v="0"/>
    <n v="3"/>
    <n v="1"/>
    <x v="15"/>
    <x v="17"/>
    <n v="0.4"/>
    <x v="2"/>
    <n v="2"/>
    <n v="67"/>
    <n v="69"/>
    <x v="1"/>
    <x v="0"/>
    <s v="Afternoon"/>
    <s v="February"/>
    <s v="Spring"/>
    <n v="0.22929155386993369"/>
    <n v="-0.25435329828790432"/>
    <n v="0.10399668008577614"/>
    <n v="0.36604748519325236"/>
  </r>
  <r>
    <n v="891"/>
    <d v="2011-02-09T00:00:00"/>
    <x v="0"/>
    <n v="0"/>
    <n v="2"/>
    <n v="14"/>
    <b v="0"/>
    <n v="3"/>
    <n v="1"/>
    <x v="2"/>
    <x v="18"/>
    <n v="0.34"/>
    <x v="4"/>
    <n v="2"/>
    <n v="56"/>
    <n v="58"/>
    <x v="1"/>
    <x v="0"/>
    <s v="Afternoon"/>
    <s v="February"/>
    <s v="Spring"/>
    <n v="0.22929155386993369"/>
    <n v="-0.25435329828790432"/>
    <n v="0.10399668008577614"/>
    <n v="0.36604748519325236"/>
  </r>
  <r>
    <n v="892"/>
    <d v="2011-02-09T00:00:00"/>
    <x v="0"/>
    <n v="0"/>
    <n v="2"/>
    <n v="15"/>
    <b v="0"/>
    <n v="3"/>
    <n v="2"/>
    <x v="2"/>
    <x v="18"/>
    <n v="0.34"/>
    <x v="3"/>
    <n v="3"/>
    <n v="61"/>
    <n v="64"/>
    <x v="1"/>
    <x v="1"/>
    <s v="Afternoon"/>
    <s v="February"/>
    <s v="Spring"/>
    <n v="0.22929155386993369"/>
    <n v="-0.25435329828790432"/>
    <n v="0.10399668008577614"/>
    <n v="0.36604748519325236"/>
  </r>
  <r>
    <n v="893"/>
    <d v="2011-02-09T00:00:00"/>
    <x v="0"/>
    <n v="0"/>
    <n v="2"/>
    <n v="16"/>
    <b v="0"/>
    <n v="3"/>
    <n v="2"/>
    <x v="2"/>
    <x v="13"/>
    <n v="0.37"/>
    <x v="2"/>
    <n v="7"/>
    <n v="72"/>
    <n v="79"/>
    <x v="1"/>
    <x v="1"/>
    <s v="Afternoon"/>
    <s v="February"/>
    <s v="Spring"/>
    <n v="0.22929155386993369"/>
    <n v="-0.25435329828790432"/>
    <n v="0.10399668008577614"/>
    <n v="0.36604748519325236"/>
  </r>
  <r>
    <n v="894"/>
    <d v="2011-02-09T00:00:00"/>
    <x v="0"/>
    <n v="0"/>
    <n v="2"/>
    <n v="17"/>
    <b v="0"/>
    <n v="3"/>
    <n v="2"/>
    <x v="2"/>
    <x v="13"/>
    <n v="0.34"/>
    <x v="2"/>
    <n v="9"/>
    <n v="157"/>
    <n v="166"/>
    <x v="1"/>
    <x v="1"/>
    <s v="Evening"/>
    <s v="February"/>
    <s v="Spring"/>
    <n v="0.22929155386993369"/>
    <n v="-0.25435329828790432"/>
    <n v="0.10399668008577614"/>
    <n v="0.36604748519325236"/>
  </r>
  <r>
    <n v="895"/>
    <d v="2011-02-09T00:00:00"/>
    <x v="0"/>
    <n v="0"/>
    <n v="2"/>
    <n v="18"/>
    <b v="0"/>
    <n v="3"/>
    <n v="2"/>
    <x v="15"/>
    <x v="17"/>
    <n v="0.47"/>
    <x v="4"/>
    <n v="2"/>
    <n v="168"/>
    <n v="170"/>
    <x v="1"/>
    <x v="1"/>
    <s v="Evening"/>
    <s v="February"/>
    <s v="Spring"/>
    <n v="0.22929155386993369"/>
    <n v="-0.25435329828790432"/>
    <n v="0.10399668008577614"/>
    <n v="0.36604748519325236"/>
  </r>
  <r>
    <n v="896"/>
    <d v="2011-02-09T00:00:00"/>
    <x v="0"/>
    <n v="0"/>
    <n v="2"/>
    <n v="19"/>
    <b v="0"/>
    <n v="3"/>
    <n v="3"/>
    <x v="14"/>
    <x v="16"/>
    <n v="0.86"/>
    <x v="2"/>
    <n v="1"/>
    <n v="87"/>
    <n v="88"/>
    <x v="1"/>
    <x v="2"/>
    <s v="Evening"/>
    <s v="February"/>
    <s v="Spring"/>
    <n v="0.22929155386993369"/>
    <n v="-0.25435329828790432"/>
    <n v="0.10399668008577614"/>
    <n v="0.36604748519325236"/>
  </r>
  <r>
    <n v="897"/>
    <d v="2011-02-09T00:00:00"/>
    <x v="0"/>
    <n v="0"/>
    <n v="2"/>
    <n v="20"/>
    <b v="0"/>
    <n v="3"/>
    <n v="3"/>
    <x v="14"/>
    <x v="20"/>
    <n v="0.86"/>
    <x v="8"/>
    <n v="0"/>
    <n v="84"/>
    <n v="84"/>
    <x v="1"/>
    <x v="2"/>
    <s v="Evening"/>
    <s v="February"/>
    <s v="Spring"/>
    <n v="0.22929155386993369"/>
    <n v="-0.25435329828790432"/>
    <n v="0.10399668008577614"/>
    <n v="0.36604748519325236"/>
  </r>
  <r>
    <n v="898"/>
    <d v="2011-02-09T00:00:00"/>
    <x v="0"/>
    <n v="0"/>
    <n v="2"/>
    <n v="21"/>
    <b v="0"/>
    <n v="3"/>
    <n v="2"/>
    <x v="14"/>
    <x v="20"/>
    <n v="0.86"/>
    <x v="8"/>
    <n v="0"/>
    <n v="83"/>
    <n v="83"/>
    <x v="1"/>
    <x v="1"/>
    <s v="Night"/>
    <s v="February"/>
    <s v="Spring"/>
    <n v="0.22929155386993369"/>
    <n v="-0.25435329828790432"/>
    <n v="0.10399668008577614"/>
    <n v="0.36604748519325236"/>
  </r>
  <r>
    <n v="899"/>
    <d v="2011-02-09T00:00:00"/>
    <x v="0"/>
    <n v="0"/>
    <n v="2"/>
    <n v="22"/>
    <b v="0"/>
    <n v="3"/>
    <n v="3"/>
    <x v="13"/>
    <x v="17"/>
    <n v="0.8"/>
    <x v="8"/>
    <n v="4"/>
    <n v="42"/>
    <n v="46"/>
    <x v="1"/>
    <x v="2"/>
    <s v="Night"/>
    <s v="February"/>
    <s v="Spring"/>
    <n v="0.22929155386993369"/>
    <n v="-0.25435329828790432"/>
    <n v="0.10399668008577614"/>
    <n v="0.36604748519325236"/>
  </r>
  <r>
    <n v="900"/>
    <d v="2011-02-09T00:00:00"/>
    <x v="0"/>
    <n v="0"/>
    <n v="2"/>
    <n v="23"/>
    <b v="0"/>
    <n v="3"/>
    <n v="3"/>
    <x v="13"/>
    <x v="20"/>
    <n v="0.8"/>
    <x v="5"/>
    <n v="0"/>
    <n v="37"/>
    <n v="37"/>
    <x v="1"/>
    <x v="2"/>
    <s v="Night"/>
    <s v="February"/>
    <s v="Spring"/>
    <n v="0.22929155386993369"/>
    <n v="-0.25435329828790432"/>
    <n v="0.10399668008577614"/>
    <n v="0.36604748519325236"/>
  </r>
  <r>
    <n v="901"/>
    <d v="2011-02-10T00:00:00"/>
    <x v="0"/>
    <n v="0"/>
    <n v="2"/>
    <n v="0"/>
    <b v="0"/>
    <n v="4"/>
    <n v="3"/>
    <x v="14"/>
    <x v="14"/>
    <n v="0.86"/>
    <x v="5"/>
    <n v="0"/>
    <n v="16"/>
    <n v="16"/>
    <x v="1"/>
    <x v="2"/>
    <s v="Night"/>
    <s v="February"/>
    <s v="Spring"/>
    <n v="0.22929155386993369"/>
    <n v="-0.25435329828790432"/>
    <n v="0.10399668008577614"/>
    <n v="0.36604748519325236"/>
  </r>
  <r>
    <n v="902"/>
    <d v="2011-02-10T00:00:00"/>
    <x v="0"/>
    <n v="0"/>
    <n v="2"/>
    <n v="1"/>
    <b v="0"/>
    <n v="4"/>
    <n v="3"/>
    <x v="14"/>
    <x v="20"/>
    <n v="0.8"/>
    <x v="7"/>
    <n v="0"/>
    <n v="7"/>
    <n v="7"/>
    <x v="1"/>
    <x v="2"/>
    <s v="Night"/>
    <s v="February"/>
    <s v="Spring"/>
    <n v="0.22929155386993369"/>
    <n v="-0.25435329828790432"/>
    <n v="0.10399668008577614"/>
    <n v="0.36604748519325236"/>
  </r>
  <r>
    <n v="903"/>
    <d v="2011-02-10T00:00:00"/>
    <x v="0"/>
    <n v="0"/>
    <n v="2"/>
    <n v="2"/>
    <b v="0"/>
    <n v="4"/>
    <n v="3"/>
    <x v="14"/>
    <x v="20"/>
    <n v="0.8"/>
    <x v="7"/>
    <n v="0"/>
    <n v="3"/>
    <n v="3"/>
    <x v="1"/>
    <x v="2"/>
    <s v="Night"/>
    <s v="February"/>
    <s v="Spring"/>
    <n v="0.22929155386993369"/>
    <n v="-0.25435329828790432"/>
    <n v="0.10399668008577614"/>
    <n v="0.36604748519325236"/>
  </r>
  <r>
    <n v="904"/>
    <d v="2011-02-10T00:00:00"/>
    <x v="0"/>
    <n v="0"/>
    <n v="2"/>
    <n v="4"/>
    <b v="0"/>
    <n v="4"/>
    <n v="2"/>
    <x v="14"/>
    <x v="14"/>
    <n v="0.59"/>
    <x v="6"/>
    <n v="0"/>
    <n v="1"/>
    <n v="1"/>
    <x v="1"/>
    <x v="1"/>
    <s v="Night"/>
    <s v="February"/>
    <s v="Spring"/>
    <n v="0.22929155386993369"/>
    <n v="-0.25435329828790432"/>
    <n v="0.10399668008577614"/>
    <n v="0.36604748519325236"/>
  </r>
  <r>
    <n v="905"/>
    <d v="2011-02-10T00:00:00"/>
    <x v="0"/>
    <n v="0"/>
    <n v="2"/>
    <n v="5"/>
    <b v="0"/>
    <n v="4"/>
    <n v="2"/>
    <x v="16"/>
    <x v="16"/>
    <n v="0.5"/>
    <x v="6"/>
    <n v="0"/>
    <n v="6"/>
    <n v="6"/>
    <x v="1"/>
    <x v="1"/>
    <s v="Night"/>
    <s v="February"/>
    <s v="Spring"/>
    <n v="0.22929155386993369"/>
    <n v="-0.25435329828790432"/>
    <n v="0.10399668008577614"/>
    <n v="0.36604748519325236"/>
  </r>
  <r>
    <n v="906"/>
    <d v="2011-02-10T00:00:00"/>
    <x v="0"/>
    <n v="0"/>
    <n v="2"/>
    <n v="6"/>
    <b v="0"/>
    <n v="4"/>
    <n v="2"/>
    <x v="16"/>
    <x v="16"/>
    <n v="0.54"/>
    <x v="3"/>
    <n v="0"/>
    <n v="26"/>
    <n v="26"/>
    <x v="1"/>
    <x v="1"/>
    <s v="Morning"/>
    <s v="February"/>
    <s v="Spring"/>
    <n v="0.22929155386993369"/>
    <n v="-0.25435329828790432"/>
    <n v="0.10399668008577614"/>
    <n v="0.36604748519325236"/>
  </r>
  <r>
    <n v="907"/>
    <d v="2011-02-10T00:00:00"/>
    <x v="0"/>
    <n v="0"/>
    <n v="2"/>
    <n v="7"/>
    <b v="0"/>
    <n v="4"/>
    <n v="1"/>
    <x v="18"/>
    <x v="23"/>
    <n v="0.5"/>
    <x v="12"/>
    <n v="0"/>
    <n v="99"/>
    <n v="99"/>
    <x v="1"/>
    <x v="0"/>
    <s v="Morning"/>
    <s v="February"/>
    <s v="Spring"/>
    <n v="0.22929155386993369"/>
    <n v="-0.25435329828790432"/>
    <n v="0.10399668008577614"/>
    <n v="0.36604748519325236"/>
  </r>
  <r>
    <n v="908"/>
    <d v="2011-02-10T00:00:00"/>
    <x v="0"/>
    <n v="0"/>
    <n v="2"/>
    <n v="8"/>
    <b v="0"/>
    <n v="4"/>
    <n v="1"/>
    <x v="18"/>
    <x v="23"/>
    <n v="0.49"/>
    <x v="9"/>
    <n v="5"/>
    <n v="173"/>
    <n v="178"/>
    <x v="1"/>
    <x v="0"/>
    <s v="Morning"/>
    <s v="February"/>
    <s v="Spring"/>
    <n v="0.22929155386993369"/>
    <n v="-0.25435329828790432"/>
    <n v="0.10399668008577614"/>
    <n v="0.36604748519325236"/>
  </r>
  <r>
    <n v="909"/>
    <d v="2011-02-10T00:00:00"/>
    <x v="0"/>
    <n v="0"/>
    <n v="2"/>
    <n v="9"/>
    <b v="0"/>
    <n v="4"/>
    <n v="1"/>
    <x v="16"/>
    <x v="15"/>
    <n v="0.42"/>
    <x v="11"/>
    <n v="1"/>
    <n v="121"/>
    <n v="122"/>
    <x v="1"/>
    <x v="0"/>
    <s v="Morning"/>
    <s v="February"/>
    <s v="Spring"/>
    <n v="0.22929155386993369"/>
    <n v="-0.25435329828790432"/>
    <n v="0.10399668008577614"/>
    <n v="0.36604748519325236"/>
  </r>
  <r>
    <n v="910"/>
    <d v="2011-02-10T00:00:00"/>
    <x v="0"/>
    <n v="0"/>
    <n v="2"/>
    <n v="10"/>
    <b v="0"/>
    <n v="4"/>
    <n v="1"/>
    <x v="16"/>
    <x v="15"/>
    <n v="0.42"/>
    <x v="4"/>
    <n v="1"/>
    <n v="34"/>
    <n v="35"/>
    <x v="1"/>
    <x v="0"/>
    <s v="Morning"/>
    <s v="February"/>
    <s v="Spring"/>
    <n v="0.22929155386993369"/>
    <n v="-0.25435329828790432"/>
    <n v="0.10399668008577614"/>
    <n v="0.36604748519325236"/>
  </r>
  <r>
    <n v="911"/>
    <d v="2011-02-10T00:00:00"/>
    <x v="0"/>
    <n v="0"/>
    <n v="2"/>
    <n v="11"/>
    <b v="0"/>
    <n v="4"/>
    <n v="1"/>
    <x v="14"/>
    <x v="16"/>
    <n v="0.39"/>
    <x v="11"/>
    <n v="1"/>
    <n v="44"/>
    <n v="45"/>
    <x v="1"/>
    <x v="0"/>
    <s v="Morning"/>
    <s v="February"/>
    <s v="Spring"/>
    <n v="0.22929155386993369"/>
    <n v="-0.25435329828790432"/>
    <n v="0.10399668008577614"/>
    <n v="0.36604748519325236"/>
  </r>
  <r>
    <n v="912"/>
    <d v="2011-02-10T00:00:00"/>
    <x v="0"/>
    <n v="0"/>
    <n v="2"/>
    <n v="12"/>
    <b v="0"/>
    <n v="4"/>
    <n v="1"/>
    <x v="13"/>
    <x v="14"/>
    <n v="0.34"/>
    <x v="13"/>
    <n v="4"/>
    <n v="65"/>
    <n v="69"/>
    <x v="1"/>
    <x v="0"/>
    <s v="Afternoon"/>
    <s v="February"/>
    <s v="Spring"/>
    <n v="0.22929155386993369"/>
    <n v="-0.25435329828790432"/>
    <n v="0.10399668008577614"/>
    <n v="0.36604748519325236"/>
  </r>
  <r>
    <n v="913"/>
    <d v="2011-02-10T00:00:00"/>
    <x v="0"/>
    <n v="0"/>
    <n v="2"/>
    <n v="13"/>
    <b v="0"/>
    <n v="4"/>
    <n v="1"/>
    <x v="15"/>
    <x v="17"/>
    <n v="0.28999999999999998"/>
    <x v="4"/>
    <n v="3"/>
    <n v="59"/>
    <n v="62"/>
    <x v="1"/>
    <x v="0"/>
    <s v="Afternoon"/>
    <s v="February"/>
    <s v="Spring"/>
    <n v="0.22929155386993369"/>
    <n v="-0.25435329828790432"/>
    <n v="0.10399668008577614"/>
    <n v="0.36604748519325236"/>
  </r>
  <r>
    <n v="914"/>
    <d v="2011-02-10T00:00:00"/>
    <x v="0"/>
    <n v="0"/>
    <n v="2"/>
    <n v="14"/>
    <b v="0"/>
    <n v="4"/>
    <n v="1"/>
    <x v="2"/>
    <x v="18"/>
    <n v="0.27"/>
    <x v="3"/>
    <n v="6"/>
    <n v="42"/>
    <n v="48"/>
    <x v="1"/>
    <x v="0"/>
    <s v="Afternoon"/>
    <s v="February"/>
    <s v="Spring"/>
    <n v="0.22929155386993369"/>
    <n v="-0.25435329828790432"/>
    <n v="0.10399668008577614"/>
    <n v="0.36604748519325236"/>
  </r>
  <r>
    <n v="915"/>
    <d v="2011-02-10T00:00:00"/>
    <x v="0"/>
    <n v="0"/>
    <n v="2"/>
    <n v="15"/>
    <b v="0"/>
    <n v="4"/>
    <n v="1"/>
    <x v="2"/>
    <x v="13"/>
    <n v="0.25"/>
    <x v="2"/>
    <n v="0"/>
    <n v="50"/>
    <n v="50"/>
    <x v="1"/>
    <x v="0"/>
    <s v="Afternoon"/>
    <s v="February"/>
    <s v="Spring"/>
    <n v="0.22929155386993369"/>
    <n v="-0.25435329828790432"/>
    <n v="0.10399668008577614"/>
    <n v="0.36604748519325236"/>
  </r>
  <r>
    <n v="916"/>
    <d v="2011-02-10T00:00:00"/>
    <x v="0"/>
    <n v="0"/>
    <n v="2"/>
    <n v="16"/>
    <b v="0"/>
    <n v="4"/>
    <n v="1"/>
    <x v="2"/>
    <x v="18"/>
    <n v="0.27"/>
    <x v="4"/>
    <n v="4"/>
    <n v="76"/>
    <n v="80"/>
    <x v="1"/>
    <x v="0"/>
    <s v="Afternoon"/>
    <s v="February"/>
    <s v="Spring"/>
    <n v="0.22929155386993369"/>
    <n v="-0.25435329828790432"/>
    <n v="0.10399668008577614"/>
    <n v="0.36604748519325236"/>
  </r>
  <r>
    <n v="917"/>
    <d v="2011-02-10T00:00:00"/>
    <x v="0"/>
    <n v="0"/>
    <n v="2"/>
    <n v="17"/>
    <b v="0"/>
    <n v="4"/>
    <n v="1"/>
    <x v="15"/>
    <x v="18"/>
    <n v="0.26"/>
    <x v="5"/>
    <n v="6"/>
    <n v="159"/>
    <n v="165"/>
    <x v="1"/>
    <x v="0"/>
    <s v="Evening"/>
    <s v="February"/>
    <s v="Spring"/>
    <n v="0.22929155386993369"/>
    <n v="-0.25435329828790432"/>
    <n v="0.10399668008577614"/>
    <n v="0.36604748519325236"/>
  </r>
  <r>
    <n v="918"/>
    <d v="2011-02-10T00:00:00"/>
    <x v="0"/>
    <n v="0"/>
    <n v="2"/>
    <n v="18"/>
    <b v="0"/>
    <n v="4"/>
    <n v="1"/>
    <x v="13"/>
    <x v="18"/>
    <n v="0.28000000000000003"/>
    <x v="7"/>
    <n v="3"/>
    <n v="157"/>
    <n v="160"/>
    <x v="1"/>
    <x v="0"/>
    <s v="Evening"/>
    <s v="February"/>
    <s v="Spring"/>
    <n v="0.22929155386993369"/>
    <n v="-0.25435329828790432"/>
    <n v="0.10399668008577614"/>
    <n v="0.36604748519325236"/>
  </r>
  <r>
    <n v="919"/>
    <d v="2011-02-10T00:00:00"/>
    <x v="0"/>
    <n v="0"/>
    <n v="2"/>
    <n v="19"/>
    <b v="0"/>
    <n v="4"/>
    <n v="1"/>
    <x v="14"/>
    <x v="17"/>
    <n v="0.28000000000000003"/>
    <x v="14"/>
    <n v="2"/>
    <n v="110"/>
    <n v="112"/>
    <x v="1"/>
    <x v="0"/>
    <s v="Evening"/>
    <s v="February"/>
    <s v="Spring"/>
    <n v="0.22929155386993369"/>
    <n v="-0.25435329828790432"/>
    <n v="0.10399668008577614"/>
    <n v="0.36604748519325236"/>
  </r>
  <r>
    <n v="920"/>
    <d v="2011-02-10T00:00:00"/>
    <x v="0"/>
    <n v="0"/>
    <n v="2"/>
    <n v="20"/>
    <b v="0"/>
    <n v="4"/>
    <n v="1"/>
    <x v="14"/>
    <x v="18"/>
    <n v="0.31"/>
    <x v="1"/>
    <n v="4"/>
    <n v="93"/>
    <n v="97"/>
    <x v="1"/>
    <x v="0"/>
    <s v="Evening"/>
    <s v="February"/>
    <s v="Spring"/>
    <n v="0.22929155386993369"/>
    <n v="-0.25435329828790432"/>
    <n v="0.10399668008577614"/>
    <n v="0.36604748519325236"/>
  </r>
  <r>
    <n v="921"/>
    <d v="2011-02-10T00:00:00"/>
    <x v="0"/>
    <n v="0"/>
    <n v="2"/>
    <n v="21"/>
    <b v="0"/>
    <n v="4"/>
    <n v="1"/>
    <x v="14"/>
    <x v="12"/>
    <n v="0.39"/>
    <x v="0"/>
    <n v="2"/>
    <n v="70"/>
    <n v="72"/>
    <x v="1"/>
    <x v="0"/>
    <s v="Night"/>
    <s v="February"/>
    <s v="Spring"/>
    <n v="0.22929155386993369"/>
    <n v="-0.25435329828790432"/>
    <n v="0.10399668008577614"/>
    <n v="0.36604748519325236"/>
  </r>
  <r>
    <n v="922"/>
    <d v="2011-02-10T00:00:00"/>
    <x v="0"/>
    <n v="0"/>
    <n v="2"/>
    <n v="22"/>
    <b v="0"/>
    <n v="4"/>
    <n v="1"/>
    <x v="16"/>
    <x v="13"/>
    <n v="0.39"/>
    <x v="0"/>
    <n v="4"/>
    <n v="47"/>
    <n v="51"/>
    <x v="1"/>
    <x v="0"/>
    <s v="Night"/>
    <s v="February"/>
    <s v="Spring"/>
    <n v="0.22929155386993369"/>
    <n v="-0.25435329828790432"/>
    <n v="0.10399668008577614"/>
    <n v="0.36604748519325236"/>
  </r>
  <r>
    <n v="923"/>
    <d v="2011-02-10T00:00:00"/>
    <x v="0"/>
    <n v="0"/>
    <n v="2"/>
    <n v="23"/>
    <b v="0"/>
    <n v="4"/>
    <n v="1"/>
    <x v="16"/>
    <x v="20"/>
    <n v="0.42"/>
    <x v="14"/>
    <n v="1"/>
    <n v="33"/>
    <n v="34"/>
    <x v="1"/>
    <x v="0"/>
    <s v="Night"/>
    <s v="February"/>
    <s v="Spring"/>
    <n v="0.22929155386993369"/>
    <n v="-0.25435329828790432"/>
    <n v="0.10399668008577614"/>
    <n v="0.36604748519325236"/>
  </r>
  <r>
    <n v="924"/>
    <d v="2011-02-11T00:00:00"/>
    <x v="0"/>
    <n v="0"/>
    <n v="2"/>
    <n v="0"/>
    <b v="0"/>
    <n v="5"/>
    <n v="1"/>
    <x v="18"/>
    <x v="14"/>
    <n v="0.49"/>
    <x v="14"/>
    <n v="2"/>
    <n v="12"/>
    <n v="14"/>
    <x v="1"/>
    <x v="0"/>
    <s v="Night"/>
    <s v="February"/>
    <s v="Spring"/>
    <n v="0.22929155386993369"/>
    <n v="-0.25435329828790432"/>
    <n v="0.10399668008577614"/>
    <n v="0.36604748519325236"/>
  </r>
  <r>
    <n v="925"/>
    <d v="2011-02-11T00:00:00"/>
    <x v="0"/>
    <n v="0"/>
    <n v="2"/>
    <n v="1"/>
    <b v="0"/>
    <n v="5"/>
    <n v="1"/>
    <x v="18"/>
    <x v="14"/>
    <n v="0.54"/>
    <x v="1"/>
    <n v="1"/>
    <n v="6"/>
    <n v="7"/>
    <x v="1"/>
    <x v="0"/>
    <s v="Night"/>
    <s v="February"/>
    <s v="Spring"/>
    <n v="0.22929155386993369"/>
    <n v="-0.25435329828790432"/>
    <n v="0.10399668008577614"/>
    <n v="0.36604748519325236"/>
  </r>
  <r>
    <n v="926"/>
    <d v="2011-02-11T00:00:00"/>
    <x v="0"/>
    <n v="0"/>
    <n v="2"/>
    <n v="2"/>
    <b v="0"/>
    <n v="5"/>
    <n v="1"/>
    <x v="18"/>
    <x v="14"/>
    <n v="0.54"/>
    <x v="1"/>
    <n v="0"/>
    <n v="3"/>
    <n v="3"/>
    <x v="1"/>
    <x v="0"/>
    <s v="Night"/>
    <s v="February"/>
    <s v="Spring"/>
    <n v="0.22929155386993369"/>
    <n v="-0.25435329828790432"/>
    <n v="0.10399668008577614"/>
    <n v="0.36604748519325236"/>
  </r>
  <r>
    <n v="927"/>
    <d v="2011-02-11T00:00:00"/>
    <x v="0"/>
    <n v="0"/>
    <n v="2"/>
    <n v="5"/>
    <b v="0"/>
    <n v="5"/>
    <n v="1"/>
    <x v="19"/>
    <x v="16"/>
    <n v="0.63"/>
    <x v="1"/>
    <n v="0"/>
    <n v="4"/>
    <n v="4"/>
    <x v="1"/>
    <x v="0"/>
    <s v="Night"/>
    <s v="February"/>
    <s v="Spring"/>
    <n v="0.22929155386993369"/>
    <n v="-0.25435329828790432"/>
    <n v="0.10399668008577614"/>
    <n v="0.36604748519325236"/>
  </r>
  <r>
    <n v="928"/>
    <d v="2011-02-11T00:00:00"/>
    <x v="0"/>
    <n v="0"/>
    <n v="2"/>
    <n v="6"/>
    <b v="0"/>
    <n v="5"/>
    <n v="1"/>
    <x v="18"/>
    <x v="18"/>
    <n v="0.68"/>
    <x v="0"/>
    <n v="1"/>
    <n v="23"/>
    <n v="24"/>
    <x v="1"/>
    <x v="0"/>
    <s v="Morning"/>
    <s v="February"/>
    <s v="Spring"/>
    <n v="0.22929155386993369"/>
    <n v="-0.25435329828790432"/>
    <n v="0.10399668008577614"/>
    <n v="0.36604748519325236"/>
  </r>
  <r>
    <n v="929"/>
    <d v="2011-02-11T00:00:00"/>
    <x v="0"/>
    <n v="0"/>
    <n v="2"/>
    <n v="7"/>
    <b v="0"/>
    <n v="5"/>
    <n v="1"/>
    <x v="19"/>
    <x v="17"/>
    <n v="0.73"/>
    <x v="0"/>
    <n v="1"/>
    <n v="73"/>
    <n v="74"/>
    <x v="1"/>
    <x v="0"/>
    <s v="Morning"/>
    <s v="February"/>
    <s v="Spring"/>
    <n v="0.22929155386993369"/>
    <n v="-0.25435329828790432"/>
    <n v="0.10399668008577614"/>
    <n v="0.36604748519325236"/>
  </r>
  <r>
    <n v="930"/>
    <d v="2011-02-11T00:00:00"/>
    <x v="0"/>
    <n v="0"/>
    <n v="2"/>
    <n v="8"/>
    <b v="0"/>
    <n v="5"/>
    <n v="1"/>
    <x v="18"/>
    <x v="16"/>
    <n v="0.74"/>
    <x v="8"/>
    <n v="4"/>
    <n v="212"/>
    <n v="216"/>
    <x v="1"/>
    <x v="0"/>
    <s v="Morning"/>
    <s v="February"/>
    <s v="Spring"/>
    <n v="0.22929155386993369"/>
    <n v="-0.25435329828790432"/>
    <n v="0.10399668008577614"/>
    <n v="0.36604748519325236"/>
  </r>
  <r>
    <n v="931"/>
    <d v="2011-02-11T00:00:00"/>
    <x v="0"/>
    <n v="0"/>
    <n v="2"/>
    <n v="9"/>
    <b v="0"/>
    <n v="5"/>
    <n v="1"/>
    <x v="16"/>
    <x v="16"/>
    <n v="0.74"/>
    <x v="6"/>
    <n v="8"/>
    <n v="132"/>
    <n v="140"/>
    <x v="1"/>
    <x v="0"/>
    <s v="Morning"/>
    <s v="February"/>
    <s v="Spring"/>
    <n v="0.22929155386993369"/>
    <n v="-0.25435329828790432"/>
    <n v="0.10399668008577614"/>
    <n v="0.36604748519325236"/>
  </r>
  <r>
    <n v="932"/>
    <d v="2011-02-11T00:00:00"/>
    <x v="0"/>
    <n v="0"/>
    <n v="2"/>
    <n v="10"/>
    <b v="0"/>
    <n v="5"/>
    <n v="1"/>
    <x v="14"/>
    <x v="14"/>
    <n v="0.69"/>
    <x v="5"/>
    <n v="5"/>
    <n v="39"/>
    <n v="44"/>
    <x v="1"/>
    <x v="0"/>
    <s v="Morning"/>
    <s v="February"/>
    <s v="Spring"/>
    <n v="0.22929155386993369"/>
    <n v="-0.25435329828790432"/>
    <n v="0.10399668008577614"/>
    <n v="0.36604748519325236"/>
  </r>
  <r>
    <n v="933"/>
    <d v="2011-02-11T00:00:00"/>
    <x v="0"/>
    <n v="0"/>
    <n v="2"/>
    <n v="11"/>
    <b v="0"/>
    <n v="5"/>
    <n v="1"/>
    <x v="1"/>
    <x v="11"/>
    <n v="0.47"/>
    <x v="7"/>
    <n v="12"/>
    <n v="52"/>
    <n v="64"/>
    <x v="1"/>
    <x v="0"/>
    <s v="Morning"/>
    <s v="February"/>
    <s v="Spring"/>
    <n v="0.22929155386993369"/>
    <n v="-0.25435329828790432"/>
    <n v="0.10399668008577614"/>
    <n v="0.36604748519325236"/>
  </r>
  <r>
    <n v="934"/>
    <d v="2011-02-11T00:00:00"/>
    <x v="0"/>
    <n v="0"/>
    <n v="2"/>
    <n v="12"/>
    <b v="0"/>
    <n v="5"/>
    <n v="1"/>
    <x v="1"/>
    <x v="11"/>
    <n v="0.47"/>
    <x v="7"/>
    <n v="7"/>
    <n v="64"/>
    <n v="71"/>
    <x v="1"/>
    <x v="0"/>
    <s v="Afternoon"/>
    <s v="February"/>
    <s v="Spring"/>
    <n v="0.22929155386993369"/>
    <n v="-0.25435329828790432"/>
    <n v="0.10399668008577614"/>
    <n v="0.36604748519325236"/>
  </r>
  <r>
    <n v="935"/>
    <d v="2011-02-11T00:00:00"/>
    <x v="0"/>
    <n v="0"/>
    <n v="2"/>
    <n v="13"/>
    <b v="0"/>
    <n v="5"/>
    <n v="1"/>
    <x v="0"/>
    <x v="11"/>
    <n v="0.35"/>
    <x v="5"/>
    <n v="21"/>
    <n v="89"/>
    <n v="110"/>
    <x v="1"/>
    <x v="0"/>
    <s v="Afternoon"/>
    <s v="February"/>
    <s v="Spring"/>
    <n v="0.22929155386993369"/>
    <n v="-0.25435329828790432"/>
    <n v="0.10399668008577614"/>
    <n v="0.36604748519325236"/>
  </r>
  <r>
    <n v="936"/>
    <d v="2011-02-11T00:00:00"/>
    <x v="0"/>
    <n v="0"/>
    <n v="2"/>
    <n v="14"/>
    <b v="0"/>
    <n v="5"/>
    <n v="1"/>
    <x v="11"/>
    <x v="0"/>
    <n v="0.26"/>
    <x v="2"/>
    <n v="17"/>
    <n v="67"/>
    <n v="84"/>
    <x v="1"/>
    <x v="0"/>
    <s v="Afternoon"/>
    <s v="February"/>
    <s v="Spring"/>
    <n v="0.22929155386993369"/>
    <n v="-0.25435329828790432"/>
    <n v="0.10399668008577614"/>
    <n v="0.36604748519325236"/>
  </r>
  <r>
    <n v="937"/>
    <d v="2011-02-11T00:00:00"/>
    <x v="0"/>
    <n v="0"/>
    <n v="2"/>
    <n v="15"/>
    <b v="0"/>
    <n v="5"/>
    <n v="1"/>
    <x v="3"/>
    <x v="21"/>
    <n v="0.21"/>
    <x v="8"/>
    <n v="12"/>
    <n v="62"/>
    <n v="74"/>
    <x v="1"/>
    <x v="0"/>
    <s v="Afternoon"/>
    <s v="February"/>
    <s v="Spring"/>
    <n v="0.22929155386993369"/>
    <n v="-0.25435329828790432"/>
    <n v="0.10399668008577614"/>
    <n v="0.36604748519325236"/>
  </r>
  <r>
    <n v="938"/>
    <d v="2011-02-11T00:00:00"/>
    <x v="0"/>
    <n v="0"/>
    <n v="2"/>
    <n v="16"/>
    <b v="0"/>
    <n v="5"/>
    <n v="1"/>
    <x v="11"/>
    <x v="0"/>
    <n v="0.28000000000000003"/>
    <x v="5"/>
    <n v="14"/>
    <n v="111"/>
    <n v="125"/>
    <x v="1"/>
    <x v="0"/>
    <s v="Afternoon"/>
    <s v="February"/>
    <s v="Spring"/>
    <n v="0.22929155386993369"/>
    <n v="-0.25435329828790432"/>
    <n v="0.10399668008577614"/>
    <n v="0.36604748519325236"/>
  </r>
  <r>
    <n v="939"/>
    <d v="2011-02-11T00:00:00"/>
    <x v="0"/>
    <n v="0"/>
    <n v="2"/>
    <n v="17"/>
    <b v="0"/>
    <n v="5"/>
    <n v="1"/>
    <x v="11"/>
    <x v="6"/>
    <n v="0.24"/>
    <x v="0"/>
    <n v="18"/>
    <n v="193"/>
    <n v="211"/>
    <x v="1"/>
    <x v="0"/>
    <s v="Evening"/>
    <s v="February"/>
    <s v="Spring"/>
    <n v="0.22929155386993369"/>
    <n v="-0.25435329828790432"/>
    <n v="0.10399668008577614"/>
    <n v="0.36604748519325236"/>
  </r>
  <r>
    <n v="940"/>
    <d v="2011-02-11T00:00:00"/>
    <x v="0"/>
    <n v="0"/>
    <n v="2"/>
    <n v="18"/>
    <b v="0"/>
    <n v="5"/>
    <n v="1"/>
    <x v="17"/>
    <x v="21"/>
    <n v="0.28000000000000003"/>
    <x v="0"/>
    <n v="9"/>
    <n v="165"/>
    <n v="174"/>
    <x v="1"/>
    <x v="0"/>
    <s v="Evening"/>
    <s v="February"/>
    <s v="Spring"/>
    <n v="0.22929155386993369"/>
    <n v="-0.25435329828790432"/>
    <n v="0.10399668008577614"/>
    <n v="0.36604748519325236"/>
  </r>
  <r>
    <n v="941"/>
    <d v="2011-02-11T00:00:00"/>
    <x v="0"/>
    <n v="0"/>
    <n v="2"/>
    <n v="19"/>
    <b v="0"/>
    <n v="5"/>
    <n v="1"/>
    <x v="12"/>
    <x v="25"/>
    <n v="0.33"/>
    <x v="0"/>
    <n v="7"/>
    <n v="94"/>
    <n v="101"/>
    <x v="1"/>
    <x v="0"/>
    <s v="Evening"/>
    <s v="February"/>
    <s v="Spring"/>
    <n v="0.22929155386993369"/>
    <n v="-0.25435329828790432"/>
    <n v="0.10399668008577614"/>
    <n v="0.36604748519325236"/>
  </r>
  <r>
    <n v="942"/>
    <d v="2011-02-11T00:00:00"/>
    <x v="0"/>
    <n v="0"/>
    <n v="2"/>
    <n v="20"/>
    <b v="0"/>
    <n v="5"/>
    <n v="1"/>
    <x v="1"/>
    <x v="11"/>
    <n v="0.55000000000000004"/>
    <x v="7"/>
    <n v="2"/>
    <n v="61"/>
    <n v="63"/>
    <x v="1"/>
    <x v="0"/>
    <s v="Evening"/>
    <s v="February"/>
    <s v="Spring"/>
    <n v="0.22929155386993369"/>
    <n v="-0.25435329828790432"/>
    <n v="0.10399668008577614"/>
    <n v="0.36604748519325236"/>
  </r>
  <r>
    <n v="943"/>
    <d v="2011-02-11T00:00:00"/>
    <x v="0"/>
    <n v="0"/>
    <n v="2"/>
    <n v="21"/>
    <b v="0"/>
    <n v="5"/>
    <n v="1"/>
    <x v="2"/>
    <x v="12"/>
    <n v="0.59"/>
    <x v="7"/>
    <n v="1"/>
    <n v="46"/>
    <n v="47"/>
    <x v="1"/>
    <x v="0"/>
    <s v="Night"/>
    <s v="February"/>
    <s v="Spring"/>
    <n v="0.22929155386993369"/>
    <n v="-0.25435329828790432"/>
    <n v="0.10399668008577614"/>
    <n v="0.36604748519325236"/>
  </r>
  <r>
    <n v="944"/>
    <d v="2011-02-11T00:00:00"/>
    <x v="0"/>
    <n v="0"/>
    <n v="2"/>
    <n v="22"/>
    <b v="0"/>
    <n v="5"/>
    <n v="1"/>
    <x v="2"/>
    <x v="11"/>
    <n v="0.64"/>
    <x v="1"/>
    <n v="2"/>
    <n v="41"/>
    <n v="43"/>
    <x v="1"/>
    <x v="0"/>
    <s v="Night"/>
    <s v="February"/>
    <s v="Spring"/>
    <n v="0.22929155386993369"/>
    <n v="-0.25435329828790432"/>
    <n v="0.10399668008577614"/>
    <n v="0.36604748519325236"/>
  </r>
  <r>
    <n v="945"/>
    <d v="2011-02-11T00:00:00"/>
    <x v="0"/>
    <n v="0"/>
    <n v="2"/>
    <n v="23"/>
    <b v="0"/>
    <n v="5"/>
    <n v="1"/>
    <x v="15"/>
    <x v="19"/>
    <n v="0.69"/>
    <x v="0"/>
    <n v="5"/>
    <n v="48"/>
    <n v="53"/>
    <x v="1"/>
    <x v="0"/>
    <s v="Night"/>
    <s v="February"/>
    <s v="Spring"/>
    <n v="0.22929155386993369"/>
    <n v="-0.25435329828790432"/>
    <n v="0.10399668008577614"/>
    <n v="0.36604748519325236"/>
  </r>
  <r>
    <n v="946"/>
    <d v="2011-02-12T00:00:00"/>
    <x v="0"/>
    <n v="0"/>
    <n v="2"/>
    <n v="0"/>
    <b v="0"/>
    <n v="6"/>
    <n v="1"/>
    <x v="13"/>
    <x v="13"/>
    <n v="0.69"/>
    <x v="1"/>
    <n v="3"/>
    <n v="27"/>
    <n v="30"/>
    <x v="0"/>
    <x v="0"/>
    <s v="Night"/>
    <s v="February"/>
    <s v="Spring"/>
    <n v="0.22929155386993369"/>
    <n v="-0.25435329828790432"/>
    <n v="0.10399668008577614"/>
    <n v="0.36604748519325236"/>
  </r>
  <r>
    <n v="947"/>
    <d v="2011-02-12T00:00:00"/>
    <x v="0"/>
    <n v="0"/>
    <n v="2"/>
    <n v="1"/>
    <b v="0"/>
    <n v="6"/>
    <n v="1"/>
    <x v="14"/>
    <x v="12"/>
    <n v="0.86"/>
    <x v="0"/>
    <n v="2"/>
    <n v="22"/>
    <n v="24"/>
    <x v="0"/>
    <x v="0"/>
    <s v="Night"/>
    <s v="February"/>
    <s v="Spring"/>
    <n v="0.22929155386993369"/>
    <n v="-0.25435329828790432"/>
    <n v="0.10399668008577614"/>
    <n v="0.36604748519325236"/>
  </r>
  <r>
    <n v="948"/>
    <d v="2011-02-12T00:00:00"/>
    <x v="0"/>
    <n v="0"/>
    <n v="2"/>
    <n v="2"/>
    <b v="0"/>
    <n v="6"/>
    <n v="1"/>
    <x v="14"/>
    <x v="12"/>
    <n v="0.8"/>
    <x v="0"/>
    <n v="2"/>
    <n v="13"/>
    <n v="15"/>
    <x v="0"/>
    <x v="0"/>
    <s v="Night"/>
    <s v="February"/>
    <s v="Spring"/>
    <n v="0.22929155386993369"/>
    <n v="-0.25435329828790432"/>
    <n v="0.10399668008577614"/>
    <n v="0.36604748519325236"/>
  </r>
  <r>
    <n v="949"/>
    <d v="2011-02-12T00:00:00"/>
    <x v="0"/>
    <n v="0"/>
    <n v="2"/>
    <n v="3"/>
    <b v="0"/>
    <n v="6"/>
    <n v="1"/>
    <x v="16"/>
    <x v="13"/>
    <n v="0.8"/>
    <x v="0"/>
    <n v="3"/>
    <n v="7"/>
    <n v="10"/>
    <x v="0"/>
    <x v="0"/>
    <s v="Night"/>
    <s v="February"/>
    <s v="Spring"/>
    <n v="0.22929155386993369"/>
    <n v="-0.25435329828790432"/>
    <n v="0.10399668008577614"/>
    <n v="0.36604748519325236"/>
  </r>
  <r>
    <n v="950"/>
    <d v="2011-02-12T00:00:00"/>
    <x v="0"/>
    <n v="0"/>
    <n v="2"/>
    <n v="4"/>
    <b v="0"/>
    <n v="6"/>
    <n v="1"/>
    <x v="16"/>
    <x v="17"/>
    <n v="0.74"/>
    <x v="1"/>
    <n v="0"/>
    <n v="4"/>
    <n v="4"/>
    <x v="0"/>
    <x v="0"/>
    <s v="Night"/>
    <s v="February"/>
    <s v="Spring"/>
    <n v="0.22929155386993369"/>
    <n v="-0.25435329828790432"/>
    <n v="0.10399668008577614"/>
    <n v="0.36604748519325236"/>
  </r>
  <r>
    <n v="951"/>
    <d v="2011-02-12T00:00:00"/>
    <x v="0"/>
    <n v="0"/>
    <n v="2"/>
    <n v="5"/>
    <b v="0"/>
    <n v="6"/>
    <n v="1"/>
    <x v="16"/>
    <x v="17"/>
    <n v="0.74"/>
    <x v="1"/>
    <n v="0"/>
    <n v="1"/>
    <n v="1"/>
    <x v="0"/>
    <x v="0"/>
    <s v="Night"/>
    <s v="February"/>
    <s v="Spring"/>
    <n v="0.22929155386993369"/>
    <n v="-0.25435329828790432"/>
    <n v="0.10399668008577614"/>
    <n v="0.36604748519325236"/>
  </r>
  <r>
    <n v="952"/>
    <d v="2011-02-12T00:00:00"/>
    <x v="0"/>
    <n v="0"/>
    <n v="2"/>
    <n v="6"/>
    <b v="0"/>
    <n v="6"/>
    <n v="1"/>
    <x v="16"/>
    <x v="14"/>
    <n v="0.93"/>
    <x v="5"/>
    <n v="1"/>
    <n v="1"/>
    <n v="2"/>
    <x v="0"/>
    <x v="0"/>
    <s v="Morning"/>
    <s v="February"/>
    <s v="Spring"/>
    <n v="0.22929155386993369"/>
    <n v="-0.25435329828790432"/>
    <n v="0.10399668008577614"/>
    <n v="0.36604748519325236"/>
  </r>
  <r>
    <n v="953"/>
    <d v="2011-02-12T00:00:00"/>
    <x v="0"/>
    <n v="0"/>
    <n v="2"/>
    <n v="7"/>
    <b v="0"/>
    <n v="6"/>
    <n v="1"/>
    <x v="16"/>
    <x v="20"/>
    <n v="0.8"/>
    <x v="14"/>
    <n v="2"/>
    <n v="9"/>
    <n v="11"/>
    <x v="0"/>
    <x v="0"/>
    <s v="Morning"/>
    <s v="February"/>
    <s v="Spring"/>
    <n v="0.22929155386993369"/>
    <n v="-0.25435329828790432"/>
    <n v="0.10399668008577614"/>
    <n v="0.36604748519325236"/>
  </r>
  <r>
    <n v="954"/>
    <d v="2011-02-12T00:00:00"/>
    <x v="0"/>
    <n v="0"/>
    <n v="2"/>
    <n v="8"/>
    <b v="0"/>
    <n v="6"/>
    <n v="1"/>
    <x v="14"/>
    <x v="20"/>
    <n v="0.86"/>
    <x v="7"/>
    <n v="2"/>
    <n v="28"/>
    <n v="30"/>
    <x v="0"/>
    <x v="0"/>
    <s v="Morning"/>
    <s v="February"/>
    <s v="Spring"/>
    <n v="0.22929155386993369"/>
    <n v="-0.25435329828790432"/>
    <n v="0.10399668008577614"/>
    <n v="0.36604748519325236"/>
  </r>
  <r>
    <n v="955"/>
    <d v="2011-02-12T00:00:00"/>
    <x v="0"/>
    <n v="0"/>
    <n v="2"/>
    <n v="9"/>
    <b v="0"/>
    <n v="6"/>
    <n v="1"/>
    <x v="13"/>
    <x v="18"/>
    <n v="0.64"/>
    <x v="7"/>
    <n v="5"/>
    <n v="38"/>
    <n v="43"/>
    <x v="0"/>
    <x v="0"/>
    <s v="Morning"/>
    <s v="February"/>
    <s v="Spring"/>
    <n v="0.22929155386993369"/>
    <n v="-0.25435329828790432"/>
    <n v="0.10399668008577614"/>
    <n v="0.36604748519325236"/>
  </r>
  <r>
    <n v="956"/>
    <d v="2011-02-12T00:00:00"/>
    <x v="0"/>
    <n v="0"/>
    <n v="2"/>
    <n v="10"/>
    <b v="0"/>
    <n v="6"/>
    <n v="1"/>
    <x v="1"/>
    <x v="12"/>
    <n v="0.41"/>
    <x v="2"/>
    <n v="13"/>
    <n v="71"/>
    <n v="84"/>
    <x v="0"/>
    <x v="0"/>
    <s v="Morning"/>
    <s v="February"/>
    <s v="Spring"/>
    <n v="0.22929155386993369"/>
    <n v="-0.25435329828790432"/>
    <n v="0.10399668008577614"/>
    <n v="0.36604748519325236"/>
  </r>
  <r>
    <n v="957"/>
    <d v="2011-02-12T00:00:00"/>
    <x v="0"/>
    <n v="0"/>
    <n v="2"/>
    <n v="11"/>
    <b v="0"/>
    <n v="6"/>
    <n v="1"/>
    <x v="11"/>
    <x v="1"/>
    <n v="0.28000000000000003"/>
    <x v="9"/>
    <n v="30"/>
    <n v="84"/>
    <n v="114"/>
    <x v="0"/>
    <x v="0"/>
    <s v="Morning"/>
    <s v="February"/>
    <s v="Spring"/>
    <n v="0.22929155386993369"/>
    <n v="-0.25435329828790432"/>
    <n v="0.10399668008577614"/>
    <n v="0.36604748519325236"/>
  </r>
  <r>
    <n v="958"/>
    <d v="2011-02-12T00:00:00"/>
    <x v="0"/>
    <n v="0"/>
    <n v="2"/>
    <n v="12"/>
    <b v="0"/>
    <n v="6"/>
    <n v="1"/>
    <x v="11"/>
    <x v="1"/>
    <n v="0.39"/>
    <x v="17"/>
    <n v="27"/>
    <n v="93"/>
    <n v="120"/>
    <x v="0"/>
    <x v="0"/>
    <s v="Afternoon"/>
    <s v="February"/>
    <s v="Spring"/>
    <n v="0.22929155386993369"/>
    <n v="-0.25435329828790432"/>
    <n v="0.10399668008577614"/>
    <n v="0.36604748519325236"/>
  </r>
  <r>
    <n v="959"/>
    <d v="2011-02-12T00:00:00"/>
    <x v="0"/>
    <n v="0"/>
    <n v="2"/>
    <n v="13"/>
    <b v="0"/>
    <n v="6"/>
    <n v="1"/>
    <x v="11"/>
    <x v="1"/>
    <n v="0.39"/>
    <x v="12"/>
    <n v="32"/>
    <n v="103"/>
    <n v="135"/>
    <x v="0"/>
    <x v="0"/>
    <s v="Afternoon"/>
    <s v="February"/>
    <s v="Spring"/>
    <n v="0.22929155386993369"/>
    <n v="-0.25435329828790432"/>
    <n v="0.10399668008577614"/>
    <n v="0.36604748519325236"/>
  </r>
  <r>
    <n v="960"/>
    <d v="2011-02-12T00:00:00"/>
    <x v="0"/>
    <n v="0"/>
    <n v="2"/>
    <n v="14"/>
    <b v="0"/>
    <n v="6"/>
    <n v="1"/>
    <x v="10"/>
    <x v="21"/>
    <n v="0.31"/>
    <x v="3"/>
    <n v="30"/>
    <n v="90"/>
    <n v="120"/>
    <x v="0"/>
    <x v="0"/>
    <s v="Afternoon"/>
    <s v="February"/>
    <s v="Spring"/>
    <n v="0.22929155386993369"/>
    <n v="-0.25435329828790432"/>
    <n v="0.10399668008577614"/>
    <n v="0.36604748519325236"/>
  </r>
  <r>
    <n v="961"/>
    <d v="2011-02-12T00:00:00"/>
    <x v="0"/>
    <n v="0"/>
    <n v="2"/>
    <n v="15"/>
    <b v="0"/>
    <n v="6"/>
    <n v="1"/>
    <x v="10"/>
    <x v="25"/>
    <n v="0.28999999999999998"/>
    <x v="12"/>
    <n v="47"/>
    <n v="127"/>
    <n v="174"/>
    <x v="0"/>
    <x v="0"/>
    <s v="Afternoon"/>
    <s v="February"/>
    <s v="Spring"/>
    <n v="0.22929155386993369"/>
    <n v="-0.25435329828790432"/>
    <n v="0.10399668008577614"/>
    <n v="0.36604748519325236"/>
  </r>
  <r>
    <n v="962"/>
    <d v="2011-02-12T00:00:00"/>
    <x v="0"/>
    <n v="0"/>
    <n v="2"/>
    <n v="16"/>
    <b v="0"/>
    <n v="6"/>
    <n v="1"/>
    <x v="10"/>
    <x v="25"/>
    <n v="0.28999999999999998"/>
    <x v="12"/>
    <n v="42"/>
    <n v="103"/>
    <n v="145"/>
    <x v="0"/>
    <x v="0"/>
    <s v="Afternoon"/>
    <s v="February"/>
    <s v="Spring"/>
    <n v="0.22929155386993369"/>
    <n v="-0.25435329828790432"/>
    <n v="0.10399668008577614"/>
    <n v="0.36604748519325236"/>
  </r>
  <r>
    <n v="963"/>
    <d v="2011-02-12T00:00:00"/>
    <x v="0"/>
    <n v="0"/>
    <n v="2"/>
    <n v="17"/>
    <b v="0"/>
    <n v="6"/>
    <n v="1"/>
    <x v="3"/>
    <x v="0"/>
    <n v="0.31"/>
    <x v="18"/>
    <n v="24"/>
    <n v="113"/>
    <n v="137"/>
    <x v="0"/>
    <x v="0"/>
    <s v="Evening"/>
    <s v="February"/>
    <s v="Spring"/>
    <n v="0.22929155386993369"/>
    <n v="-0.25435329828790432"/>
    <n v="0.10399668008577614"/>
    <n v="0.36604748519325236"/>
  </r>
  <r>
    <n v="964"/>
    <d v="2011-02-12T00:00:00"/>
    <x v="0"/>
    <n v="0"/>
    <n v="2"/>
    <n v="18"/>
    <b v="0"/>
    <n v="6"/>
    <n v="1"/>
    <x v="17"/>
    <x v="2"/>
    <n v="0.38"/>
    <x v="9"/>
    <n v="4"/>
    <n v="60"/>
    <n v="64"/>
    <x v="0"/>
    <x v="0"/>
    <s v="Evening"/>
    <s v="February"/>
    <s v="Spring"/>
    <n v="0.22929155386993369"/>
    <n v="-0.25435329828790432"/>
    <n v="0.10399668008577614"/>
    <n v="0.36604748519325236"/>
  </r>
  <r>
    <n v="965"/>
    <d v="2011-02-12T00:00:00"/>
    <x v="0"/>
    <n v="0"/>
    <n v="2"/>
    <n v="19"/>
    <b v="0"/>
    <n v="6"/>
    <n v="1"/>
    <x v="17"/>
    <x v="1"/>
    <n v="0.38"/>
    <x v="8"/>
    <n v="2"/>
    <n v="39"/>
    <n v="41"/>
    <x v="0"/>
    <x v="0"/>
    <s v="Evening"/>
    <s v="February"/>
    <s v="Spring"/>
    <n v="0.22929155386993369"/>
    <n v="-0.25435329828790432"/>
    <n v="0.10399668008577614"/>
    <n v="0.36604748519325236"/>
  </r>
  <r>
    <n v="966"/>
    <d v="2011-02-12T00:00:00"/>
    <x v="0"/>
    <n v="0"/>
    <n v="2"/>
    <n v="20"/>
    <b v="0"/>
    <n v="6"/>
    <n v="1"/>
    <x v="12"/>
    <x v="2"/>
    <n v="0.41"/>
    <x v="6"/>
    <n v="1"/>
    <n v="39"/>
    <n v="40"/>
    <x v="0"/>
    <x v="0"/>
    <s v="Evening"/>
    <s v="February"/>
    <s v="Spring"/>
    <n v="0.22929155386993369"/>
    <n v="-0.25435329828790432"/>
    <n v="0.10399668008577614"/>
    <n v="0.36604748519325236"/>
  </r>
  <r>
    <n v="967"/>
    <d v="2011-02-12T00:00:00"/>
    <x v="0"/>
    <n v="0"/>
    <n v="2"/>
    <n v="21"/>
    <b v="0"/>
    <n v="6"/>
    <n v="1"/>
    <x v="12"/>
    <x v="25"/>
    <n v="0.41"/>
    <x v="0"/>
    <n v="9"/>
    <n v="42"/>
    <n v="51"/>
    <x v="0"/>
    <x v="0"/>
    <s v="Night"/>
    <s v="February"/>
    <s v="Spring"/>
    <n v="0.22929155386993369"/>
    <n v="-0.25435329828790432"/>
    <n v="0.10399668008577614"/>
    <n v="0.36604748519325236"/>
  </r>
  <r>
    <n v="968"/>
    <d v="2011-02-12T00:00:00"/>
    <x v="0"/>
    <n v="0"/>
    <n v="2"/>
    <n v="22"/>
    <b v="0"/>
    <n v="6"/>
    <n v="1"/>
    <x v="0"/>
    <x v="2"/>
    <n v="0.44"/>
    <x v="1"/>
    <n v="6"/>
    <n v="39"/>
    <n v="45"/>
    <x v="0"/>
    <x v="0"/>
    <s v="Night"/>
    <s v="February"/>
    <s v="Spring"/>
    <n v="0.22929155386993369"/>
    <n v="-0.25435329828790432"/>
    <n v="0.10399668008577614"/>
    <n v="0.36604748519325236"/>
  </r>
  <r>
    <n v="969"/>
    <d v="2011-02-12T00:00:00"/>
    <x v="0"/>
    <n v="0"/>
    <n v="2"/>
    <n v="23"/>
    <b v="0"/>
    <n v="6"/>
    <n v="1"/>
    <x v="1"/>
    <x v="11"/>
    <n v="0.51"/>
    <x v="7"/>
    <n v="1"/>
    <n v="31"/>
    <n v="32"/>
    <x v="0"/>
    <x v="0"/>
    <s v="Night"/>
    <s v="February"/>
    <s v="Spring"/>
    <n v="0.22929155386993369"/>
    <n v="-0.25435329828790432"/>
    <n v="0.10399668008577614"/>
    <n v="0.36604748519325236"/>
  </r>
  <r>
    <n v="970"/>
    <d v="2011-02-13T00:00:00"/>
    <x v="0"/>
    <n v="0"/>
    <n v="2"/>
    <n v="0"/>
    <b v="0"/>
    <n v="0"/>
    <n v="1"/>
    <x v="2"/>
    <x v="11"/>
    <n v="0.64"/>
    <x v="14"/>
    <n v="5"/>
    <n v="34"/>
    <n v="39"/>
    <x v="0"/>
    <x v="0"/>
    <s v="Night"/>
    <s v="February"/>
    <s v="Spring"/>
    <n v="0.22929155386993369"/>
    <n v="-0.25435329828790432"/>
    <n v="0.10399668008577614"/>
    <n v="0.36604748519325236"/>
  </r>
  <r>
    <n v="971"/>
    <d v="2011-02-13T00:00:00"/>
    <x v="0"/>
    <n v="0"/>
    <n v="2"/>
    <n v="1"/>
    <b v="0"/>
    <n v="0"/>
    <n v="1"/>
    <x v="2"/>
    <x v="11"/>
    <n v="0.59"/>
    <x v="1"/>
    <n v="1"/>
    <n v="23"/>
    <n v="24"/>
    <x v="0"/>
    <x v="0"/>
    <s v="Night"/>
    <s v="February"/>
    <s v="Spring"/>
    <n v="0.22929155386993369"/>
    <n v="-0.25435329828790432"/>
    <n v="0.10399668008577614"/>
    <n v="0.36604748519325236"/>
  </r>
  <r>
    <n v="972"/>
    <d v="2011-02-13T00:00:00"/>
    <x v="0"/>
    <n v="0"/>
    <n v="2"/>
    <n v="2"/>
    <b v="0"/>
    <n v="0"/>
    <n v="2"/>
    <x v="2"/>
    <x v="11"/>
    <n v="0.75"/>
    <x v="1"/>
    <n v="1"/>
    <n v="19"/>
    <n v="20"/>
    <x v="0"/>
    <x v="1"/>
    <s v="Night"/>
    <s v="February"/>
    <s v="Spring"/>
    <n v="0.22929155386993369"/>
    <n v="-0.25435329828790432"/>
    <n v="0.10399668008577614"/>
    <n v="0.36604748519325236"/>
  </r>
  <r>
    <n v="973"/>
    <d v="2011-02-13T00:00:00"/>
    <x v="0"/>
    <n v="0"/>
    <n v="2"/>
    <n v="3"/>
    <b v="0"/>
    <n v="0"/>
    <n v="2"/>
    <x v="2"/>
    <x v="11"/>
    <n v="0.69"/>
    <x v="14"/>
    <n v="4"/>
    <n v="8"/>
    <n v="12"/>
    <x v="0"/>
    <x v="1"/>
    <s v="Night"/>
    <s v="February"/>
    <s v="Spring"/>
    <n v="0.22929155386993369"/>
    <n v="-0.25435329828790432"/>
    <n v="0.10399668008577614"/>
    <n v="0.36604748519325236"/>
  </r>
  <r>
    <n v="974"/>
    <d v="2011-02-13T00:00:00"/>
    <x v="0"/>
    <n v="0"/>
    <n v="2"/>
    <n v="4"/>
    <b v="0"/>
    <n v="0"/>
    <n v="2"/>
    <x v="2"/>
    <x v="12"/>
    <n v="0.69"/>
    <x v="8"/>
    <n v="0"/>
    <n v="2"/>
    <n v="2"/>
    <x v="0"/>
    <x v="1"/>
    <s v="Night"/>
    <s v="February"/>
    <s v="Spring"/>
    <n v="0.22929155386993369"/>
    <n v="-0.25435329828790432"/>
    <n v="0.10399668008577614"/>
    <n v="0.36604748519325236"/>
  </r>
  <r>
    <n v="975"/>
    <d v="2011-02-13T00:00:00"/>
    <x v="0"/>
    <n v="0"/>
    <n v="2"/>
    <n v="6"/>
    <b v="0"/>
    <n v="0"/>
    <n v="2"/>
    <x v="2"/>
    <x v="12"/>
    <n v="0.69"/>
    <x v="7"/>
    <n v="2"/>
    <n v="3"/>
    <n v="5"/>
    <x v="0"/>
    <x v="1"/>
    <s v="Morning"/>
    <s v="February"/>
    <s v="Spring"/>
    <n v="0.22929155386993369"/>
    <n v="-0.25435329828790432"/>
    <n v="0.10399668008577614"/>
    <n v="0.36604748519325236"/>
  </r>
  <r>
    <n v="976"/>
    <d v="2011-02-13T00:00:00"/>
    <x v="0"/>
    <n v="0"/>
    <n v="2"/>
    <n v="7"/>
    <b v="0"/>
    <n v="0"/>
    <n v="2"/>
    <x v="1"/>
    <x v="1"/>
    <n v="0.55000000000000004"/>
    <x v="0"/>
    <n v="0"/>
    <n v="3"/>
    <n v="3"/>
    <x v="0"/>
    <x v="1"/>
    <s v="Morning"/>
    <s v="February"/>
    <s v="Spring"/>
    <n v="0.22929155386993369"/>
    <n v="-0.25435329828790432"/>
    <n v="0.10399668008577614"/>
    <n v="0.36604748519325236"/>
  </r>
  <r>
    <n v="977"/>
    <d v="2011-02-13T00:00:00"/>
    <x v="0"/>
    <n v="0"/>
    <n v="2"/>
    <n v="8"/>
    <b v="0"/>
    <n v="0"/>
    <n v="2"/>
    <x v="1"/>
    <x v="11"/>
    <n v="0.64"/>
    <x v="5"/>
    <n v="1"/>
    <n v="11"/>
    <n v="12"/>
    <x v="0"/>
    <x v="1"/>
    <s v="Morning"/>
    <s v="February"/>
    <s v="Spring"/>
    <n v="0.22929155386993369"/>
    <n v="-0.25435329828790432"/>
    <n v="0.10399668008577614"/>
    <n v="0.36604748519325236"/>
  </r>
  <r>
    <n v="978"/>
    <d v="2011-02-13T00:00:00"/>
    <x v="0"/>
    <n v="0"/>
    <n v="2"/>
    <n v="9"/>
    <b v="0"/>
    <n v="0"/>
    <n v="2"/>
    <x v="0"/>
    <x v="11"/>
    <n v="0.6"/>
    <x v="6"/>
    <n v="12"/>
    <n v="35"/>
    <n v="47"/>
    <x v="0"/>
    <x v="1"/>
    <s v="Morning"/>
    <s v="February"/>
    <s v="Spring"/>
    <n v="0.22929155386993369"/>
    <n v="-0.25435329828790432"/>
    <n v="0.10399668008577614"/>
    <n v="0.36604748519325236"/>
  </r>
  <r>
    <n v="979"/>
    <d v="2011-02-13T00:00:00"/>
    <x v="0"/>
    <n v="0"/>
    <n v="2"/>
    <n v="10"/>
    <b v="0"/>
    <n v="0"/>
    <n v="1"/>
    <x v="11"/>
    <x v="1"/>
    <n v="0.45"/>
    <x v="9"/>
    <n v="19"/>
    <n v="86"/>
    <n v="105"/>
    <x v="0"/>
    <x v="0"/>
    <s v="Morning"/>
    <s v="February"/>
    <s v="Spring"/>
    <n v="0.22929155386993369"/>
    <n v="-0.25435329828790432"/>
    <n v="0.10399668008577614"/>
    <n v="0.36604748519325236"/>
  </r>
  <r>
    <n v="980"/>
    <d v="2011-02-13T00:00:00"/>
    <x v="0"/>
    <n v="0"/>
    <n v="2"/>
    <n v="11"/>
    <b v="0"/>
    <n v="0"/>
    <n v="1"/>
    <x v="3"/>
    <x v="0"/>
    <n v="0.39"/>
    <x v="10"/>
    <n v="26"/>
    <n v="86"/>
    <n v="112"/>
    <x v="0"/>
    <x v="0"/>
    <s v="Morning"/>
    <s v="February"/>
    <s v="Spring"/>
    <n v="0.22929155386993369"/>
    <n v="-0.25435329828790432"/>
    <n v="0.10399668008577614"/>
    <n v="0.36604748519325236"/>
  </r>
  <r>
    <n v="981"/>
    <d v="2011-02-13T00:00:00"/>
    <x v="0"/>
    <n v="0"/>
    <n v="2"/>
    <n v="12"/>
    <b v="0"/>
    <n v="0"/>
    <n v="1"/>
    <x v="5"/>
    <x v="21"/>
    <n v="0.32"/>
    <x v="17"/>
    <n v="58"/>
    <n v="94"/>
    <n v="152"/>
    <x v="0"/>
    <x v="0"/>
    <s v="Afternoon"/>
    <s v="February"/>
    <s v="Spring"/>
    <n v="0.22929155386993369"/>
    <n v="-0.25435329828790432"/>
    <n v="0.10399668008577614"/>
    <n v="0.36604748519325236"/>
  </r>
  <r>
    <n v="982"/>
    <d v="2011-02-13T00:00:00"/>
    <x v="0"/>
    <n v="0"/>
    <n v="2"/>
    <n v="13"/>
    <b v="0"/>
    <n v="0"/>
    <n v="1"/>
    <x v="4"/>
    <x v="5"/>
    <n v="0.28999999999999998"/>
    <x v="11"/>
    <n v="62"/>
    <n v="92"/>
    <n v="154"/>
    <x v="0"/>
    <x v="0"/>
    <s v="Afternoon"/>
    <s v="February"/>
    <s v="Spring"/>
    <n v="0.22929155386993369"/>
    <n v="-0.25435329828790432"/>
    <n v="0.10399668008577614"/>
    <n v="0.36604748519325236"/>
  </r>
  <r>
    <n v="983"/>
    <d v="2011-02-13T00:00:00"/>
    <x v="0"/>
    <n v="0"/>
    <n v="2"/>
    <n v="14"/>
    <b v="0"/>
    <n v="0"/>
    <n v="2"/>
    <x v="9"/>
    <x v="10"/>
    <n v="0.3"/>
    <x v="12"/>
    <n v="51"/>
    <n v="110"/>
    <n v="161"/>
    <x v="0"/>
    <x v="1"/>
    <s v="Afternoon"/>
    <s v="February"/>
    <s v="Spring"/>
    <n v="0.22929155386993369"/>
    <n v="-0.25435329828790432"/>
    <n v="0.10399668008577614"/>
    <n v="0.36604748519325236"/>
  </r>
  <r>
    <n v="984"/>
    <d v="2011-02-13T00:00:00"/>
    <x v="0"/>
    <n v="0"/>
    <n v="2"/>
    <n v="15"/>
    <b v="0"/>
    <n v="0"/>
    <n v="2"/>
    <x v="9"/>
    <x v="10"/>
    <n v="0.3"/>
    <x v="4"/>
    <n v="40"/>
    <n v="122"/>
    <n v="162"/>
    <x v="0"/>
    <x v="1"/>
    <s v="Afternoon"/>
    <s v="February"/>
    <s v="Spring"/>
    <n v="0.22929155386993369"/>
    <n v="-0.25435329828790432"/>
    <n v="0.10399668008577614"/>
    <n v="0.36604748519325236"/>
  </r>
  <r>
    <n v="985"/>
    <d v="2011-02-13T00:00:00"/>
    <x v="0"/>
    <n v="0"/>
    <n v="2"/>
    <n v="16"/>
    <b v="0"/>
    <n v="0"/>
    <n v="2"/>
    <x v="6"/>
    <x v="7"/>
    <n v="0.28000000000000003"/>
    <x v="9"/>
    <n v="28"/>
    <n v="106"/>
    <n v="134"/>
    <x v="0"/>
    <x v="1"/>
    <s v="Afternoon"/>
    <s v="February"/>
    <s v="Spring"/>
    <n v="0.22929155386993369"/>
    <n v="-0.25435329828790432"/>
    <n v="0.10399668008577614"/>
    <n v="0.36604748519325236"/>
  </r>
  <r>
    <n v="986"/>
    <d v="2011-02-13T00:00:00"/>
    <x v="0"/>
    <n v="0"/>
    <n v="2"/>
    <n v="17"/>
    <b v="0"/>
    <n v="0"/>
    <n v="1"/>
    <x v="6"/>
    <x v="7"/>
    <n v="0.28000000000000003"/>
    <x v="9"/>
    <n v="30"/>
    <n v="95"/>
    <n v="125"/>
    <x v="0"/>
    <x v="0"/>
    <s v="Evening"/>
    <s v="February"/>
    <s v="Spring"/>
    <n v="0.22929155386993369"/>
    <n v="-0.25435329828790432"/>
    <n v="0.10399668008577614"/>
    <n v="0.36604748519325236"/>
  </r>
  <r>
    <n v="987"/>
    <d v="2011-02-13T00:00:00"/>
    <x v="0"/>
    <n v="0"/>
    <n v="2"/>
    <n v="18"/>
    <b v="0"/>
    <n v="0"/>
    <n v="1"/>
    <x v="9"/>
    <x v="10"/>
    <n v="0.32"/>
    <x v="4"/>
    <n v="17"/>
    <n v="78"/>
    <n v="95"/>
    <x v="0"/>
    <x v="0"/>
    <s v="Evening"/>
    <s v="February"/>
    <s v="Spring"/>
    <n v="0.22929155386993369"/>
    <n v="-0.25435329828790432"/>
    <n v="0.10399668008577614"/>
    <n v="0.36604748519325236"/>
  </r>
  <r>
    <n v="988"/>
    <d v="2011-02-13T00:00:00"/>
    <x v="0"/>
    <n v="0"/>
    <n v="2"/>
    <n v="19"/>
    <b v="0"/>
    <n v="0"/>
    <n v="1"/>
    <x v="9"/>
    <x v="10"/>
    <n v="0.35"/>
    <x v="3"/>
    <n v="11"/>
    <n v="50"/>
    <n v="61"/>
    <x v="0"/>
    <x v="0"/>
    <s v="Evening"/>
    <s v="February"/>
    <s v="Spring"/>
    <n v="0.22929155386993369"/>
    <n v="-0.25435329828790432"/>
    <n v="0.10399668008577614"/>
    <n v="0.36604748519325236"/>
  </r>
  <r>
    <n v="989"/>
    <d v="2011-02-13T00:00:00"/>
    <x v="0"/>
    <n v="0"/>
    <n v="2"/>
    <n v="20"/>
    <b v="0"/>
    <n v="0"/>
    <n v="1"/>
    <x v="9"/>
    <x v="10"/>
    <n v="0.35"/>
    <x v="9"/>
    <n v="15"/>
    <n v="32"/>
    <n v="47"/>
    <x v="0"/>
    <x v="0"/>
    <s v="Evening"/>
    <s v="February"/>
    <s v="Spring"/>
    <n v="0.22929155386993369"/>
    <n v="-0.25435329828790432"/>
    <n v="0.10399668008577614"/>
    <n v="0.36604748519325236"/>
  </r>
  <r>
    <n v="990"/>
    <d v="2011-02-13T00:00:00"/>
    <x v="0"/>
    <n v="0"/>
    <n v="2"/>
    <n v="21"/>
    <b v="0"/>
    <n v="0"/>
    <n v="1"/>
    <x v="9"/>
    <x v="10"/>
    <n v="0.35"/>
    <x v="11"/>
    <n v="6"/>
    <n v="45"/>
    <n v="51"/>
    <x v="0"/>
    <x v="0"/>
    <s v="Night"/>
    <s v="February"/>
    <s v="Spring"/>
    <n v="0.22929155386993369"/>
    <n v="-0.25435329828790432"/>
    <n v="0.10399668008577614"/>
    <n v="0.36604748519325236"/>
  </r>
  <r>
    <n v="991"/>
    <d v="2011-02-13T00:00:00"/>
    <x v="0"/>
    <n v="0"/>
    <n v="2"/>
    <n v="22"/>
    <b v="0"/>
    <n v="0"/>
    <n v="1"/>
    <x v="9"/>
    <x v="10"/>
    <n v="0.35"/>
    <x v="4"/>
    <n v="5"/>
    <n v="31"/>
    <n v="36"/>
    <x v="0"/>
    <x v="0"/>
    <s v="Night"/>
    <s v="February"/>
    <s v="Spring"/>
    <n v="0.22929155386993369"/>
    <n v="-0.25435329828790432"/>
    <n v="0.10399668008577614"/>
    <n v="0.36604748519325236"/>
  </r>
  <r>
    <n v="992"/>
    <d v="2011-02-13T00:00:00"/>
    <x v="0"/>
    <n v="0"/>
    <n v="2"/>
    <n v="23"/>
    <b v="0"/>
    <n v="0"/>
    <n v="1"/>
    <x v="9"/>
    <x v="10"/>
    <n v="0.35"/>
    <x v="11"/>
    <n v="3"/>
    <n v="27"/>
    <n v="30"/>
    <x v="0"/>
    <x v="0"/>
    <s v="Night"/>
    <s v="February"/>
    <s v="Spring"/>
    <n v="0.22929155386993369"/>
    <n v="-0.25435329828790432"/>
    <n v="0.10399668008577614"/>
    <n v="0.36604748519325236"/>
  </r>
  <r>
    <n v="993"/>
    <d v="2011-02-14T00:00:00"/>
    <x v="0"/>
    <n v="0"/>
    <n v="2"/>
    <n v="0"/>
    <b v="0"/>
    <n v="1"/>
    <n v="1"/>
    <x v="4"/>
    <x v="5"/>
    <n v="0.37"/>
    <x v="11"/>
    <n v="3"/>
    <n v="8"/>
    <n v="11"/>
    <x v="1"/>
    <x v="0"/>
    <s v="Night"/>
    <s v="February"/>
    <s v="Spring"/>
    <n v="0.22929155386993369"/>
    <n v="-0.25435329828790432"/>
    <n v="0.10399668008577614"/>
    <n v="0.36604748519325236"/>
  </r>
  <r>
    <n v="994"/>
    <d v="2011-02-14T00:00:00"/>
    <x v="0"/>
    <n v="0"/>
    <n v="2"/>
    <n v="1"/>
    <b v="0"/>
    <n v="1"/>
    <n v="1"/>
    <x v="4"/>
    <x v="5"/>
    <n v="0.37"/>
    <x v="11"/>
    <n v="1"/>
    <n v="6"/>
    <n v="7"/>
    <x v="1"/>
    <x v="0"/>
    <s v="Night"/>
    <s v="February"/>
    <s v="Spring"/>
    <n v="0.22929155386993369"/>
    <n v="-0.25435329828790432"/>
    <n v="0.10399668008577614"/>
    <n v="0.36604748519325236"/>
  </r>
  <r>
    <n v="995"/>
    <d v="2011-02-14T00:00:00"/>
    <x v="0"/>
    <n v="0"/>
    <n v="2"/>
    <n v="2"/>
    <b v="0"/>
    <n v="1"/>
    <n v="1"/>
    <x v="5"/>
    <x v="6"/>
    <n v="0.4"/>
    <x v="4"/>
    <n v="0"/>
    <n v="2"/>
    <n v="2"/>
    <x v="1"/>
    <x v="0"/>
    <s v="Night"/>
    <s v="February"/>
    <s v="Spring"/>
    <n v="0.22929155386993369"/>
    <n v="-0.25435329828790432"/>
    <n v="0.10399668008577614"/>
    <n v="0.36604748519325236"/>
  </r>
  <r>
    <n v="996"/>
    <d v="2011-02-14T00:00:00"/>
    <x v="0"/>
    <n v="0"/>
    <n v="2"/>
    <n v="3"/>
    <b v="0"/>
    <n v="1"/>
    <n v="1"/>
    <x v="10"/>
    <x v="21"/>
    <n v="0.46"/>
    <x v="6"/>
    <n v="1"/>
    <n v="1"/>
    <n v="2"/>
    <x v="1"/>
    <x v="0"/>
    <s v="Night"/>
    <s v="February"/>
    <s v="Spring"/>
    <n v="0.22929155386993369"/>
    <n v="-0.25435329828790432"/>
    <n v="0.10399668008577614"/>
    <n v="0.36604748519325236"/>
  </r>
  <r>
    <n v="997"/>
    <d v="2011-02-14T00:00:00"/>
    <x v="0"/>
    <n v="0"/>
    <n v="2"/>
    <n v="4"/>
    <b v="0"/>
    <n v="1"/>
    <n v="1"/>
    <x v="3"/>
    <x v="25"/>
    <n v="0.53"/>
    <x v="3"/>
    <n v="0"/>
    <n v="2"/>
    <n v="2"/>
    <x v="1"/>
    <x v="0"/>
    <s v="Night"/>
    <s v="February"/>
    <s v="Spring"/>
    <n v="0.22929155386993369"/>
    <n v="-0.25435329828790432"/>
    <n v="0.10399668008577614"/>
    <n v="0.36604748519325236"/>
  </r>
  <r>
    <n v="998"/>
    <d v="2011-02-14T00:00:00"/>
    <x v="0"/>
    <n v="0"/>
    <n v="2"/>
    <n v="5"/>
    <b v="0"/>
    <n v="1"/>
    <n v="1"/>
    <x v="3"/>
    <x v="25"/>
    <n v="0.53"/>
    <x v="3"/>
    <n v="0"/>
    <n v="3"/>
    <n v="3"/>
    <x v="1"/>
    <x v="0"/>
    <s v="Night"/>
    <s v="February"/>
    <s v="Spring"/>
    <n v="0.22929155386993369"/>
    <n v="-0.25435329828790432"/>
    <n v="0.10399668008577614"/>
    <n v="0.36604748519325236"/>
  </r>
  <r>
    <n v="999"/>
    <d v="2011-02-14T00:00:00"/>
    <x v="0"/>
    <n v="0"/>
    <n v="2"/>
    <n v="6"/>
    <b v="0"/>
    <n v="1"/>
    <n v="1"/>
    <x v="10"/>
    <x v="25"/>
    <n v="0.46"/>
    <x v="4"/>
    <n v="1"/>
    <n v="25"/>
    <n v="26"/>
    <x v="1"/>
    <x v="0"/>
    <s v="Morning"/>
    <s v="February"/>
    <s v="Spring"/>
    <n v="0.22929155386993369"/>
    <n v="-0.25435329828790432"/>
    <n v="0.10399668008577614"/>
    <n v="0.36604748519325236"/>
  </r>
  <r>
    <n v="1000"/>
    <d v="2011-02-14T00:00:00"/>
    <x v="0"/>
    <n v="0"/>
    <n v="2"/>
    <n v="7"/>
    <b v="0"/>
    <n v="1"/>
    <n v="1"/>
    <x v="10"/>
    <x v="25"/>
    <n v="0.46"/>
    <x v="4"/>
    <n v="2"/>
    <n v="96"/>
    <n v="98"/>
    <x v="1"/>
    <x v="0"/>
    <s v="Morning"/>
    <s v="February"/>
    <s v="Spring"/>
    <n v="0.22929155386993369"/>
    <n v="-0.25435329828790432"/>
    <n v="0.10399668008577614"/>
    <n v="0.36604748519325236"/>
  </r>
  <r>
    <m/>
    <m/>
    <x v="1"/>
    <m/>
    <m/>
    <m/>
    <m/>
    <m/>
    <m/>
    <x v="23"/>
    <x v="31"/>
    <m/>
    <x v="20"/>
    <m/>
    <m/>
    <m/>
    <x v="2"/>
    <x v="4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11-01-01T00:00:00"/>
    <n v="1"/>
    <n v="0"/>
    <x v="0"/>
    <x v="0"/>
    <b v="0"/>
    <n v="6"/>
    <n v="1"/>
    <x v="0"/>
    <n v="0.28789999999999999"/>
    <n v="0.81"/>
    <n v="0"/>
    <n v="3"/>
    <n v="13"/>
    <n v="16"/>
    <x v="0"/>
    <x v="0"/>
    <x v="0"/>
    <x v="0"/>
    <x v="0"/>
    <n v="0.22929155386993369"/>
    <n v="-0.25435329828790432"/>
  </r>
  <r>
    <n v="2"/>
    <d v="2011-01-01T00:00:00"/>
    <n v="1"/>
    <n v="0"/>
    <x v="0"/>
    <x v="1"/>
    <b v="0"/>
    <n v="6"/>
    <n v="1"/>
    <x v="1"/>
    <n v="0.2727"/>
    <n v="0.8"/>
    <n v="0"/>
    <n v="8"/>
    <n v="32"/>
    <n v="40"/>
    <x v="0"/>
    <x v="0"/>
    <x v="0"/>
    <x v="0"/>
    <x v="0"/>
    <n v="0.22929155386993369"/>
    <n v="-0.25435329828790432"/>
  </r>
  <r>
    <n v="3"/>
    <d v="2011-01-01T00:00:00"/>
    <n v="1"/>
    <n v="0"/>
    <x v="0"/>
    <x v="2"/>
    <b v="0"/>
    <n v="6"/>
    <n v="1"/>
    <x v="1"/>
    <n v="0.2727"/>
    <n v="0.8"/>
    <n v="0"/>
    <n v="5"/>
    <n v="27"/>
    <n v="32"/>
    <x v="0"/>
    <x v="0"/>
    <x v="0"/>
    <x v="0"/>
    <x v="0"/>
    <n v="0.22929155386993369"/>
    <n v="-0.25435329828790432"/>
  </r>
  <r>
    <n v="4"/>
    <d v="2011-01-01T00:00:00"/>
    <n v="1"/>
    <n v="0"/>
    <x v="0"/>
    <x v="3"/>
    <b v="0"/>
    <n v="6"/>
    <n v="1"/>
    <x v="0"/>
    <n v="0.28789999999999999"/>
    <n v="0.75"/>
    <n v="0"/>
    <n v="3"/>
    <n v="10"/>
    <n v="13"/>
    <x v="0"/>
    <x v="0"/>
    <x v="0"/>
    <x v="0"/>
    <x v="0"/>
    <n v="0.22929155386993369"/>
    <n v="-0.25435329828790432"/>
  </r>
  <r>
    <n v="5"/>
    <d v="2011-01-01T00:00:00"/>
    <n v="1"/>
    <n v="0"/>
    <x v="0"/>
    <x v="4"/>
    <b v="0"/>
    <n v="6"/>
    <n v="1"/>
    <x v="0"/>
    <n v="0.28789999999999999"/>
    <n v="0.75"/>
    <n v="0"/>
    <n v="0"/>
    <n v="1"/>
    <n v="1"/>
    <x v="0"/>
    <x v="0"/>
    <x v="0"/>
    <x v="0"/>
    <x v="0"/>
    <n v="0.22929155386993369"/>
    <n v="-0.25435329828790432"/>
  </r>
  <r>
    <n v="6"/>
    <d v="2011-01-01T00:00:00"/>
    <n v="1"/>
    <n v="0"/>
    <x v="0"/>
    <x v="5"/>
    <b v="0"/>
    <n v="6"/>
    <n v="2"/>
    <x v="0"/>
    <n v="0.2576"/>
    <n v="0.75"/>
    <n v="8.9599999999999999E-2"/>
    <n v="0"/>
    <n v="1"/>
    <n v="1"/>
    <x v="0"/>
    <x v="1"/>
    <x v="0"/>
    <x v="0"/>
    <x v="0"/>
    <n v="0.22929155386993369"/>
    <n v="-0.25435329828790432"/>
  </r>
  <r>
    <n v="7"/>
    <d v="2011-01-01T00:00:00"/>
    <n v="1"/>
    <n v="0"/>
    <x v="0"/>
    <x v="6"/>
    <b v="0"/>
    <n v="6"/>
    <n v="1"/>
    <x v="1"/>
    <n v="0.2727"/>
    <n v="0.8"/>
    <n v="0"/>
    <n v="2"/>
    <n v="0"/>
    <n v="2"/>
    <x v="0"/>
    <x v="0"/>
    <x v="1"/>
    <x v="0"/>
    <x v="0"/>
    <n v="0.22929155386993369"/>
    <n v="-0.25435329828790432"/>
  </r>
  <r>
    <n v="8"/>
    <d v="2011-01-01T00:00:00"/>
    <n v="1"/>
    <n v="0"/>
    <x v="0"/>
    <x v="7"/>
    <b v="0"/>
    <n v="6"/>
    <n v="1"/>
    <x v="2"/>
    <n v="0.2576"/>
    <n v="0.86"/>
    <n v="0"/>
    <n v="1"/>
    <n v="2"/>
    <n v="3"/>
    <x v="0"/>
    <x v="0"/>
    <x v="1"/>
    <x v="0"/>
    <x v="0"/>
    <n v="0.22929155386993369"/>
    <n v="-0.25435329828790432"/>
  </r>
  <r>
    <n v="9"/>
    <d v="2011-01-01T00:00:00"/>
    <n v="1"/>
    <n v="0"/>
    <x v="0"/>
    <x v="8"/>
    <b v="0"/>
    <n v="6"/>
    <n v="1"/>
    <x v="0"/>
    <n v="0.19993"/>
    <n v="0.75"/>
    <n v="0"/>
    <n v="1"/>
    <n v="7"/>
    <n v="8"/>
    <x v="0"/>
    <x v="0"/>
    <x v="1"/>
    <x v="0"/>
    <x v="0"/>
    <n v="0.22929155386993369"/>
    <n v="-0.25435329828790432"/>
  </r>
  <r>
    <n v="10"/>
    <d v="2011-01-01T00:00:00"/>
    <n v="1"/>
    <n v="0"/>
    <x v="0"/>
    <x v="9"/>
    <b v="0"/>
    <n v="6"/>
    <n v="1"/>
    <x v="3"/>
    <n v="0.34849999999999998"/>
    <n v="0.76"/>
    <n v="0"/>
    <n v="8"/>
    <n v="6"/>
    <n v="14"/>
    <x v="0"/>
    <x v="0"/>
    <x v="1"/>
    <x v="0"/>
    <x v="0"/>
    <n v="0.22929155386993369"/>
    <n v="-0.25435329828790432"/>
  </r>
  <r>
    <n v="11"/>
    <d v="2011-01-01T00:00:00"/>
    <n v="1"/>
    <n v="0"/>
    <x v="0"/>
    <x v="10"/>
    <b v="0"/>
    <n v="6"/>
    <n v="1"/>
    <x v="4"/>
    <n v="0.39389999999999997"/>
    <n v="0.76"/>
    <n v="0.25369999999999998"/>
    <n v="12"/>
    <n v="24"/>
    <n v="36"/>
    <x v="0"/>
    <x v="0"/>
    <x v="1"/>
    <x v="0"/>
    <x v="0"/>
    <n v="0.22929155386993369"/>
    <n v="-0.25435329828790432"/>
  </r>
  <r>
    <n v="12"/>
    <d v="2011-01-01T00:00:00"/>
    <n v="1"/>
    <n v="0"/>
    <x v="0"/>
    <x v="11"/>
    <b v="0"/>
    <n v="6"/>
    <n v="1"/>
    <x v="5"/>
    <n v="0.33329999999999999"/>
    <n v="0.81"/>
    <n v="0.28360000000000002"/>
    <n v="26"/>
    <n v="30"/>
    <n v="56"/>
    <x v="0"/>
    <x v="0"/>
    <x v="1"/>
    <x v="0"/>
    <x v="0"/>
    <n v="0.22929155386993369"/>
    <n v="-0.25435329828790432"/>
  </r>
  <r>
    <n v="13"/>
    <d v="2011-01-01T00:00:00"/>
    <n v="1"/>
    <n v="0"/>
    <x v="0"/>
    <x v="12"/>
    <b v="0"/>
    <n v="6"/>
    <n v="1"/>
    <x v="6"/>
    <n v="0.42420000000000002"/>
    <n v="0.77"/>
    <n v="0.28360000000000002"/>
    <n v="29"/>
    <n v="55"/>
    <n v="84"/>
    <x v="0"/>
    <x v="0"/>
    <x v="2"/>
    <x v="0"/>
    <x v="0"/>
    <n v="0.22929155386993369"/>
    <n v="-0.25435329828790432"/>
  </r>
  <r>
    <n v="14"/>
    <d v="2011-01-01T00:00:00"/>
    <n v="1"/>
    <n v="0"/>
    <x v="0"/>
    <x v="13"/>
    <b v="0"/>
    <n v="6"/>
    <n v="2"/>
    <x v="7"/>
    <n v="0.45450000000000002"/>
    <n v="0.72"/>
    <n v="0.29849999999999999"/>
    <n v="47"/>
    <n v="47"/>
    <n v="94"/>
    <x v="0"/>
    <x v="1"/>
    <x v="2"/>
    <x v="0"/>
    <x v="0"/>
    <n v="0.22929155386993369"/>
    <n v="-0.25435329828790432"/>
  </r>
  <r>
    <n v="15"/>
    <d v="2011-01-01T00:00:00"/>
    <n v="1"/>
    <n v="0"/>
    <x v="0"/>
    <x v="14"/>
    <b v="0"/>
    <n v="6"/>
    <n v="2"/>
    <x v="7"/>
    <n v="0.45450000000000002"/>
    <n v="0.72"/>
    <n v="0.28360000000000002"/>
    <n v="35"/>
    <n v="71"/>
    <n v="106"/>
    <x v="0"/>
    <x v="1"/>
    <x v="2"/>
    <x v="0"/>
    <x v="0"/>
    <n v="0.22929155386993369"/>
    <n v="-0.25435329828790432"/>
  </r>
  <r>
    <n v="16"/>
    <d v="2011-01-01T00:00:00"/>
    <n v="1"/>
    <n v="0"/>
    <x v="0"/>
    <x v="15"/>
    <b v="0"/>
    <n v="6"/>
    <n v="2"/>
    <x v="8"/>
    <n v="0.43940000000000001"/>
    <n v="0.77"/>
    <n v="0.29849999999999999"/>
    <n v="40"/>
    <n v="70"/>
    <n v="110"/>
    <x v="0"/>
    <x v="1"/>
    <x v="2"/>
    <x v="0"/>
    <x v="0"/>
    <n v="0.22929155386993369"/>
    <n v="-0.25435329828790432"/>
  </r>
  <r>
    <n v="17"/>
    <d v="2011-01-01T00:00:00"/>
    <n v="1"/>
    <n v="0"/>
    <x v="0"/>
    <x v="16"/>
    <b v="0"/>
    <n v="6"/>
    <n v="2"/>
    <x v="6"/>
    <n v="0.42420000000000002"/>
    <n v="0.82"/>
    <n v="0.29849999999999999"/>
    <n v="41"/>
    <n v="52"/>
    <n v="93"/>
    <x v="0"/>
    <x v="1"/>
    <x v="2"/>
    <x v="0"/>
    <x v="0"/>
    <n v="0.22929155386993369"/>
    <n v="-0.25435329828790432"/>
  </r>
  <r>
    <n v="18"/>
    <d v="2011-01-01T00:00:00"/>
    <n v="1"/>
    <n v="0"/>
    <x v="0"/>
    <x v="17"/>
    <b v="0"/>
    <n v="6"/>
    <n v="2"/>
    <x v="8"/>
    <n v="0.19993"/>
    <n v="0.82"/>
    <n v="0.28360000000000002"/>
    <n v="15"/>
    <n v="52"/>
    <n v="67"/>
    <x v="0"/>
    <x v="1"/>
    <x v="3"/>
    <x v="0"/>
    <x v="0"/>
    <n v="0.22929155386993369"/>
    <n v="-0.25435329828790432"/>
  </r>
  <r>
    <n v="19"/>
    <d v="2011-01-01T00:00:00"/>
    <n v="1"/>
    <n v="0"/>
    <x v="0"/>
    <x v="18"/>
    <b v="0"/>
    <n v="6"/>
    <n v="3"/>
    <x v="6"/>
    <n v="0.42420000000000002"/>
    <n v="0.88"/>
    <n v="0.25369999999999998"/>
    <n v="9"/>
    <n v="26"/>
    <n v="35"/>
    <x v="0"/>
    <x v="2"/>
    <x v="3"/>
    <x v="0"/>
    <x v="0"/>
    <n v="0.22929155386993369"/>
    <n v="-0.25435329828790432"/>
  </r>
  <r>
    <n v="20"/>
    <d v="2011-01-01T00:00:00"/>
    <n v="1"/>
    <n v="0"/>
    <x v="0"/>
    <x v="19"/>
    <b v="0"/>
    <n v="6"/>
    <n v="3"/>
    <x v="6"/>
    <n v="0.42420000000000002"/>
    <n v="0.88"/>
    <n v="0.25369999999999998"/>
    <n v="6"/>
    <n v="31"/>
    <n v="37"/>
    <x v="0"/>
    <x v="2"/>
    <x v="3"/>
    <x v="0"/>
    <x v="0"/>
    <n v="0.22929155386993369"/>
    <n v="-0.25435329828790432"/>
  </r>
  <r>
    <n v="21"/>
    <d v="2011-01-01T00:00:00"/>
    <n v="1"/>
    <n v="0"/>
    <x v="0"/>
    <x v="20"/>
    <b v="0"/>
    <n v="6"/>
    <n v="2"/>
    <x v="9"/>
    <n v="0.40910000000000002"/>
    <n v="0.87"/>
    <n v="0.25369999999999998"/>
    <n v="11"/>
    <n v="25"/>
    <n v="36"/>
    <x v="0"/>
    <x v="1"/>
    <x v="3"/>
    <x v="0"/>
    <x v="0"/>
    <n v="0.22929155386993369"/>
    <n v="-0.25435329828790432"/>
  </r>
  <r>
    <n v="22"/>
    <d v="2011-01-01T00:00:00"/>
    <n v="1"/>
    <n v="0"/>
    <x v="0"/>
    <x v="21"/>
    <b v="0"/>
    <n v="6"/>
    <n v="2"/>
    <x v="9"/>
    <n v="0.40910000000000002"/>
    <n v="0.87"/>
    <n v="0.19400000000000001"/>
    <n v="3"/>
    <n v="31"/>
    <n v="34"/>
    <x v="0"/>
    <x v="1"/>
    <x v="0"/>
    <x v="0"/>
    <x v="0"/>
    <n v="0.22929155386993369"/>
    <n v="-0.25435329828790432"/>
  </r>
  <r>
    <n v="23"/>
    <d v="2011-01-01T00:00:00"/>
    <n v="1"/>
    <n v="0"/>
    <x v="0"/>
    <x v="22"/>
    <b v="0"/>
    <n v="6"/>
    <n v="2"/>
    <x v="9"/>
    <n v="0.40910000000000002"/>
    <n v="0.94"/>
    <n v="0.22389999999999999"/>
    <n v="11"/>
    <n v="17"/>
    <n v="28"/>
    <x v="0"/>
    <x v="1"/>
    <x v="0"/>
    <x v="0"/>
    <x v="0"/>
    <n v="0.22929155386993369"/>
    <n v="-0.25435329828790432"/>
  </r>
  <r>
    <n v="24"/>
    <d v="2011-01-01T00:00:00"/>
    <n v="1"/>
    <n v="0"/>
    <x v="0"/>
    <x v="23"/>
    <b v="0"/>
    <n v="6"/>
    <n v="2"/>
    <x v="7"/>
    <n v="0.19993"/>
    <n v="0.88"/>
    <n v="0.29849999999999999"/>
    <n v="15"/>
    <n v="24"/>
    <n v="39"/>
    <x v="0"/>
    <x v="1"/>
    <x v="0"/>
    <x v="0"/>
    <x v="0"/>
    <n v="0.22929155386993369"/>
    <n v="-0.25435329828790432"/>
  </r>
  <r>
    <n v="25"/>
    <d v="2011-01-02T00:00:00"/>
    <n v="1"/>
    <n v="0"/>
    <x v="0"/>
    <x v="0"/>
    <b v="0"/>
    <n v="0"/>
    <n v="2"/>
    <x v="7"/>
    <n v="0.45450000000000002"/>
    <n v="0.88"/>
    <n v="0.29849999999999999"/>
    <n v="4"/>
    <n v="13"/>
    <n v="17"/>
    <x v="0"/>
    <x v="1"/>
    <x v="0"/>
    <x v="0"/>
    <x v="0"/>
    <n v="0.22929155386993369"/>
    <n v="-0.25435329828790432"/>
  </r>
  <r>
    <n v="26"/>
    <d v="2011-01-02T00:00:00"/>
    <n v="1"/>
    <n v="0"/>
    <x v="0"/>
    <x v="1"/>
    <b v="0"/>
    <n v="0"/>
    <n v="2"/>
    <x v="8"/>
    <n v="0.43940000000000001"/>
    <n v="0.94"/>
    <n v="0.25369999999999998"/>
    <n v="1"/>
    <n v="16"/>
    <n v="17"/>
    <x v="0"/>
    <x v="1"/>
    <x v="0"/>
    <x v="0"/>
    <x v="0"/>
    <n v="0.22929155386993369"/>
    <n v="-0.25435329828790432"/>
  </r>
  <r>
    <n v="27"/>
    <d v="2011-01-02T00:00:00"/>
    <n v="1"/>
    <n v="0"/>
    <x v="0"/>
    <x v="2"/>
    <b v="0"/>
    <n v="0"/>
    <n v="2"/>
    <x v="6"/>
    <n v="0.42420000000000002"/>
    <n v="1"/>
    <n v="0.28360000000000002"/>
    <n v="1"/>
    <n v="8"/>
    <n v="9"/>
    <x v="0"/>
    <x v="1"/>
    <x v="0"/>
    <x v="0"/>
    <x v="0"/>
    <n v="0.22929155386993369"/>
    <n v="-0.25435329828790432"/>
  </r>
  <r>
    <n v="28"/>
    <d v="2011-01-02T00:00:00"/>
    <n v="1"/>
    <n v="0"/>
    <x v="0"/>
    <x v="3"/>
    <b v="0"/>
    <n v="0"/>
    <n v="2"/>
    <x v="7"/>
    <n v="0.45450000000000002"/>
    <n v="0.94"/>
    <n v="0.19400000000000001"/>
    <n v="2"/>
    <n v="4"/>
    <n v="6"/>
    <x v="0"/>
    <x v="1"/>
    <x v="0"/>
    <x v="0"/>
    <x v="0"/>
    <n v="0.22929155386993369"/>
    <n v="-0.25435329828790432"/>
  </r>
  <r>
    <n v="29"/>
    <d v="2011-01-02T00:00:00"/>
    <n v="1"/>
    <n v="0"/>
    <x v="0"/>
    <x v="4"/>
    <b v="0"/>
    <n v="0"/>
    <n v="2"/>
    <x v="7"/>
    <n v="0.19993"/>
    <n v="0.94"/>
    <n v="0.19400000000000001"/>
    <n v="2"/>
    <n v="1"/>
    <n v="3"/>
    <x v="0"/>
    <x v="1"/>
    <x v="0"/>
    <x v="0"/>
    <x v="0"/>
    <n v="0.22929155386993369"/>
    <n v="-0.25435329828790432"/>
  </r>
  <r>
    <n v="30"/>
    <d v="2011-01-02T00:00:00"/>
    <n v="1"/>
    <n v="0"/>
    <x v="0"/>
    <x v="6"/>
    <b v="0"/>
    <n v="0"/>
    <n v="3"/>
    <x v="6"/>
    <n v="0.42420000000000002"/>
    <n v="0.77"/>
    <n v="0.29849999999999999"/>
    <n v="0"/>
    <n v="2"/>
    <n v="2"/>
    <x v="0"/>
    <x v="2"/>
    <x v="1"/>
    <x v="0"/>
    <x v="0"/>
    <n v="0.22929155386993369"/>
    <n v="-0.25435329828790432"/>
  </r>
  <r>
    <n v="31"/>
    <d v="2011-01-02T00:00:00"/>
    <n v="1"/>
    <n v="0"/>
    <x v="0"/>
    <x v="7"/>
    <b v="0"/>
    <n v="0"/>
    <n v="2"/>
    <x v="9"/>
    <n v="0.40910000000000002"/>
    <n v="0.76"/>
    <n v="0.19400000000000001"/>
    <n v="0"/>
    <n v="1"/>
    <n v="1"/>
    <x v="0"/>
    <x v="1"/>
    <x v="1"/>
    <x v="0"/>
    <x v="0"/>
    <n v="0.22929155386993369"/>
    <n v="-0.25435329828790432"/>
  </r>
  <r>
    <n v="32"/>
    <d v="2011-01-02T00:00:00"/>
    <n v="1"/>
    <n v="0"/>
    <x v="0"/>
    <x v="8"/>
    <b v="0"/>
    <n v="0"/>
    <n v="3"/>
    <x v="9"/>
    <n v="0.40910000000000002"/>
    <n v="0.71"/>
    <n v="0.22389999999999999"/>
    <n v="0"/>
    <n v="8"/>
    <n v="8"/>
    <x v="0"/>
    <x v="2"/>
    <x v="1"/>
    <x v="0"/>
    <x v="0"/>
    <n v="0.22929155386993369"/>
    <n v="-0.25435329828790432"/>
  </r>
  <r>
    <n v="33"/>
    <d v="2011-01-02T00:00:00"/>
    <n v="1"/>
    <n v="0"/>
    <x v="0"/>
    <x v="9"/>
    <b v="0"/>
    <n v="0"/>
    <n v="2"/>
    <x v="4"/>
    <n v="0.19993"/>
    <n v="0.76"/>
    <n v="0.22389999999999999"/>
    <n v="1"/>
    <n v="19"/>
    <n v="20"/>
    <x v="0"/>
    <x v="1"/>
    <x v="1"/>
    <x v="0"/>
    <x v="0"/>
    <n v="0.22929155386993369"/>
    <n v="-0.25435329828790432"/>
  </r>
  <r>
    <n v="34"/>
    <d v="2011-01-02T00:00:00"/>
    <n v="1"/>
    <n v="0"/>
    <x v="0"/>
    <x v="10"/>
    <b v="0"/>
    <n v="0"/>
    <n v="2"/>
    <x v="5"/>
    <n v="0.34849999999999998"/>
    <n v="0.81"/>
    <n v="0.22389999999999999"/>
    <n v="7"/>
    <n v="46"/>
    <n v="53"/>
    <x v="0"/>
    <x v="1"/>
    <x v="1"/>
    <x v="0"/>
    <x v="0"/>
    <n v="0.22929155386993369"/>
    <n v="-0.25435329828790432"/>
  </r>
  <r>
    <n v="35"/>
    <d v="2011-01-02T00:00:00"/>
    <n v="1"/>
    <n v="0"/>
    <x v="0"/>
    <x v="11"/>
    <b v="0"/>
    <n v="0"/>
    <n v="2"/>
    <x v="5"/>
    <n v="0.33329999999999999"/>
    <n v="0.71"/>
    <n v="0.25369999999999998"/>
    <n v="16"/>
    <n v="54"/>
    <n v="70"/>
    <x v="0"/>
    <x v="1"/>
    <x v="1"/>
    <x v="0"/>
    <x v="0"/>
    <n v="0.22929155386993369"/>
    <n v="-0.25435329828790432"/>
  </r>
  <r>
    <n v="36"/>
    <d v="2011-01-02T00:00:00"/>
    <n v="1"/>
    <n v="0"/>
    <x v="0"/>
    <x v="12"/>
    <b v="0"/>
    <n v="0"/>
    <n v="2"/>
    <x v="5"/>
    <n v="0.33329999999999999"/>
    <n v="0.66"/>
    <n v="0.29849999999999999"/>
    <n v="20"/>
    <n v="73"/>
    <n v="93"/>
    <x v="0"/>
    <x v="1"/>
    <x v="2"/>
    <x v="0"/>
    <x v="0"/>
    <n v="0.22929155386993369"/>
    <n v="-0.25435329828790432"/>
  </r>
  <r>
    <n v="37"/>
    <d v="2011-01-02T00:00:00"/>
    <n v="1"/>
    <n v="0"/>
    <x v="0"/>
    <x v="13"/>
    <b v="0"/>
    <n v="0"/>
    <n v="2"/>
    <x v="5"/>
    <n v="0.34849999999999998"/>
    <n v="0.66"/>
    <n v="0.1343"/>
    <n v="11"/>
    <n v="64"/>
    <n v="75"/>
    <x v="0"/>
    <x v="1"/>
    <x v="2"/>
    <x v="0"/>
    <x v="0"/>
    <n v="0.22929155386993369"/>
    <n v="-0.25435329828790432"/>
  </r>
  <r>
    <n v="38"/>
    <d v="2011-01-02T00:00:00"/>
    <n v="1"/>
    <n v="0"/>
    <x v="0"/>
    <x v="14"/>
    <b v="0"/>
    <n v="0"/>
    <n v="3"/>
    <x v="5"/>
    <n v="0.19993"/>
    <n v="0.76"/>
    <n v="0.19400000000000001"/>
    <n v="4"/>
    <n v="55"/>
    <n v="59"/>
    <x v="0"/>
    <x v="2"/>
    <x v="2"/>
    <x v="0"/>
    <x v="0"/>
    <n v="0.22929155386993369"/>
    <n v="-0.25435329828790432"/>
  </r>
  <r>
    <n v="39"/>
    <d v="2011-01-02T00:00:00"/>
    <n v="1"/>
    <n v="0"/>
    <x v="0"/>
    <x v="15"/>
    <b v="0"/>
    <n v="0"/>
    <n v="3"/>
    <x v="10"/>
    <n v="0.33329999999999999"/>
    <n v="0.81"/>
    <n v="0.16420000000000001"/>
    <n v="19"/>
    <n v="55"/>
    <n v="74"/>
    <x v="0"/>
    <x v="2"/>
    <x v="2"/>
    <x v="0"/>
    <x v="0"/>
    <n v="0.22929155386993369"/>
    <n v="-0.25435329828790432"/>
  </r>
  <r>
    <n v="40"/>
    <d v="2011-01-02T00:00:00"/>
    <n v="1"/>
    <n v="0"/>
    <x v="0"/>
    <x v="16"/>
    <b v="0"/>
    <n v="0"/>
    <n v="3"/>
    <x v="10"/>
    <n v="0.33329999999999999"/>
    <n v="0.71"/>
    <n v="0.16420000000000001"/>
    <n v="9"/>
    <n v="67"/>
    <n v="76"/>
    <x v="0"/>
    <x v="2"/>
    <x v="2"/>
    <x v="0"/>
    <x v="0"/>
    <n v="0.22929155386993369"/>
    <n v="-0.25435329828790432"/>
  </r>
  <r>
    <n v="41"/>
    <d v="2011-01-02T00:00:00"/>
    <n v="1"/>
    <n v="0"/>
    <x v="0"/>
    <x v="17"/>
    <b v="0"/>
    <n v="0"/>
    <n v="1"/>
    <x v="10"/>
    <n v="0.33329999999999999"/>
    <n v="0.56999999999999995"/>
    <n v="0.19400000000000001"/>
    <n v="7"/>
    <n v="58"/>
    <n v="65"/>
    <x v="0"/>
    <x v="0"/>
    <x v="3"/>
    <x v="0"/>
    <x v="0"/>
    <n v="0.22929155386993369"/>
    <n v="-0.25435329828790432"/>
  </r>
  <r>
    <n v="42"/>
    <d v="2011-01-02T00:00:00"/>
    <n v="1"/>
    <n v="0"/>
    <x v="0"/>
    <x v="18"/>
    <b v="0"/>
    <n v="0"/>
    <n v="2"/>
    <x v="5"/>
    <n v="0.33329999999999999"/>
    <n v="0.46"/>
    <n v="0.32840000000000003"/>
    <n v="10"/>
    <n v="43"/>
    <n v="53"/>
    <x v="0"/>
    <x v="1"/>
    <x v="3"/>
    <x v="0"/>
    <x v="0"/>
    <n v="0.22929155386993369"/>
    <n v="-0.25435329828790432"/>
  </r>
  <r>
    <n v="43"/>
    <d v="2011-01-02T00:00:00"/>
    <n v="1"/>
    <n v="0"/>
    <x v="0"/>
    <x v="19"/>
    <b v="0"/>
    <n v="0"/>
    <n v="1"/>
    <x v="3"/>
    <n v="0.28789999999999999"/>
    <n v="0.42"/>
    <n v="0.44779999999999998"/>
    <n v="1"/>
    <n v="29"/>
    <n v="30"/>
    <x v="0"/>
    <x v="0"/>
    <x v="3"/>
    <x v="0"/>
    <x v="0"/>
    <n v="0.22929155386993369"/>
    <n v="-0.25435329828790432"/>
  </r>
  <r>
    <n v="44"/>
    <d v="2011-01-02T00:00:00"/>
    <n v="1"/>
    <n v="0"/>
    <x v="0"/>
    <x v="20"/>
    <b v="0"/>
    <n v="0"/>
    <n v="1"/>
    <x v="11"/>
    <n v="0.19993"/>
    <n v="0.39"/>
    <n v="0.35820000000000002"/>
    <n v="5"/>
    <n v="17"/>
    <n v="22"/>
    <x v="0"/>
    <x v="0"/>
    <x v="3"/>
    <x v="0"/>
    <x v="0"/>
    <n v="0.22929155386993369"/>
    <n v="-0.25435329828790432"/>
  </r>
  <r>
    <n v="45"/>
    <d v="2011-01-02T00:00:00"/>
    <n v="1"/>
    <n v="0"/>
    <x v="0"/>
    <x v="21"/>
    <b v="0"/>
    <n v="0"/>
    <n v="1"/>
    <x v="12"/>
    <n v="0.2273"/>
    <n v="0.44"/>
    <n v="0.32840000000000003"/>
    <n v="11"/>
    <n v="20"/>
    <n v="31"/>
    <x v="0"/>
    <x v="0"/>
    <x v="0"/>
    <x v="0"/>
    <x v="0"/>
    <n v="0.22929155386993369"/>
    <n v="-0.25435329828790432"/>
  </r>
  <r>
    <n v="46"/>
    <d v="2011-01-02T00:00:00"/>
    <n v="1"/>
    <n v="0"/>
    <x v="0"/>
    <x v="22"/>
    <b v="0"/>
    <n v="0"/>
    <n v="1"/>
    <x v="0"/>
    <n v="0.21210000000000001"/>
    <n v="0.44"/>
    <n v="0.29849999999999999"/>
    <n v="0"/>
    <n v="9"/>
    <n v="9"/>
    <x v="0"/>
    <x v="0"/>
    <x v="0"/>
    <x v="0"/>
    <x v="0"/>
    <n v="0.22929155386993369"/>
    <n v="-0.25435329828790432"/>
  </r>
  <r>
    <n v="47"/>
    <d v="2011-01-02T00:00:00"/>
    <n v="1"/>
    <n v="0"/>
    <x v="0"/>
    <x v="23"/>
    <b v="0"/>
    <n v="0"/>
    <n v="1"/>
    <x v="1"/>
    <n v="0.2273"/>
    <n v="0.47"/>
    <n v="0.16420000000000001"/>
    <n v="0"/>
    <n v="8"/>
    <n v="8"/>
    <x v="0"/>
    <x v="0"/>
    <x v="0"/>
    <x v="0"/>
    <x v="0"/>
    <n v="0.22929155386993369"/>
    <n v="-0.25435329828790432"/>
  </r>
  <r>
    <n v="48"/>
    <d v="2011-01-03T00:00:00"/>
    <n v="1"/>
    <n v="0"/>
    <x v="0"/>
    <x v="0"/>
    <b v="0"/>
    <n v="1"/>
    <n v="1"/>
    <x v="1"/>
    <n v="0.19700000000000001"/>
    <n v="0.44"/>
    <n v="0.35820000000000002"/>
    <n v="0"/>
    <n v="5"/>
    <n v="5"/>
    <x v="1"/>
    <x v="0"/>
    <x v="0"/>
    <x v="0"/>
    <x v="0"/>
    <n v="0.22929155386993369"/>
    <n v="-0.25435329828790432"/>
  </r>
  <r>
    <n v="49"/>
    <d v="2011-01-03T00:00:00"/>
    <n v="1"/>
    <n v="0"/>
    <x v="0"/>
    <x v="1"/>
    <b v="0"/>
    <n v="1"/>
    <n v="1"/>
    <x v="2"/>
    <n v="0.19993"/>
    <n v="0.44"/>
    <n v="0.41789999999999999"/>
    <n v="0"/>
    <n v="2"/>
    <n v="2"/>
    <x v="1"/>
    <x v="0"/>
    <x v="0"/>
    <x v="0"/>
    <x v="0"/>
    <n v="0.22929155386993369"/>
    <n v="-0.25435329828790432"/>
  </r>
  <r>
    <n v="50"/>
    <d v="2011-01-03T00:00:00"/>
    <n v="1"/>
    <n v="0"/>
    <x v="0"/>
    <x v="4"/>
    <b v="0"/>
    <n v="1"/>
    <n v="1"/>
    <x v="13"/>
    <n v="0.13639999999999999"/>
    <n v="0.47"/>
    <n v="0.3881"/>
    <n v="0"/>
    <n v="1"/>
    <n v="1"/>
    <x v="1"/>
    <x v="0"/>
    <x v="0"/>
    <x v="0"/>
    <x v="0"/>
    <n v="0.22929155386993369"/>
    <n v="-0.25435329828790432"/>
  </r>
  <r>
    <n v="51"/>
    <d v="2011-01-03T00:00:00"/>
    <n v="1"/>
    <n v="0"/>
    <x v="0"/>
    <x v="5"/>
    <b v="0"/>
    <n v="1"/>
    <n v="1"/>
    <x v="13"/>
    <n v="0.13639999999999999"/>
    <n v="0.47"/>
    <n v="0.28360000000000002"/>
    <n v="0"/>
    <n v="3"/>
    <n v="3"/>
    <x v="1"/>
    <x v="0"/>
    <x v="0"/>
    <x v="0"/>
    <x v="0"/>
    <n v="0.22929155386993369"/>
    <n v="-0.25435329828790432"/>
  </r>
  <r>
    <n v="52"/>
    <d v="2011-01-03T00:00:00"/>
    <n v="1"/>
    <n v="0"/>
    <x v="0"/>
    <x v="6"/>
    <b v="0"/>
    <n v="1"/>
    <n v="1"/>
    <x v="14"/>
    <n v="0.1061"/>
    <n v="0.5"/>
    <n v="0.3881"/>
    <n v="0"/>
    <n v="30"/>
    <n v="30"/>
    <x v="1"/>
    <x v="0"/>
    <x v="1"/>
    <x v="0"/>
    <x v="0"/>
    <n v="0.22929155386993369"/>
    <n v="-0.25435329828790432"/>
  </r>
  <r>
    <n v="53"/>
    <d v="2011-01-03T00:00:00"/>
    <n v="1"/>
    <n v="0"/>
    <x v="0"/>
    <x v="7"/>
    <b v="0"/>
    <n v="1"/>
    <n v="1"/>
    <x v="14"/>
    <n v="0.13639999999999999"/>
    <n v="0.5"/>
    <n v="0.19400000000000001"/>
    <n v="1"/>
    <n v="63"/>
    <n v="64"/>
    <x v="1"/>
    <x v="0"/>
    <x v="1"/>
    <x v="0"/>
    <x v="0"/>
    <n v="0.22929155386993369"/>
    <n v="-0.25435329828790432"/>
  </r>
  <r>
    <n v="54"/>
    <d v="2011-01-03T00:00:00"/>
    <n v="1"/>
    <n v="0"/>
    <x v="0"/>
    <x v="8"/>
    <b v="0"/>
    <n v="1"/>
    <n v="1"/>
    <x v="14"/>
    <n v="0.1212"/>
    <n v="0.5"/>
    <n v="0.28360000000000002"/>
    <n v="1"/>
    <n v="153"/>
    <n v="154"/>
    <x v="1"/>
    <x v="0"/>
    <x v="1"/>
    <x v="0"/>
    <x v="0"/>
    <n v="0.22929155386993369"/>
    <n v="-0.25435329828790432"/>
  </r>
  <r>
    <n v="55"/>
    <d v="2011-01-03T00:00:00"/>
    <n v="1"/>
    <n v="0"/>
    <x v="0"/>
    <x v="9"/>
    <b v="0"/>
    <n v="1"/>
    <n v="1"/>
    <x v="13"/>
    <n v="0.13639999999999999"/>
    <n v="0.43"/>
    <n v="0.3881"/>
    <n v="7"/>
    <n v="81"/>
    <n v="88"/>
    <x v="1"/>
    <x v="0"/>
    <x v="1"/>
    <x v="0"/>
    <x v="0"/>
    <n v="0.22929155386993369"/>
    <n v="-0.25435329828790432"/>
  </r>
  <r>
    <n v="56"/>
    <d v="2011-01-03T00:00:00"/>
    <n v="1"/>
    <n v="0"/>
    <x v="0"/>
    <x v="10"/>
    <b v="0"/>
    <n v="1"/>
    <n v="1"/>
    <x v="15"/>
    <n v="0.16669999999999999"/>
    <n v="0.43"/>
    <n v="0.25369999999999998"/>
    <n v="11"/>
    <n v="33"/>
    <n v="44"/>
    <x v="1"/>
    <x v="0"/>
    <x v="1"/>
    <x v="0"/>
    <x v="0"/>
    <n v="0.22929155386993369"/>
    <n v="-0.25435329828790432"/>
  </r>
  <r>
    <n v="57"/>
    <d v="2011-01-03T00:00:00"/>
    <n v="1"/>
    <n v="0"/>
    <x v="0"/>
    <x v="11"/>
    <b v="0"/>
    <n v="1"/>
    <n v="1"/>
    <x v="2"/>
    <n v="0.18179999999999999"/>
    <n v="0.4"/>
    <n v="0.32840000000000003"/>
    <n v="10"/>
    <n v="41"/>
    <n v="51"/>
    <x v="1"/>
    <x v="0"/>
    <x v="1"/>
    <x v="0"/>
    <x v="0"/>
    <n v="0.22929155386993369"/>
    <n v="-0.25435329828790432"/>
  </r>
  <r>
    <n v="58"/>
    <d v="2011-01-03T00:00:00"/>
    <n v="1"/>
    <n v="0"/>
    <x v="0"/>
    <x v="12"/>
    <b v="0"/>
    <n v="1"/>
    <n v="1"/>
    <x v="1"/>
    <n v="0.21210000000000001"/>
    <n v="0.35"/>
    <n v="0.29849999999999999"/>
    <n v="13"/>
    <n v="48"/>
    <n v="61"/>
    <x v="1"/>
    <x v="0"/>
    <x v="2"/>
    <x v="0"/>
    <x v="0"/>
    <n v="0.22929155386993369"/>
    <n v="-0.25435329828790432"/>
  </r>
  <r>
    <n v="59"/>
    <d v="2011-01-03T00:00:00"/>
    <n v="1"/>
    <n v="0"/>
    <x v="0"/>
    <x v="13"/>
    <b v="0"/>
    <n v="1"/>
    <n v="1"/>
    <x v="0"/>
    <n v="0.19993"/>
    <n v="0.35"/>
    <n v="0.28360000000000002"/>
    <n v="8"/>
    <n v="53"/>
    <n v="61"/>
    <x v="1"/>
    <x v="0"/>
    <x v="2"/>
    <x v="0"/>
    <x v="0"/>
    <n v="0.22929155386993369"/>
    <n v="-0.25435329828790432"/>
  </r>
  <r>
    <n v="60"/>
    <d v="2011-01-03T00:00:00"/>
    <n v="1"/>
    <n v="0"/>
    <x v="0"/>
    <x v="14"/>
    <b v="0"/>
    <n v="1"/>
    <n v="1"/>
    <x v="12"/>
    <n v="0.2424"/>
    <n v="0.3"/>
    <n v="0.28360000000000002"/>
    <n v="11"/>
    <n v="66"/>
    <n v="77"/>
    <x v="1"/>
    <x v="0"/>
    <x v="2"/>
    <x v="0"/>
    <x v="0"/>
    <n v="0.22929155386993369"/>
    <n v="-0.25435329828790432"/>
  </r>
  <r>
    <n v="61"/>
    <d v="2011-01-03T00:00:00"/>
    <n v="1"/>
    <n v="0"/>
    <x v="0"/>
    <x v="15"/>
    <b v="0"/>
    <n v="1"/>
    <n v="1"/>
    <x v="12"/>
    <n v="0.2424"/>
    <n v="0.3"/>
    <n v="0.25369999999999998"/>
    <n v="14"/>
    <n v="58"/>
    <n v="72"/>
    <x v="1"/>
    <x v="0"/>
    <x v="2"/>
    <x v="0"/>
    <x v="0"/>
    <n v="0.22929155386993369"/>
    <n v="-0.25435329828790432"/>
  </r>
  <r>
    <n v="62"/>
    <d v="2011-01-03T00:00:00"/>
    <n v="1"/>
    <n v="0"/>
    <x v="0"/>
    <x v="16"/>
    <b v="0"/>
    <n v="1"/>
    <n v="1"/>
    <x v="12"/>
    <n v="0.2424"/>
    <n v="0.3"/>
    <n v="0.25369999999999998"/>
    <n v="9"/>
    <n v="67"/>
    <n v="76"/>
    <x v="1"/>
    <x v="0"/>
    <x v="2"/>
    <x v="0"/>
    <x v="0"/>
    <n v="0.22929155386993369"/>
    <n v="-0.25435329828790432"/>
  </r>
  <r>
    <n v="63"/>
    <d v="2011-01-03T00:00:00"/>
    <n v="1"/>
    <n v="0"/>
    <x v="0"/>
    <x v="17"/>
    <b v="0"/>
    <n v="1"/>
    <n v="1"/>
    <x v="0"/>
    <n v="0.2273"/>
    <n v="0.3"/>
    <n v="0.22389999999999999"/>
    <n v="11"/>
    <n v="146"/>
    <n v="157"/>
    <x v="1"/>
    <x v="0"/>
    <x v="3"/>
    <x v="0"/>
    <x v="0"/>
    <n v="0.22929155386993369"/>
    <n v="-0.25435329828790432"/>
  </r>
  <r>
    <n v="64"/>
    <d v="2011-01-03T00:00:00"/>
    <n v="1"/>
    <n v="0"/>
    <x v="0"/>
    <x v="18"/>
    <b v="0"/>
    <n v="1"/>
    <n v="1"/>
    <x v="0"/>
    <n v="0.2576"/>
    <n v="0.32"/>
    <n v="0.1045"/>
    <n v="9"/>
    <n v="148"/>
    <n v="157"/>
    <x v="1"/>
    <x v="0"/>
    <x v="3"/>
    <x v="0"/>
    <x v="0"/>
    <n v="0.22929155386993369"/>
    <n v="-0.25435329828790432"/>
  </r>
  <r>
    <n v="65"/>
    <d v="2011-01-03T00:00:00"/>
    <n v="1"/>
    <n v="0"/>
    <x v="0"/>
    <x v="19"/>
    <b v="0"/>
    <n v="1"/>
    <n v="1"/>
    <x v="2"/>
    <n v="0.2576"/>
    <n v="0.47"/>
    <n v="0"/>
    <n v="8"/>
    <n v="102"/>
    <n v="110"/>
    <x v="1"/>
    <x v="0"/>
    <x v="3"/>
    <x v="0"/>
    <x v="0"/>
    <n v="0.22929155386993369"/>
    <n v="-0.25435329828790432"/>
  </r>
  <r>
    <n v="66"/>
    <d v="2011-01-03T00:00:00"/>
    <n v="1"/>
    <n v="0"/>
    <x v="0"/>
    <x v="20"/>
    <b v="0"/>
    <n v="1"/>
    <n v="1"/>
    <x v="2"/>
    <n v="0.19993"/>
    <n v="0.47"/>
    <n v="0.1045"/>
    <n v="3"/>
    <n v="49"/>
    <n v="52"/>
    <x v="1"/>
    <x v="0"/>
    <x v="3"/>
    <x v="0"/>
    <x v="0"/>
    <n v="0.22929155386993369"/>
    <n v="-0.25435329828790432"/>
  </r>
  <r>
    <n v="67"/>
    <d v="2011-01-03T00:00:00"/>
    <n v="1"/>
    <n v="0"/>
    <x v="0"/>
    <x v="21"/>
    <b v="0"/>
    <n v="1"/>
    <n v="1"/>
    <x v="15"/>
    <n v="0.19700000000000001"/>
    <n v="0.64"/>
    <n v="0.1343"/>
    <n v="3"/>
    <n v="49"/>
    <n v="52"/>
    <x v="1"/>
    <x v="0"/>
    <x v="0"/>
    <x v="0"/>
    <x v="0"/>
    <n v="0.22929155386993369"/>
    <n v="-0.25435329828790432"/>
  </r>
  <r>
    <n v="68"/>
    <d v="2011-01-03T00:00:00"/>
    <n v="1"/>
    <n v="0"/>
    <x v="0"/>
    <x v="22"/>
    <b v="0"/>
    <n v="1"/>
    <n v="1"/>
    <x v="14"/>
    <n v="0.1515"/>
    <n v="0.69"/>
    <n v="0.1343"/>
    <n v="0"/>
    <n v="20"/>
    <n v="20"/>
    <x v="1"/>
    <x v="0"/>
    <x v="0"/>
    <x v="0"/>
    <x v="0"/>
    <n v="0.22929155386993369"/>
    <n v="-0.25435329828790432"/>
  </r>
  <r>
    <n v="69"/>
    <d v="2011-01-03T00:00:00"/>
    <n v="1"/>
    <n v="0"/>
    <x v="0"/>
    <x v="23"/>
    <b v="0"/>
    <n v="1"/>
    <n v="1"/>
    <x v="15"/>
    <n v="0.21210000000000001"/>
    <n v="0.55000000000000004"/>
    <n v="0.1045"/>
    <n v="1"/>
    <n v="11"/>
    <n v="12"/>
    <x v="1"/>
    <x v="0"/>
    <x v="0"/>
    <x v="0"/>
    <x v="0"/>
    <n v="0.22929155386993369"/>
    <n v="-0.25435329828790432"/>
  </r>
  <r>
    <n v="70"/>
    <d v="2011-01-04T00:00:00"/>
    <n v="1"/>
    <n v="0"/>
    <x v="0"/>
    <x v="0"/>
    <b v="0"/>
    <n v="2"/>
    <n v="1"/>
    <x v="13"/>
    <n v="0.19993"/>
    <n v="0.55000000000000004"/>
    <n v="0.1045"/>
    <n v="0"/>
    <n v="5"/>
    <n v="5"/>
    <x v="1"/>
    <x v="0"/>
    <x v="0"/>
    <x v="0"/>
    <x v="0"/>
    <n v="0.22929155386993369"/>
    <n v="-0.25435329828790432"/>
  </r>
  <r>
    <n v="71"/>
    <d v="2011-01-04T00:00:00"/>
    <n v="1"/>
    <n v="0"/>
    <x v="0"/>
    <x v="1"/>
    <b v="0"/>
    <n v="2"/>
    <n v="1"/>
    <x v="13"/>
    <n v="0.18179999999999999"/>
    <n v="0.59"/>
    <n v="0.1045"/>
    <n v="0"/>
    <n v="2"/>
    <n v="2"/>
    <x v="1"/>
    <x v="0"/>
    <x v="0"/>
    <x v="0"/>
    <x v="0"/>
    <n v="0.22929155386993369"/>
    <n v="-0.25435329828790432"/>
  </r>
  <r>
    <n v="72"/>
    <d v="2011-01-04T00:00:00"/>
    <n v="1"/>
    <n v="0"/>
    <x v="0"/>
    <x v="2"/>
    <b v="0"/>
    <n v="2"/>
    <n v="1"/>
    <x v="14"/>
    <n v="0.1515"/>
    <n v="0.63"/>
    <n v="0.1343"/>
    <n v="0"/>
    <n v="1"/>
    <n v="1"/>
    <x v="1"/>
    <x v="0"/>
    <x v="0"/>
    <x v="0"/>
    <x v="0"/>
    <n v="0.22929155386993369"/>
    <n v="-0.25435329828790432"/>
  </r>
  <r>
    <n v="73"/>
    <d v="2011-01-04T00:00:00"/>
    <n v="1"/>
    <n v="0"/>
    <x v="0"/>
    <x v="4"/>
    <b v="0"/>
    <n v="2"/>
    <n v="1"/>
    <x v="14"/>
    <n v="0.18179999999999999"/>
    <n v="0.63"/>
    <n v="8.9599999999999999E-2"/>
    <n v="0"/>
    <n v="2"/>
    <n v="2"/>
    <x v="1"/>
    <x v="0"/>
    <x v="0"/>
    <x v="0"/>
    <x v="0"/>
    <n v="0.22929155386993369"/>
    <n v="-0.25435329828790432"/>
  </r>
  <r>
    <n v="74"/>
    <d v="2011-01-04T00:00:00"/>
    <n v="1"/>
    <n v="0"/>
    <x v="0"/>
    <x v="5"/>
    <b v="0"/>
    <n v="2"/>
    <n v="1"/>
    <x v="16"/>
    <n v="0.1515"/>
    <n v="0.68"/>
    <n v="0.1045"/>
    <n v="0"/>
    <n v="4"/>
    <n v="4"/>
    <x v="1"/>
    <x v="0"/>
    <x v="0"/>
    <x v="0"/>
    <x v="0"/>
    <n v="0.22929155386993369"/>
    <n v="-0.25435329828790432"/>
  </r>
  <r>
    <n v="75"/>
    <d v="2011-01-04T00:00:00"/>
    <n v="1"/>
    <n v="0"/>
    <x v="0"/>
    <x v="6"/>
    <b v="0"/>
    <n v="2"/>
    <n v="1"/>
    <x v="16"/>
    <n v="0.1515"/>
    <n v="0.74"/>
    <n v="0.1045"/>
    <n v="0"/>
    <n v="36"/>
    <n v="36"/>
    <x v="1"/>
    <x v="0"/>
    <x v="1"/>
    <x v="0"/>
    <x v="0"/>
    <n v="0.22929155386993369"/>
    <n v="-0.25435329828790432"/>
  </r>
  <r>
    <n v="76"/>
    <d v="2011-01-04T00:00:00"/>
    <n v="1"/>
    <n v="0"/>
    <x v="0"/>
    <x v="7"/>
    <b v="0"/>
    <n v="2"/>
    <n v="1"/>
    <x v="16"/>
    <n v="0.1515"/>
    <n v="0.74"/>
    <n v="0.1343"/>
    <n v="2"/>
    <n v="92"/>
    <n v="94"/>
    <x v="1"/>
    <x v="0"/>
    <x v="1"/>
    <x v="0"/>
    <x v="0"/>
    <n v="0.22929155386993369"/>
    <n v="-0.25435329828790432"/>
  </r>
  <r>
    <n v="77"/>
    <d v="2011-01-04T00:00:00"/>
    <n v="1"/>
    <n v="0"/>
    <x v="0"/>
    <x v="8"/>
    <b v="0"/>
    <n v="2"/>
    <n v="1"/>
    <x v="14"/>
    <n v="0.1515"/>
    <n v="0.69"/>
    <n v="0.16420000000000001"/>
    <n v="2"/>
    <n v="177"/>
    <n v="179"/>
    <x v="1"/>
    <x v="0"/>
    <x v="1"/>
    <x v="0"/>
    <x v="0"/>
    <n v="0.22929155386993369"/>
    <n v="-0.25435329828790432"/>
  </r>
  <r>
    <n v="78"/>
    <d v="2011-01-04T00:00:00"/>
    <n v="1"/>
    <n v="0"/>
    <x v="0"/>
    <x v="9"/>
    <b v="0"/>
    <n v="2"/>
    <n v="1"/>
    <x v="13"/>
    <n v="0.1515"/>
    <n v="0.64"/>
    <n v="0.22389999999999999"/>
    <n v="2"/>
    <n v="98"/>
    <n v="100"/>
    <x v="1"/>
    <x v="0"/>
    <x v="1"/>
    <x v="0"/>
    <x v="0"/>
    <n v="0.22929155386993369"/>
    <n v="-0.25435329828790432"/>
  </r>
  <r>
    <n v="79"/>
    <d v="2011-01-04T00:00:00"/>
    <n v="1"/>
    <n v="0"/>
    <x v="0"/>
    <x v="10"/>
    <b v="0"/>
    <n v="2"/>
    <n v="2"/>
    <x v="13"/>
    <n v="0.13639999999999999"/>
    <n v="0.69"/>
    <n v="0.32840000000000003"/>
    <n v="5"/>
    <n v="37"/>
    <n v="42"/>
    <x v="1"/>
    <x v="1"/>
    <x v="1"/>
    <x v="0"/>
    <x v="0"/>
    <n v="0.22929155386993369"/>
    <n v="-0.25435329828790432"/>
  </r>
  <r>
    <n v="80"/>
    <d v="2011-01-04T00:00:00"/>
    <n v="1"/>
    <n v="0"/>
    <x v="0"/>
    <x v="11"/>
    <b v="0"/>
    <n v="2"/>
    <n v="1"/>
    <x v="1"/>
    <n v="0.21210000000000001"/>
    <n v="0.51"/>
    <n v="0.29849999999999999"/>
    <n v="7"/>
    <n v="50"/>
    <n v="57"/>
    <x v="1"/>
    <x v="0"/>
    <x v="1"/>
    <x v="0"/>
    <x v="0"/>
    <n v="0.22929155386993369"/>
    <n v="-0.25435329828790432"/>
  </r>
  <r>
    <n v="81"/>
    <d v="2011-01-04T00:00:00"/>
    <n v="1"/>
    <n v="0"/>
    <x v="0"/>
    <x v="12"/>
    <b v="0"/>
    <n v="2"/>
    <n v="1"/>
    <x v="1"/>
    <n v="0.2273"/>
    <n v="0.51"/>
    <n v="0.16420000000000001"/>
    <n v="12"/>
    <n v="66"/>
    <n v="78"/>
    <x v="1"/>
    <x v="0"/>
    <x v="2"/>
    <x v="0"/>
    <x v="0"/>
    <n v="0.22929155386993369"/>
    <n v="-0.25435329828790432"/>
  </r>
  <r>
    <n v="82"/>
    <d v="2011-01-04T00:00:00"/>
    <n v="1"/>
    <n v="0"/>
    <x v="0"/>
    <x v="13"/>
    <b v="0"/>
    <n v="2"/>
    <n v="1"/>
    <x v="0"/>
    <n v="0.2273"/>
    <n v="0.56000000000000005"/>
    <n v="0.19400000000000001"/>
    <n v="18"/>
    <n v="79"/>
    <n v="97"/>
    <x v="1"/>
    <x v="0"/>
    <x v="2"/>
    <x v="0"/>
    <x v="0"/>
    <n v="0.22929155386993369"/>
    <n v="-0.25435329828790432"/>
  </r>
  <r>
    <n v="83"/>
    <d v="2011-01-04T00:00:00"/>
    <n v="1"/>
    <n v="0"/>
    <x v="0"/>
    <x v="14"/>
    <b v="0"/>
    <n v="2"/>
    <n v="1"/>
    <x v="12"/>
    <n v="0.2576"/>
    <n v="0.52"/>
    <n v="0.22389999999999999"/>
    <n v="9"/>
    <n v="54"/>
    <n v="63"/>
    <x v="1"/>
    <x v="0"/>
    <x v="2"/>
    <x v="0"/>
    <x v="0"/>
    <n v="0.22929155386993369"/>
    <n v="-0.25435329828790432"/>
  </r>
  <r>
    <n v="84"/>
    <d v="2011-01-04T00:00:00"/>
    <n v="1"/>
    <n v="0"/>
    <x v="0"/>
    <x v="15"/>
    <b v="0"/>
    <n v="2"/>
    <n v="1"/>
    <x v="17"/>
    <n v="0.2727"/>
    <n v="0.52"/>
    <n v="0.25369999999999998"/>
    <n v="17"/>
    <n v="48"/>
    <n v="65"/>
    <x v="1"/>
    <x v="0"/>
    <x v="2"/>
    <x v="0"/>
    <x v="0"/>
    <n v="0.22929155386993369"/>
    <n v="-0.25435329828790432"/>
  </r>
  <r>
    <n v="85"/>
    <d v="2011-01-04T00:00:00"/>
    <n v="1"/>
    <n v="0"/>
    <x v="0"/>
    <x v="16"/>
    <b v="0"/>
    <n v="2"/>
    <n v="1"/>
    <x v="11"/>
    <n v="0.28789999999999999"/>
    <n v="0.49"/>
    <n v="0.25369999999999998"/>
    <n v="15"/>
    <n v="68"/>
    <n v="83"/>
    <x v="1"/>
    <x v="0"/>
    <x v="2"/>
    <x v="0"/>
    <x v="0"/>
    <n v="0.22929155386993369"/>
    <n v="-0.25435329828790432"/>
  </r>
  <r>
    <n v="86"/>
    <d v="2011-01-04T00:00:00"/>
    <n v="1"/>
    <n v="0"/>
    <x v="0"/>
    <x v="17"/>
    <b v="0"/>
    <n v="2"/>
    <n v="1"/>
    <x v="17"/>
    <n v="0.2727"/>
    <n v="0.48"/>
    <n v="0.22389999999999999"/>
    <n v="10"/>
    <n v="202"/>
    <n v="212"/>
    <x v="1"/>
    <x v="0"/>
    <x v="3"/>
    <x v="0"/>
    <x v="0"/>
    <n v="0.22929155386993369"/>
    <n v="-0.25435329828790432"/>
  </r>
  <r>
    <n v="87"/>
    <d v="2011-01-04T00:00:00"/>
    <n v="1"/>
    <n v="0"/>
    <x v="0"/>
    <x v="18"/>
    <b v="0"/>
    <n v="2"/>
    <n v="1"/>
    <x v="12"/>
    <n v="0.2576"/>
    <n v="0.48"/>
    <n v="0.19400000000000001"/>
    <n v="3"/>
    <n v="179"/>
    <n v="182"/>
    <x v="1"/>
    <x v="0"/>
    <x v="3"/>
    <x v="0"/>
    <x v="0"/>
    <n v="0.22929155386993369"/>
    <n v="-0.25435329828790432"/>
  </r>
  <r>
    <n v="88"/>
    <d v="2011-01-04T00:00:00"/>
    <n v="1"/>
    <n v="0"/>
    <x v="0"/>
    <x v="19"/>
    <b v="0"/>
    <n v="2"/>
    <n v="1"/>
    <x v="0"/>
    <n v="0.2576"/>
    <n v="0.48"/>
    <n v="0.1045"/>
    <n v="2"/>
    <n v="110"/>
    <n v="112"/>
    <x v="1"/>
    <x v="0"/>
    <x v="3"/>
    <x v="0"/>
    <x v="0"/>
    <n v="0.22929155386993369"/>
    <n v="-0.25435329828790432"/>
  </r>
  <r>
    <n v="89"/>
    <d v="2011-01-04T00:00:00"/>
    <n v="1"/>
    <n v="0"/>
    <x v="0"/>
    <x v="20"/>
    <b v="0"/>
    <n v="2"/>
    <n v="1"/>
    <x v="0"/>
    <n v="0.2576"/>
    <n v="0.48"/>
    <n v="0.1045"/>
    <n v="1"/>
    <n v="53"/>
    <n v="54"/>
    <x v="1"/>
    <x v="0"/>
    <x v="3"/>
    <x v="0"/>
    <x v="0"/>
    <n v="0.22929155386993369"/>
    <n v="-0.25435329828790432"/>
  </r>
  <r>
    <n v="90"/>
    <d v="2011-01-04T00:00:00"/>
    <n v="1"/>
    <n v="0"/>
    <x v="0"/>
    <x v="21"/>
    <b v="0"/>
    <n v="2"/>
    <n v="1"/>
    <x v="1"/>
    <n v="0.2727"/>
    <n v="0.64"/>
    <n v="0"/>
    <n v="0"/>
    <n v="48"/>
    <n v="48"/>
    <x v="1"/>
    <x v="0"/>
    <x v="0"/>
    <x v="0"/>
    <x v="0"/>
    <n v="0.22929155386993369"/>
    <n v="-0.25435329828790432"/>
  </r>
  <r>
    <n v="91"/>
    <d v="2011-01-04T00:00:00"/>
    <n v="1"/>
    <n v="0"/>
    <x v="0"/>
    <x v="22"/>
    <b v="0"/>
    <n v="2"/>
    <n v="1"/>
    <x v="1"/>
    <n v="0.2576"/>
    <n v="0.64"/>
    <n v="8.9599999999999999E-2"/>
    <n v="1"/>
    <n v="34"/>
    <n v="35"/>
    <x v="1"/>
    <x v="0"/>
    <x v="0"/>
    <x v="0"/>
    <x v="0"/>
    <n v="0.22929155386993369"/>
    <n v="-0.25435329828790432"/>
  </r>
  <r>
    <n v="92"/>
    <d v="2011-01-04T00:00:00"/>
    <n v="1"/>
    <n v="0"/>
    <x v="0"/>
    <x v="23"/>
    <b v="0"/>
    <n v="2"/>
    <n v="1"/>
    <x v="2"/>
    <n v="0.2273"/>
    <n v="0.69"/>
    <n v="8.9599999999999999E-2"/>
    <n v="2"/>
    <n v="9"/>
    <n v="11"/>
    <x v="1"/>
    <x v="0"/>
    <x v="0"/>
    <x v="0"/>
    <x v="0"/>
    <n v="0.22929155386993369"/>
    <n v="-0.25435329828790432"/>
  </r>
  <r>
    <n v="93"/>
    <d v="2011-01-05T00:00:00"/>
    <n v="1"/>
    <n v="0"/>
    <x v="0"/>
    <x v="0"/>
    <b v="0"/>
    <n v="3"/>
    <n v="1"/>
    <x v="2"/>
    <n v="0.2576"/>
    <n v="0.64"/>
    <n v="0"/>
    <n v="0"/>
    <n v="6"/>
    <n v="6"/>
    <x v="1"/>
    <x v="0"/>
    <x v="0"/>
    <x v="0"/>
    <x v="0"/>
    <n v="0.22929155386993369"/>
    <n v="-0.25435329828790432"/>
  </r>
  <r>
    <n v="94"/>
    <d v="2011-01-05T00:00:00"/>
    <n v="1"/>
    <n v="0"/>
    <x v="0"/>
    <x v="1"/>
    <b v="0"/>
    <n v="3"/>
    <n v="1"/>
    <x v="13"/>
    <n v="0.19700000000000001"/>
    <n v="0.74"/>
    <n v="8.9599999999999999E-2"/>
    <n v="0"/>
    <n v="6"/>
    <n v="6"/>
    <x v="1"/>
    <x v="0"/>
    <x v="0"/>
    <x v="0"/>
    <x v="0"/>
    <n v="0.22929155386993369"/>
    <n v="-0.25435329828790432"/>
  </r>
  <r>
    <n v="95"/>
    <d v="2011-01-05T00:00:00"/>
    <n v="1"/>
    <n v="0"/>
    <x v="0"/>
    <x v="2"/>
    <b v="0"/>
    <n v="3"/>
    <n v="1"/>
    <x v="13"/>
    <n v="0.19700000000000001"/>
    <n v="0.74"/>
    <n v="8.9599999999999999E-2"/>
    <n v="0"/>
    <n v="2"/>
    <n v="2"/>
    <x v="1"/>
    <x v="0"/>
    <x v="0"/>
    <x v="0"/>
    <x v="0"/>
    <n v="0.22929155386993369"/>
    <n v="-0.25435329828790432"/>
  </r>
  <r>
    <n v="96"/>
    <d v="2011-01-05T00:00:00"/>
    <n v="1"/>
    <n v="0"/>
    <x v="0"/>
    <x v="4"/>
    <b v="0"/>
    <n v="3"/>
    <n v="1"/>
    <x v="0"/>
    <n v="0.2273"/>
    <n v="0.48"/>
    <n v="0.22389999999999999"/>
    <n v="0"/>
    <n v="2"/>
    <n v="2"/>
    <x v="1"/>
    <x v="0"/>
    <x v="0"/>
    <x v="0"/>
    <x v="0"/>
    <n v="0.22929155386993369"/>
    <n v="-0.25435329828790432"/>
  </r>
  <r>
    <n v="97"/>
    <d v="2011-01-05T00:00:00"/>
    <n v="1"/>
    <n v="0"/>
    <x v="0"/>
    <x v="5"/>
    <b v="0"/>
    <n v="3"/>
    <n v="1"/>
    <x v="1"/>
    <n v="0.2273"/>
    <n v="0.47"/>
    <n v="0.16420000000000001"/>
    <n v="0"/>
    <n v="3"/>
    <n v="3"/>
    <x v="1"/>
    <x v="0"/>
    <x v="0"/>
    <x v="0"/>
    <x v="0"/>
    <n v="0.22929155386993369"/>
    <n v="-0.25435329828790432"/>
  </r>
  <r>
    <n v="98"/>
    <d v="2011-01-05T00:00:00"/>
    <n v="1"/>
    <n v="0"/>
    <x v="0"/>
    <x v="6"/>
    <b v="0"/>
    <n v="3"/>
    <n v="1"/>
    <x v="2"/>
    <n v="0.19700000000000001"/>
    <n v="0.47"/>
    <n v="0.22389999999999999"/>
    <n v="0"/>
    <n v="33"/>
    <n v="33"/>
    <x v="1"/>
    <x v="0"/>
    <x v="1"/>
    <x v="0"/>
    <x v="0"/>
    <n v="0.22929155386993369"/>
    <n v="-0.25435329828790432"/>
  </r>
  <r>
    <n v="99"/>
    <d v="2011-01-05T00:00:00"/>
    <n v="1"/>
    <n v="0"/>
    <x v="0"/>
    <x v="7"/>
    <b v="0"/>
    <n v="3"/>
    <n v="1"/>
    <x v="15"/>
    <n v="0.18179999999999999"/>
    <n v="0.43"/>
    <n v="0.19400000000000001"/>
    <n v="1"/>
    <n v="87"/>
    <n v="88"/>
    <x v="1"/>
    <x v="0"/>
    <x v="1"/>
    <x v="0"/>
    <x v="0"/>
    <n v="0.22929155386993369"/>
    <n v="-0.25435329828790432"/>
  </r>
  <r>
    <n v="100"/>
    <d v="2011-01-05T00:00:00"/>
    <n v="1"/>
    <n v="0"/>
    <x v="0"/>
    <x v="8"/>
    <b v="0"/>
    <n v="3"/>
    <n v="1"/>
    <x v="2"/>
    <n v="0.18179999999999999"/>
    <n v="0.4"/>
    <n v="0.29849999999999999"/>
    <n v="3"/>
    <n v="192"/>
    <n v="195"/>
    <x v="1"/>
    <x v="0"/>
    <x v="1"/>
    <x v="0"/>
    <x v="0"/>
    <n v="0.22929155386993369"/>
    <n v="-0.25435329828790432"/>
  </r>
  <r>
    <n v="101"/>
    <d v="2011-01-05T00:00:00"/>
    <n v="1"/>
    <n v="0"/>
    <x v="0"/>
    <x v="9"/>
    <b v="0"/>
    <n v="3"/>
    <n v="1"/>
    <x v="1"/>
    <n v="0.19700000000000001"/>
    <n v="0.37"/>
    <n v="0.32840000000000003"/>
    <n v="6"/>
    <n v="109"/>
    <n v="115"/>
    <x v="1"/>
    <x v="0"/>
    <x v="1"/>
    <x v="0"/>
    <x v="0"/>
    <n v="0.22929155386993369"/>
    <n v="-0.25435329828790432"/>
  </r>
  <r>
    <n v="102"/>
    <d v="2011-01-05T00:00:00"/>
    <n v="1"/>
    <n v="0"/>
    <x v="0"/>
    <x v="10"/>
    <b v="0"/>
    <n v="3"/>
    <n v="1"/>
    <x v="1"/>
    <n v="0.19700000000000001"/>
    <n v="0.37"/>
    <n v="0.32840000000000003"/>
    <n v="4"/>
    <n v="53"/>
    <n v="57"/>
    <x v="1"/>
    <x v="0"/>
    <x v="1"/>
    <x v="0"/>
    <x v="0"/>
    <n v="0.22929155386993369"/>
    <n v="-0.25435329828790432"/>
  </r>
  <r>
    <n v="103"/>
    <d v="2011-01-05T00:00:00"/>
    <n v="1"/>
    <n v="0"/>
    <x v="0"/>
    <x v="11"/>
    <b v="0"/>
    <n v="3"/>
    <n v="1"/>
    <x v="12"/>
    <n v="0.2273"/>
    <n v="0.33"/>
    <n v="0.32840000000000003"/>
    <n v="12"/>
    <n v="34"/>
    <n v="46"/>
    <x v="1"/>
    <x v="0"/>
    <x v="1"/>
    <x v="0"/>
    <x v="0"/>
    <n v="0.22929155386993369"/>
    <n v="-0.25435329828790432"/>
  </r>
  <r>
    <n v="104"/>
    <d v="2011-01-05T00:00:00"/>
    <n v="1"/>
    <n v="0"/>
    <x v="0"/>
    <x v="12"/>
    <b v="0"/>
    <n v="3"/>
    <n v="1"/>
    <x v="12"/>
    <n v="0.2273"/>
    <n v="0.33"/>
    <n v="0.32840000000000003"/>
    <n v="5"/>
    <n v="74"/>
    <n v="79"/>
    <x v="1"/>
    <x v="0"/>
    <x v="2"/>
    <x v="0"/>
    <x v="0"/>
    <n v="0.22929155386993369"/>
    <n v="-0.25435329828790432"/>
  </r>
  <r>
    <n v="105"/>
    <d v="2011-01-05T00:00:00"/>
    <n v="1"/>
    <n v="0"/>
    <x v="0"/>
    <x v="13"/>
    <b v="0"/>
    <n v="3"/>
    <n v="1"/>
    <x v="17"/>
    <n v="0.2576"/>
    <n v="0.3"/>
    <n v="0.29849999999999999"/>
    <n v="6"/>
    <n v="65"/>
    <n v="71"/>
    <x v="1"/>
    <x v="0"/>
    <x v="2"/>
    <x v="0"/>
    <x v="0"/>
    <n v="0.22929155386993369"/>
    <n v="-0.25435329828790432"/>
  </r>
  <r>
    <n v="106"/>
    <d v="2011-01-05T00:00:00"/>
    <n v="1"/>
    <n v="0"/>
    <x v="0"/>
    <x v="14"/>
    <b v="0"/>
    <n v="3"/>
    <n v="1"/>
    <x v="11"/>
    <n v="0.28789999999999999"/>
    <n v="0.28000000000000003"/>
    <n v="0.19400000000000001"/>
    <n v="10"/>
    <n v="52"/>
    <n v="62"/>
    <x v="1"/>
    <x v="0"/>
    <x v="2"/>
    <x v="0"/>
    <x v="0"/>
    <n v="0.22929155386993369"/>
    <n v="-0.25435329828790432"/>
  </r>
  <r>
    <n v="107"/>
    <d v="2011-01-05T00:00:00"/>
    <n v="1"/>
    <n v="0"/>
    <x v="0"/>
    <x v="15"/>
    <b v="0"/>
    <n v="3"/>
    <n v="1"/>
    <x v="11"/>
    <n v="0.28789999999999999"/>
    <n v="0.28000000000000003"/>
    <n v="0.19400000000000001"/>
    <n v="7"/>
    <n v="55"/>
    <n v="62"/>
    <x v="1"/>
    <x v="0"/>
    <x v="2"/>
    <x v="0"/>
    <x v="0"/>
    <n v="0.22929155386993369"/>
    <n v="-0.25435329828790432"/>
  </r>
  <r>
    <n v="108"/>
    <d v="2011-01-05T00:00:00"/>
    <n v="1"/>
    <n v="0"/>
    <x v="0"/>
    <x v="16"/>
    <b v="0"/>
    <n v="3"/>
    <n v="1"/>
    <x v="11"/>
    <n v="0.31819999999999998"/>
    <n v="0.28000000000000003"/>
    <n v="8.9599999999999999E-2"/>
    <n v="4"/>
    <n v="85"/>
    <n v="89"/>
    <x v="1"/>
    <x v="0"/>
    <x v="2"/>
    <x v="0"/>
    <x v="0"/>
    <n v="0.22929155386993369"/>
    <n v="-0.25435329828790432"/>
  </r>
  <r>
    <n v="109"/>
    <d v="2011-01-05T00:00:00"/>
    <n v="1"/>
    <n v="0"/>
    <x v="0"/>
    <x v="17"/>
    <b v="0"/>
    <n v="3"/>
    <n v="1"/>
    <x v="0"/>
    <n v="0.2273"/>
    <n v="0.38"/>
    <n v="0.19400000000000001"/>
    <n v="4"/>
    <n v="186"/>
    <n v="190"/>
    <x v="1"/>
    <x v="0"/>
    <x v="3"/>
    <x v="0"/>
    <x v="0"/>
    <n v="0.22929155386993369"/>
    <n v="-0.25435329828790432"/>
  </r>
  <r>
    <n v="110"/>
    <d v="2011-01-05T00:00:00"/>
    <n v="1"/>
    <n v="0"/>
    <x v="0"/>
    <x v="18"/>
    <b v="0"/>
    <n v="3"/>
    <n v="1"/>
    <x v="0"/>
    <n v="0.2424"/>
    <n v="0.38"/>
    <n v="0.1343"/>
    <n v="3"/>
    <n v="166"/>
    <n v="169"/>
    <x v="1"/>
    <x v="0"/>
    <x v="3"/>
    <x v="0"/>
    <x v="0"/>
    <n v="0.22929155386993369"/>
    <n v="-0.25435329828790432"/>
  </r>
  <r>
    <n v="111"/>
    <d v="2011-01-05T00:00:00"/>
    <n v="1"/>
    <n v="0"/>
    <x v="0"/>
    <x v="19"/>
    <b v="0"/>
    <n v="3"/>
    <n v="1"/>
    <x v="0"/>
    <n v="0.2576"/>
    <n v="0.38"/>
    <n v="0.1045"/>
    <n v="5"/>
    <n v="127"/>
    <n v="132"/>
    <x v="1"/>
    <x v="0"/>
    <x v="3"/>
    <x v="0"/>
    <x v="0"/>
    <n v="0.22929155386993369"/>
    <n v="-0.25435329828790432"/>
  </r>
  <r>
    <n v="112"/>
    <d v="2011-01-05T00:00:00"/>
    <n v="1"/>
    <n v="0"/>
    <x v="0"/>
    <x v="20"/>
    <b v="0"/>
    <n v="3"/>
    <n v="1"/>
    <x v="1"/>
    <n v="0.2273"/>
    <n v="0.47"/>
    <n v="0.16420000000000001"/>
    <n v="7"/>
    <n v="82"/>
    <n v="89"/>
    <x v="1"/>
    <x v="0"/>
    <x v="3"/>
    <x v="0"/>
    <x v="0"/>
    <n v="0.22929155386993369"/>
    <n v="-0.25435329828790432"/>
  </r>
  <r>
    <n v="113"/>
    <d v="2011-01-05T00:00:00"/>
    <n v="1"/>
    <n v="0"/>
    <x v="0"/>
    <x v="21"/>
    <b v="0"/>
    <n v="3"/>
    <n v="1"/>
    <x v="2"/>
    <n v="0.19700000000000001"/>
    <n v="0.51"/>
    <n v="0.19400000000000001"/>
    <n v="3"/>
    <n v="40"/>
    <n v="43"/>
    <x v="1"/>
    <x v="0"/>
    <x v="0"/>
    <x v="0"/>
    <x v="0"/>
    <n v="0.22929155386993369"/>
    <n v="-0.25435329828790432"/>
  </r>
  <r>
    <n v="114"/>
    <d v="2011-01-05T00:00:00"/>
    <n v="1"/>
    <n v="0"/>
    <x v="0"/>
    <x v="22"/>
    <b v="0"/>
    <n v="3"/>
    <n v="1"/>
    <x v="15"/>
    <n v="0.19700000000000001"/>
    <n v="0.55000000000000004"/>
    <n v="0.1343"/>
    <n v="1"/>
    <n v="41"/>
    <n v="42"/>
    <x v="1"/>
    <x v="0"/>
    <x v="0"/>
    <x v="0"/>
    <x v="0"/>
    <n v="0.22929155386993369"/>
    <n v="-0.25435329828790432"/>
  </r>
  <r>
    <n v="115"/>
    <d v="2011-01-05T00:00:00"/>
    <n v="1"/>
    <n v="0"/>
    <x v="0"/>
    <x v="23"/>
    <b v="0"/>
    <n v="3"/>
    <n v="1"/>
    <x v="2"/>
    <n v="0.2576"/>
    <n v="0.47"/>
    <n v="0"/>
    <n v="1"/>
    <n v="18"/>
    <n v="19"/>
    <x v="1"/>
    <x v="0"/>
    <x v="0"/>
    <x v="0"/>
    <x v="0"/>
    <n v="0.22929155386993369"/>
    <n v="-0.25435329828790432"/>
  </r>
  <r>
    <n v="116"/>
    <d v="2011-01-06T00:00:00"/>
    <n v="1"/>
    <n v="0"/>
    <x v="0"/>
    <x v="0"/>
    <b v="0"/>
    <n v="4"/>
    <n v="1"/>
    <x v="15"/>
    <n v="0.2424"/>
    <n v="0.55000000000000004"/>
    <n v="0"/>
    <n v="0"/>
    <n v="11"/>
    <n v="11"/>
    <x v="1"/>
    <x v="0"/>
    <x v="0"/>
    <x v="0"/>
    <x v="0"/>
    <n v="0.22929155386993369"/>
    <n v="-0.25435329828790432"/>
  </r>
  <r>
    <n v="117"/>
    <d v="2011-01-06T00:00:00"/>
    <n v="1"/>
    <n v="0"/>
    <x v="0"/>
    <x v="1"/>
    <b v="0"/>
    <n v="4"/>
    <n v="1"/>
    <x v="13"/>
    <n v="0.2273"/>
    <n v="0.64"/>
    <n v="0"/>
    <n v="0"/>
    <n v="4"/>
    <n v="4"/>
    <x v="1"/>
    <x v="0"/>
    <x v="0"/>
    <x v="0"/>
    <x v="0"/>
    <n v="0.22929155386993369"/>
    <n v="-0.25435329828790432"/>
  </r>
  <r>
    <n v="118"/>
    <d v="2011-01-06T00:00:00"/>
    <n v="1"/>
    <n v="0"/>
    <x v="0"/>
    <x v="2"/>
    <b v="0"/>
    <n v="4"/>
    <n v="1"/>
    <x v="13"/>
    <n v="0.2273"/>
    <n v="0.64"/>
    <n v="0"/>
    <n v="0"/>
    <n v="2"/>
    <n v="2"/>
    <x v="1"/>
    <x v="0"/>
    <x v="0"/>
    <x v="0"/>
    <x v="0"/>
    <n v="0.22929155386993369"/>
    <n v="-0.25435329828790432"/>
  </r>
  <r>
    <n v="119"/>
    <d v="2011-01-06T00:00:00"/>
    <n v="1"/>
    <n v="0"/>
    <x v="0"/>
    <x v="4"/>
    <b v="0"/>
    <n v="4"/>
    <n v="2"/>
    <x v="13"/>
    <n v="0.19700000000000001"/>
    <n v="0.64"/>
    <n v="8.9599999999999999E-2"/>
    <n v="0"/>
    <n v="1"/>
    <n v="1"/>
    <x v="1"/>
    <x v="1"/>
    <x v="0"/>
    <x v="0"/>
    <x v="0"/>
    <n v="0.22929155386993369"/>
    <n v="-0.25435329828790432"/>
  </r>
  <r>
    <n v="120"/>
    <d v="2011-01-06T00:00:00"/>
    <n v="1"/>
    <n v="0"/>
    <x v="0"/>
    <x v="5"/>
    <b v="0"/>
    <n v="4"/>
    <n v="2"/>
    <x v="14"/>
    <n v="0.18179999999999999"/>
    <n v="0.69"/>
    <n v="8.9599999999999999E-2"/>
    <n v="0"/>
    <n v="4"/>
    <n v="4"/>
    <x v="1"/>
    <x v="1"/>
    <x v="0"/>
    <x v="0"/>
    <x v="0"/>
    <n v="0.22929155386993369"/>
    <n v="-0.25435329828790432"/>
  </r>
  <r>
    <n v="121"/>
    <d v="2011-01-06T00:00:00"/>
    <n v="1"/>
    <n v="0"/>
    <x v="0"/>
    <x v="6"/>
    <b v="0"/>
    <n v="4"/>
    <n v="2"/>
    <x v="14"/>
    <n v="0.16669999999999999"/>
    <n v="0.63"/>
    <n v="0.1045"/>
    <n v="0"/>
    <n v="36"/>
    <n v="36"/>
    <x v="1"/>
    <x v="1"/>
    <x v="1"/>
    <x v="0"/>
    <x v="0"/>
    <n v="0.22929155386993369"/>
    <n v="-0.25435329828790432"/>
  </r>
  <r>
    <n v="122"/>
    <d v="2011-01-06T00:00:00"/>
    <n v="1"/>
    <n v="0"/>
    <x v="0"/>
    <x v="7"/>
    <b v="0"/>
    <n v="4"/>
    <n v="2"/>
    <x v="13"/>
    <n v="0.2273"/>
    <n v="0.59"/>
    <n v="0"/>
    <n v="0"/>
    <n v="95"/>
    <n v="95"/>
    <x v="1"/>
    <x v="1"/>
    <x v="1"/>
    <x v="0"/>
    <x v="0"/>
    <n v="0.22929155386993369"/>
    <n v="-0.25435329828790432"/>
  </r>
  <r>
    <n v="123"/>
    <d v="2011-01-06T00:00:00"/>
    <n v="1"/>
    <n v="0"/>
    <x v="0"/>
    <x v="8"/>
    <b v="0"/>
    <n v="4"/>
    <n v="1"/>
    <x v="13"/>
    <n v="0.2273"/>
    <n v="0.59"/>
    <n v="0"/>
    <n v="3"/>
    <n v="216"/>
    <n v="219"/>
    <x v="1"/>
    <x v="0"/>
    <x v="1"/>
    <x v="0"/>
    <x v="0"/>
    <n v="0.22929155386993369"/>
    <n v="-0.25435329828790432"/>
  </r>
  <r>
    <n v="124"/>
    <d v="2011-01-06T00:00:00"/>
    <n v="1"/>
    <n v="0"/>
    <x v="0"/>
    <x v="9"/>
    <b v="0"/>
    <n v="4"/>
    <n v="2"/>
    <x v="15"/>
    <n v="0.2424"/>
    <n v="0.51"/>
    <n v="0"/>
    <n v="6"/>
    <n v="116"/>
    <n v="122"/>
    <x v="1"/>
    <x v="1"/>
    <x v="1"/>
    <x v="0"/>
    <x v="0"/>
    <n v="0.22929155386993369"/>
    <n v="-0.25435329828790432"/>
  </r>
  <r>
    <n v="125"/>
    <d v="2011-01-06T00:00:00"/>
    <n v="1"/>
    <n v="0"/>
    <x v="0"/>
    <x v="10"/>
    <b v="0"/>
    <n v="4"/>
    <n v="1"/>
    <x v="2"/>
    <n v="0.2576"/>
    <n v="0.47"/>
    <n v="0"/>
    <n v="3"/>
    <n v="42"/>
    <n v="45"/>
    <x v="1"/>
    <x v="0"/>
    <x v="1"/>
    <x v="0"/>
    <x v="0"/>
    <n v="0.22929155386993369"/>
    <n v="-0.25435329828790432"/>
  </r>
  <r>
    <n v="126"/>
    <d v="2011-01-06T00:00:00"/>
    <n v="1"/>
    <n v="0"/>
    <x v="0"/>
    <x v="11"/>
    <b v="0"/>
    <n v="4"/>
    <n v="1"/>
    <x v="1"/>
    <n v="0.2576"/>
    <n v="0.44"/>
    <n v="8.9599999999999999E-2"/>
    <n v="2"/>
    <n v="57"/>
    <n v="59"/>
    <x v="1"/>
    <x v="0"/>
    <x v="1"/>
    <x v="0"/>
    <x v="0"/>
    <n v="0.22929155386993369"/>
    <n v="-0.25435329828790432"/>
  </r>
  <r>
    <n v="127"/>
    <d v="2011-01-06T00:00:00"/>
    <n v="1"/>
    <n v="0"/>
    <x v="0"/>
    <x v="12"/>
    <b v="0"/>
    <n v="4"/>
    <n v="1"/>
    <x v="12"/>
    <n v="0.28789999999999999"/>
    <n v="0.35"/>
    <n v="0"/>
    <n v="6"/>
    <n v="78"/>
    <n v="84"/>
    <x v="1"/>
    <x v="0"/>
    <x v="2"/>
    <x v="0"/>
    <x v="0"/>
    <n v="0.22929155386993369"/>
    <n v="-0.25435329828790432"/>
  </r>
  <r>
    <n v="128"/>
    <d v="2011-01-06T00:00:00"/>
    <n v="1"/>
    <n v="0"/>
    <x v="0"/>
    <x v="13"/>
    <b v="0"/>
    <n v="4"/>
    <n v="1"/>
    <x v="12"/>
    <n v="0.2727"/>
    <n v="0.35"/>
    <n v="0.1045"/>
    <n v="12"/>
    <n v="55"/>
    <n v="67"/>
    <x v="1"/>
    <x v="0"/>
    <x v="2"/>
    <x v="0"/>
    <x v="0"/>
    <n v="0.22929155386993369"/>
    <n v="-0.25435329828790432"/>
  </r>
  <r>
    <n v="129"/>
    <d v="2011-01-06T00:00:00"/>
    <n v="1"/>
    <n v="0"/>
    <x v="0"/>
    <x v="14"/>
    <b v="0"/>
    <n v="4"/>
    <n v="1"/>
    <x v="17"/>
    <n v="0.2727"/>
    <n v="0.36"/>
    <n v="0.16420000000000001"/>
    <n v="11"/>
    <n v="59"/>
    <n v="70"/>
    <x v="1"/>
    <x v="0"/>
    <x v="2"/>
    <x v="0"/>
    <x v="0"/>
    <n v="0.22929155386993369"/>
    <n v="-0.25435329828790432"/>
  </r>
  <r>
    <n v="130"/>
    <d v="2011-01-06T00:00:00"/>
    <n v="1"/>
    <n v="0"/>
    <x v="0"/>
    <x v="15"/>
    <b v="0"/>
    <n v="4"/>
    <n v="1"/>
    <x v="17"/>
    <n v="0.2727"/>
    <n v="0.36"/>
    <n v="0"/>
    <n v="8"/>
    <n v="54"/>
    <n v="62"/>
    <x v="1"/>
    <x v="0"/>
    <x v="2"/>
    <x v="0"/>
    <x v="0"/>
    <n v="0.22929155386993369"/>
    <n v="-0.25435329828790432"/>
  </r>
  <r>
    <n v="131"/>
    <d v="2011-01-06T00:00:00"/>
    <n v="1"/>
    <n v="0"/>
    <x v="0"/>
    <x v="16"/>
    <b v="0"/>
    <n v="4"/>
    <n v="1"/>
    <x v="12"/>
    <n v="0.2576"/>
    <n v="0.38"/>
    <n v="0.16420000000000001"/>
    <n v="12"/>
    <n v="74"/>
    <n v="86"/>
    <x v="1"/>
    <x v="0"/>
    <x v="2"/>
    <x v="0"/>
    <x v="0"/>
    <n v="0.22929155386993369"/>
    <n v="-0.25435329828790432"/>
  </r>
  <r>
    <n v="132"/>
    <d v="2011-01-06T00:00:00"/>
    <n v="1"/>
    <n v="0"/>
    <x v="0"/>
    <x v="17"/>
    <b v="0"/>
    <n v="4"/>
    <n v="1"/>
    <x v="1"/>
    <n v="0.2273"/>
    <n v="0.51"/>
    <n v="0.16420000000000001"/>
    <n v="9"/>
    <n v="163"/>
    <n v="172"/>
    <x v="1"/>
    <x v="0"/>
    <x v="3"/>
    <x v="0"/>
    <x v="0"/>
    <n v="0.22929155386993369"/>
    <n v="-0.25435329828790432"/>
  </r>
  <r>
    <n v="133"/>
    <d v="2011-01-06T00:00:00"/>
    <n v="1"/>
    <n v="0"/>
    <x v="0"/>
    <x v="18"/>
    <b v="0"/>
    <n v="4"/>
    <n v="1"/>
    <x v="1"/>
    <n v="0.2273"/>
    <n v="0.51"/>
    <n v="0.1343"/>
    <n v="5"/>
    <n v="158"/>
    <n v="163"/>
    <x v="1"/>
    <x v="0"/>
    <x v="3"/>
    <x v="0"/>
    <x v="0"/>
    <n v="0.22929155386993369"/>
    <n v="-0.25435329828790432"/>
  </r>
  <r>
    <n v="134"/>
    <d v="2011-01-06T00:00:00"/>
    <n v="1"/>
    <n v="0"/>
    <x v="0"/>
    <x v="19"/>
    <b v="0"/>
    <n v="4"/>
    <n v="1"/>
    <x v="1"/>
    <n v="0.2576"/>
    <n v="0.55000000000000004"/>
    <n v="8.9599999999999999E-2"/>
    <n v="3"/>
    <n v="109"/>
    <n v="112"/>
    <x v="1"/>
    <x v="0"/>
    <x v="3"/>
    <x v="0"/>
    <x v="0"/>
    <n v="0.22929155386993369"/>
    <n v="-0.25435329828790432"/>
  </r>
  <r>
    <n v="135"/>
    <d v="2011-01-06T00:00:00"/>
    <n v="1"/>
    <n v="0"/>
    <x v="0"/>
    <x v="20"/>
    <b v="0"/>
    <n v="4"/>
    <n v="1"/>
    <x v="2"/>
    <n v="0.21210000000000001"/>
    <n v="0.51"/>
    <n v="0.16420000000000001"/>
    <n v="3"/>
    <n v="66"/>
    <n v="69"/>
    <x v="1"/>
    <x v="0"/>
    <x v="3"/>
    <x v="0"/>
    <x v="0"/>
    <n v="0.22929155386993369"/>
    <n v="-0.25435329828790432"/>
  </r>
  <r>
    <n v="136"/>
    <d v="2011-01-06T00:00:00"/>
    <n v="1"/>
    <n v="0"/>
    <x v="0"/>
    <x v="21"/>
    <b v="0"/>
    <n v="4"/>
    <n v="2"/>
    <x v="1"/>
    <n v="0.21210000000000001"/>
    <n v="0.55000000000000004"/>
    <n v="0.22389999999999999"/>
    <n v="0"/>
    <n v="48"/>
    <n v="48"/>
    <x v="1"/>
    <x v="1"/>
    <x v="0"/>
    <x v="0"/>
    <x v="0"/>
    <n v="0.22929155386993369"/>
    <n v="-0.25435329828790432"/>
  </r>
  <r>
    <n v="137"/>
    <d v="2011-01-06T00:00:00"/>
    <n v="1"/>
    <n v="0"/>
    <x v="0"/>
    <x v="22"/>
    <b v="0"/>
    <n v="4"/>
    <n v="2"/>
    <x v="1"/>
    <n v="0.21210000000000001"/>
    <n v="0.51"/>
    <n v="0.28360000000000002"/>
    <n v="1"/>
    <n v="51"/>
    <n v="52"/>
    <x v="1"/>
    <x v="1"/>
    <x v="0"/>
    <x v="0"/>
    <x v="0"/>
    <n v="0.22929155386993369"/>
    <n v="-0.25435329828790432"/>
  </r>
  <r>
    <n v="138"/>
    <d v="2011-01-06T00:00:00"/>
    <n v="1"/>
    <n v="0"/>
    <x v="0"/>
    <x v="23"/>
    <b v="0"/>
    <n v="4"/>
    <n v="2"/>
    <x v="2"/>
    <n v="0.19700000000000001"/>
    <n v="0.59"/>
    <n v="0.19400000000000001"/>
    <n v="4"/>
    <n v="19"/>
    <n v="23"/>
    <x v="1"/>
    <x v="1"/>
    <x v="0"/>
    <x v="0"/>
    <x v="0"/>
    <n v="0.22929155386993369"/>
    <n v="-0.25435329828790432"/>
  </r>
  <r>
    <n v="139"/>
    <d v="2011-01-07T00:00:00"/>
    <n v="1"/>
    <n v="0"/>
    <x v="0"/>
    <x v="0"/>
    <b v="0"/>
    <n v="5"/>
    <n v="2"/>
    <x v="2"/>
    <n v="0.19700000000000001"/>
    <n v="0.64"/>
    <n v="0.19400000000000001"/>
    <n v="4"/>
    <n v="13"/>
    <n v="17"/>
    <x v="1"/>
    <x v="1"/>
    <x v="0"/>
    <x v="0"/>
    <x v="0"/>
    <n v="0.22929155386993369"/>
    <n v="-0.25435329828790432"/>
  </r>
  <r>
    <n v="140"/>
    <d v="2011-01-07T00:00:00"/>
    <n v="1"/>
    <n v="0"/>
    <x v="0"/>
    <x v="1"/>
    <b v="0"/>
    <n v="5"/>
    <n v="2"/>
    <x v="2"/>
    <n v="0.19700000000000001"/>
    <n v="0.69"/>
    <n v="0.22389999999999999"/>
    <n v="2"/>
    <n v="5"/>
    <n v="7"/>
    <x v="1"/>
    <x v="1"/>
    <x v="0"/>
    <x v="0"/>
    <x v="0"/>
    <n v="0.22929155386993369"/>
    <n v="-0.25435329828790432"/>
  </r>
  <r>
    <n v="141"/>
    <d v="2011-01-07T00:00:00"/>
    <n v="1"/>
    <n v="0"/>
    <x v="0"/>
    <x v="2"/>
    <b v="0"/>
    <n v="5"/>
    <n v="2"/>
    <x v="2"/>
    <n v="0.19700000000000001"/>
    <n v="0.69"/>
    <n v="0.22389999999999999"/>
    <n v="0"/>
    <n v="1"/>
    <n v="1"/>
    <x v="1"/>
    <x v="1"/>
    <x v="0"/>
    <x v="0"/>
    <x v="0"/>
    <n v="0.22929155386993369"/>
    <n v="-0.25435329828790432"/>
  </r>
  <r>
    <n v="142"/>
    <d v="2011-01-07T00:00:00"/>
    <n v="1"/>
    <n v="0"/>
    <x v="0"/>
    <x v="4"/>
    <b v="0"/>
    <n v="5"/>
    <n v="2"/>
    <x v="2"/>
    <n v="0.21210000000000001"/>
    <n v="0.69"/>
    <n v="0.1343"/>
    <n v="0"/>
    <n v="1"/>
    <n v="1"/>
    <x v="1"/>
    <x v="1"/>
    <x v="0"/>
    <x v="0"/>
    <x v="0"/>
    <n v="0.22929155386993369"/>
    <n v="-0.25435329828790432"/>
  </r>
  <r>
    <n v="143"/>
    <d v="2011-01-07T00:00:00"/>
    <n v="1"/>
    <n v="0"/>
    <x v="0"/>
    <x v="5"/>
    <b v="0"/>
    <n v="5"/>
    <n v="3"/>
    <x v="1"/>
    <n v="0.2727"/>
    <n v="0.55000000000000004"/>
    <n v="0"/>
    <n v="0"/>
    <n v="5"/>
    <n v="5"/>
    <x v="1"/>
    <x v="2"/>
    <x v="0"/>
    <x v="0"/>
    <x v="0"/>
    <n v="0.22929155386993369"/>
    <n v="-0.25435329828790432"/>
  </r>
  <r>
    <n v="144"/>
    <d v="2011-01-07T00:00:00"/>
    <n v="1"/>
    <n v="0"/>
    <x v="0"/>
    <x v="6"/>
    <b v="0"/>
    <n v="5"/>
    <n v="2"/>
    <x v="2"/>
    <n v="0.2576"/>
    <n v="0.69"/>
    <n v="0"/>
    <n v="8"/>
    <n v="26"/>
    <n v="34"/>
    <x v="1"/>
    <x v="1"/>
    <x v="1"/>
    <x v="0"/>
    <x v="0"/>
    <n v="0.22929155386993369"/>
    <n v="-0.25435329828790432"/>
  </r>
  <r>
    <n v="145"/>
    <d v="2011-01-07T00:00:00"/>
    <n v="1"/>
    <n v="0"/>
    <x v="0"/>
    <x v="7"/>
    <b v="0"/>
    <n v="5"/>
    <n v="1"/>
    <x v="2"/>
    <n v="0.21210000000000001"/>
    <n v="0.69"/>
    <n v="0.1343"/>
    <n v="8"/>
    <n v="76"/>
    <n v="84"/>
    <x v="1"/>
    <x v="0"/>
    <x v="1"/>
    <x v="0"/>
    <x v="0"/>
    <n v="0.22929155386993369"/>
    <n v="-0.25435329828790432"/>
  </r>
  <r>
    <n v="146"/>
    <d v="2011-01-07T00:00:00"/>
    <n v="1"/>
    <n v="0"/>
    <x v="0"/>
    <x v="8"/>
    <b v="0"/>
    <n v="5"/>
    <n v="1"/>
    <x v="2"/>
    <n v="0.19700000000000001"/>
    <n v="0.51"/>
    <n v="0.25369999999999998"/>
    <n v="20"/>
    <n v="190"/>
    <n v="210"/>
    <x v="1"/>
    <x v="0"/>
    <x v="1"/>
    <x v="0"/>
    <x v="0"/>
    <n v="0.22929155386993369"/>
    <n v="-0.25435329828790432"/>
  </r>
  <r>
    <n v="147"/>
    <d v="2011-01-07T00:00:00"/>
    <n v="1"/>
    <n v="0"/>
    <x v="0"/>
    <x v="9"/>
    <b v="0"/>
    <n v="5"/>
    <n v="1"/>
    <x v="2"/>
    <n v="0.18179999999999999"/>
    <n v="0.47"/>
    <n v="0.29849999999999999"/>
    <n v="9"/>
    <n v="125"/>
    <n v="134"/>
    <x v="1"/>
    <x v="0"/>
    <x v="1"/>
    <x v="0"/>
    <x v="0"/>
    <n v="0.22929155386993369"/>
    <n v="-0.25435329828790432"/>
  </r>
  <r>
    <n v="148"/>
    <d v="2011-01-07T00:00:00"/>
    <n v="1"/>
    <n v="0"/>
    <x v="0"/>
    <x v="10"/>
    <b v="0"/>
    <n v="5"/>
    <n v="1"/>
    <x v="1"/>
    <n v="0.19700000000000001"/>
    <n v="0.37"/>
    <n v="0.32840000000000003"/>
    <n v="16"/>
    <n v="47"/>
    <n v="63"/>
    <x v="1"/>
    <x v="0"/>
    <x v="1"/>
    <x v="0"/>
    <x v="0"/>
    <n v="0.22929155386993369"/>
    <n v="-0.25435329828790432"/>
  </r>
  <r>
    <n v="149"/>
    <d v="2011-01-07T00:00:00"/>
    <n v="1"/>
    <n v="0"/>
    <x v="0"/>
    <x v="11"/>
    <b v="0"/>
    <n v="5"/>
    <n v="2"/>
    <x v="2"/>
    <n v="0.19700000000000001"/>
    <n v="0.4"/>
    <n v="0.22389999999999999"/>
    <n v="19"/>
    <n v="48"/>
    <n v="67"/>
    <x v="1"/>
    <x v="1"/>
    <x v="1"/>
    <x v="0"/>
    <x v="0"/>
    <n v="0.22929155386993369"/>
    <n v="-0.25435329828790432"/>
  </r>
  <r>
    <n v="150"/>
    <d v="2011-01-07T00:00:00"/>
    <n v="1"/>
    <n v="0"/>
    <x v="0"/>
    <x v="12"/>
    <b v="0"/>
    <n v="5"/>
    <n v="2"/>
    <x v="2"/>
    <n v="0.19700000000000001"/>
    <n v="0.37"/>
    <n v="0.25369999999999998"/>
    <n v="9"/>
    <n v="50"/>
    <n v="59"/>
    <x v="1"/>
    <x v="1"/>
    <x v="2"/>
    <x v="0"/>
    <x v="0"/>
    <n v="0.22929155386993369"/>
    <n v="-0.25435329828790432"/>
  </r>
  <r>
    <n v="151"/>
    <d v="2011-01-07T00:00:00"/>
    <n v="1"/>
    <n v="0"/>
    <x v="0"/>
    <x v="13"/>
    <b v="0"/>
    <n v="5"/>
    <n v="2"/>
    <x v="2"/>
    <n v="0.18179999999999999"/>
    <n v="0.37"/>
    <n v="0.28360000000000002"/>
    <n v="9"/>
    <n v="64"/>
    <n v="73"/>
    <x v="1"/>
    <x v="1"/>
    <x v="2"/>
    <x v="0"/>
    <x v="0"/>
    <n v="0.22929155386993369"/>
    <n v="-0.25435329828790432"/>
  </r>
  <r>
    <n v="152"/>
    <d v="2011-01-07T00:00:00"/>
    <n v="1"/>
    <n v="0"/>
    <x v="0"/>
    <x v="14"/>
    <b v="0"/>
    <n v="5"/>
    <n v="2"/>
    <x v="2"/>
    <n v="0.19700000000000001"/>
    <n v="0.4"/>
    <n v="0.25369999999999998"/>
    <n v="7"/>
    <n v="43"/>
    <n v="50"/>
    <x v="1"/>
    <x v="1"/>
    <x v="2"/>
    <x v="0"/>
    <x v="0"/>
    <n v="0.22929155386993369"/>
    <n v="-0.25435329828790432"/>
  </r>
  <r>
    <n v="153"/>
    <d v="2011-01-07T00:00:00"/>
    <n v="1"/>
    <n v="0"/>
    <x v="0"/>
    <x v="15"/>
    <b v="0"/>
    <n v="5"/>
    <n v="2"/>
    <x v="2"/>
    <n v="0.21210000000000001"/>
    <n v="0.37"/>
    <n v="0.16420000000000001"/>
    <n v="9"/>
    <n v="63"/>
    <n v="72"/>
    <x v="1"/>
    <x v="1"/>
    <x v="2"/>
    <x v="0"/>
    <x v="0"/>
    <n v="0.22929155386993369"/>
    <n v="-0.25435329828790432"/>
  </r>
  <r>
    <n v="154"/>
    <d v="2011-01-07T00:00:00"/>
    <n v="1"/>
    <n v="0"/>
    <x v="0"/>
    <x v="16"/>
    <b v="0"/>
    <n v="5"/>
    <n v="2"/>
    <x v="2"/>
    <n v="0.21210000000000001"/>
    <n v="0.37"/>
    <n v="0.16420000000000001"/>
    <n v="5"/>
    <n v="82"/>
    <n v="87"/>
    <x v="1"/>
    <x v="1"/>
    <x v="2"/>
    <x v="0"/>
    <x v="0"/>
    <n v="0.22929155386993369"/>
    <n v="-0.25435329828790432"/>
  </r>
  <r>
    <n v="155"/>
    <d v="2011-01-07T00:00:00"/>
    <n v="1"/>
    <n v="0"/>
    <x v="0"/>
    <x v="17"/>
    <b v="0"/>
    <n v="5"/>
    <n v="2"/>
    <x v="2"/>
    <n v="0.2576"/>
    <n v="0.37"/>
    <n v="0"/>
    <n v="9"/>
    <n v="178"/>
    <n v="187"/>
    <x v="1"/>
    <x v="1"/>
    <x v="3"/>
    <x v="0"/>
    <x v="0"/>
    <n v="0.22929155386993369"/>
    <n v="-0.25435329828790432"/>
  </r>
  <r>
    <n v="156"/>
    <d v="2011-01-07T00:00:00"/>
    <n v="1"/>
    <n v="0"/>
    <x v="0"/>
    <x v="18"/>
    <b v="0"/>
    <n v="5"/>
    <n v="1"/>
    <x v="2"/>
    <n v="0.2273"/>
    <n v="0.4"/>
    <n v="8.9599999999999999E-2"/>
    <n v="7"/>
    <n v="116"/>
    <n v="123"/>
    <x v="1"/>
    <x v="0"/>
    <x v="3"/>
    <x v="0"/>
    <x v="0"/>
    <n v="0.22929155386993369"/>
    <n v="-0.25435329828790432"/>
  </r>
  <r>
    <n v="157"/>
    <d v="2011-01-07T00:00:00"/>
    <n v="1"/>
    <n v="0"/>
    <x v="0"/>
    <x v="19"/>
    <b v="0"/>
    <n v="5"/>
    <n v="1"/>
    <x v="13"/>
    <n v="0.19700000000000001"/>
    <n v="0.55000000000000004"/>
    <n v="8.9599999999999999E-2"/>
    <n v="3"/>
    <n v="92"/>
    <n v="95"/>
    <x v="1"/>
    <x v="0"/>
    <x v="3"/>
    <x v="0"/>
    <x v="0"/>
    <n v="0.22929155386993369"/>
    <n v="-0.25435329828790432"/>
  </r>
  <r>
    <n v="158"/>
    <d v="2011-01-07T00:00:00"/>
    <n v="1"/>
    <n v="0"/>
    <x v="0"/>
    <x v="20"/>
    <b v="0"/>
    <n v="5"/>
    <n v="1"/>
    <x v="15"/>
    <n v="0.21210000000000001"/>
    <n v="0.47"/>
    <n v="0.1045"/>
    <n v="1"/>
    <n v="50"/>
    <n v="51"/>
    <x v="1"/>
    <x v="0"/>
    <x v="3"/>
    <x v="0"/>
    <x v="0"/>
    <n v="0.22929155386993369"/>
    <n v="-0.25435329828790432"/>
  </r>
  <r>
    <n v="159"/>
    <d v="2011-01-07T00:00:00"/>
    <n v="1"/>
    <n v="0"/>
    <x v="0"/>
    <x v="21"/>
    <b v="0"/>
    <n v="5"/>
    <n v="1"/>
    <x v="15"/>
    <n v="0.19700000000000001"/>
    <n v="0.47"/>
    <n v="0.1343"/>
    <n v="0"/>
    <n v="39"/>
    <n v="39"/>
    <x v="1"/>
    <x v="0"/>
    <x v="0"/>
    <x v="0"/>
    <x v="0"/>
    <n v="0.22929155386993369"/>
    <n v="-0.25435329828790432"/>
  </r>
  <r>
    <n v="160"/>
    <d v="2011-01-07T00:00:00"/>
    <n v="1"/>
    <n v="0"/>
    <x v="0"/>
    <x v="22"/>
    <b v="0"/>
    <n v="5"/>
    <n v="2"/>
    <x v="15"/>
    <n v="0.19700000000000001"/>
    <n v="0.43"/>
    <n v="0.16420000000000001"/>
    <n v="2"/>
    <n v="34"/>
    <n v="36"/>
    <x v="1"/>
    <x v="1"/>
    <x v="0"/>
    <x v="0"/>
    <x v="0"/>
    <n v="0.22929155386993369"/>
    <n v="-0.25435329828790432"/>
  </r>
  <r>
    <n v="161"/>
    <d v="2011-01-07T00:00:00"/>
    <n v="1"/>
    <n v="0"/>
    <x v="0"/>
    <x v="23"/>
    <b v="0"/>
    <n v="5"/>
    <n v="2"/>
    <x v="15"/>
    <n v="0.19700000000000001"/>
    <n v="0.51"/>
    <n v="0.16420000000000001"/>
    <n v="1"/>
    <n v="14"/>
    <n v="15"/>
    <x v="1"/>
    <x v="1"/>
    <x v="0"/>
    <x v="0"/>
    <x v="0"/>
    <n v="0.22929155386993369"/>
    <n v="-0.25435329828790432"/>
  </r>
  <r>
    <n v="162"/>
    <d v="2011-01-08T00:00:00"/>
    <n v="1"/>
    <n v="0"/>
    <x v="0"/>
    <x v="0"/>
    <b v="0"/>
    <n v="6"/>
    <n v="2"/>
    <x v="15"/>
    <n v="0.19700000000000001"/>
    <n v="0.51"/>
    <n v="0.16420000000000001"/>
    <n v="1"/>
    <n v="24"/>
    <n v="25"/>
    <x v="0"/>
    <x v="1"/>
    <x v="0"/>
    <x v="0"/>
    <x v="0"/>
    <n v="0.22929155386993369"/>
    <n v="-0.25435329828790432"/>
  </r>
  <r>
    <n v="163"/>
    <d v="2011-01-08T00:00:00"/>
    <n v="1"/>
    <n v="0"/>
    <x v="0"/>
    <x v="1"/>
    <b v="0"/>
    <n v="6"/>
    <n v="2"/>
    <x v="15"/>
    <n v="0.21210000000000001"/>
    <n v="0.55000000000000004"/>
    <n v="8.9599999999999999E-2"/>
    <n v="1"/>
    <n v="15"/>
    <n v="16"/>
    <x v="0"/>
    <x v="1"/>
    <x v="0"/>
    <x v="0"/>
    <x v="0"/>
    <n v="0.22929155386993369"/>
    <n v="-0.25435329828790432"/>
  </r>
  <r>
    <n v="164"/>
    <d v="2011-01-08T00:00:00"/>
    <n v="1"/>
    <n v="0"/>
    <x v="0"/>
    <x v="2"/>
    <b v="0"/>
    <n v="6"/>
    <n v="2"/>
    <x v="15"/>
    <n v="0.2424"/>
    <n v="0.55000000000000004"/>
    <n v="0"/>
    <n v="3"/>
    <n v="13"/>
    <n v="16"/>
    <x v="0"/>
    <x v="1"/>
    <x v="0"/>
    <x v="0"/>
    <x v="0"/>
    <n v="0.22929155386993369"/>
    <n v="-0.25435329828790432"/>
  </r>
  <r>
    <n v="165"/>
    <d v="2011-01-08T00:00:00"/>
    <n v="1"/>
    <n v="0"/>
    <x v="0"/>
    <x v="3"/>
    <b v="0"/>
    <n v="6"/>
    <n v="3"/>
    <x v="15"/>
    <n v="0.19700000000000001"/>
    <n v="0.55000000000000004"/>
    <n v="0.16420000000000001"/>
    <n v="0"/>
    <n v="7"/>
    <n v="7"/>
    <x v="0"/>
    <x v="2"/>
    <x v="0"/>
    <x v="0"/>
    <x v="0"/>
    <n v="0.22929155386993369"/>
    <n v="-0.25435329828790432"/>
  </r>
  <r>
    <n v="166"/>
    <d v="2011-01-08T00:00:00"/>
    <n v="1"/>
    <n v="0"/>
    <x v="0"/>
    <x v="4"/>
    <b v="0"/>
    <n v="6"/>
    <n v="3"/>
    <x v="15"/>
    <n v="0.19700000000000001"/>
    <n v="0.55000000000000004"/>
    <n v="0.16420000000000001"/>
    <n v="0"/>
    <n v="1"/>
    <n v="1"/>
    <x v="0"/>
    <x v="2"/>
    <x v="0"/>
    <x v="0"/>
    <x v="0"/>
    <n v="0.22929155386993369"/>
    <n v="-0.25435329828790432"/>
  </r>
  <r>
    <n v="167"/>
    <d v="2011-01-08T00:00:00"/>
    <n v="1"/>
    <n v="0"/>
    <x v="0"/>
    <x v="5"/>
    <b v="0"/>
    <n v="6"/>
    <n v="2"/>
    <x v="13"/>
    <n v="0.16669999999999999"/>
    <n v="0.74"/>
    <n v="0.16420000000000001"/>
    <n v="0"/>
    <n v="5"/>
    <n v="5"/>
    <x v="0"/>
    <x v="1"/>
    <x v="0"/>
    <x v="0"/>
    <x v="0"/>
    <n v="0.22929155386993369"/>
    <n v="-0.25435329828790432"/>
  </r>
  <r>
    <n v="168"/>
    <d v="2011-01-08T00:00:00"/>
    <n v="1"/>
    <n v="0"/>
    <x v="0"/>
    <x v="6"/>
    <b v="0"/>
    <n v="6"/>
    <n v="2"/>
    <x v="13"/>
    <n v="0.16669999999999999"/>
    <n v="0.74"/>
    <n v="0.16420000000000001"/>
    <n v="0"/>
    <n v="2"/>
    <n v="2"/>
    <x v="0"/>
    <x v="1"/>
    <x v="1"/>
    <x v="0"/>
    <x v="0"/>
    <n v="0.22929155386993369"/>
    <n v="-0.25435329828790432"/>
  </r>
  <r>
    <n v="169"/>
    <d v="2011-01-08T00:00:00"/>
    <n v="1"/>
    <n v="0"/>
    <x v="0"/>
    <x v="7"/>
    <b v="0"/>
    <n v="6"/>
    <n v="2"/>
    <x v="13"/>
    <n v="0.18179999999999999"/>
    <n v="0.74"/>
    <n v="0.1045"/>
    <n v="1"/>
    <n v="8"/>
    <n v="9"/>
    <x v="0"/>
    <x v="1"/>
    <x v="1"/>
    <x v="0"/>
    <x v="0"/>
    <n v="0.22929155386993369"/>
    <n v="-0.25435329828790432"/>
  </r>
  <r>
    <n v="170"/>
    <d v="2011-01-08T00:00:00"/>
    <n v="1"/>
    <n v="0"/>
    <x v="0"/>
    <x v="8"/>
    <b v="0"/>
    <n v="6"/>
    <n v="3"/>
    <x v="13"/>
    <n v="0.18179999999999999"/>
    <n v="0.93"/>
    <n v="0.1045"/>
    <n v="0"/>
    <n v="15"/>
    <n v="15"/>
    <x v="0"/>
    <x v="2"/>
    <x v="1"/>
    <x v="0"/>
    <x v="0"/>
    <n v="0.22929155386993369"/>
    <n v="-0.25435329828790432"/>
  </r>
  <r>
    <n v="171"/>
    <d v="2011-01-08T00:00:00"/>
    <n v="1"/>
    <n v="0"/>
    <x v="0"/>
    <x v="9"/>
    <b v="0"/>
    <n v="6"/>
    <n v="3"/>
    <x v="13"/>
    <n v="0.18179999999999999"/>
    <n v="0.93"/>
    <n v="0.1045"/>
    <n v="0"/>
    <n v="20"/>
    <n v="20"/>
    <x v="0"/>
    <x v="2"/>
    <x v="1"/>
    <x v="0"/>
    <x v="0"/>
    <n v="0.22929155386993369"/>
    <n v="-0.25435329828790432"/>
  </r>
  <r>
    <n v="172"/>
    <d v="2011-01-08T00:00:00"/>
    <n v="1"/>
    <n v="0"/>
    <x v="0"/>
    <x v="10"/>
    <b v="0"/>
    <n v="6"/>
    <n v="2"/>
    <x v="15"/>
    <n v="0.19700000000000001"/>
    <n v="0.8"/>
    <n v="0.16420000000000001"/>
    <n v="5"/>
    <n v="56"/>
    <n v="61"/>
    <x v="0"/>
    <x v="1"/>
    <x v="1"/>
    <x v="0"/>
    <x v="0"/>
    <n v="0.22929155386993369"/>
    <n v="-0.25435329828790432"/>
  </r>
  <r>
    <n v="173"/>
    <d v="2011-01-08T00:00:00"/>
    <n v="1"/>
    <n v="0"/>
    <x v="0"/>
    <x v="11"/>
    <b v="0"/>
    <n v="6"/>
    <n v="2"/>
    <x v="2"/>
    <n v="0.18179999999999999"/>
    <n v="0.69"/>
    <n v="0.3881"/>
    <n v="2"/>
    <n v="60"/>
    <n v="62"/>
    <x v="0"/>
    <x v="1"/>
    <x v="1"/>
    <x v="0"/>
    <x v="0"/>
    <n v="0.22929155386993369"/>
    <n v="-0.25435329828790432"/>
  </r>
  <r>
    <n v="174"/>
    <d v="2011-01-08T00:00:00"/>
    <n v="1"/>
    <n v="0"/>
    <x v="0"/>
    <x v="12"/>
    <b v="0"/>
    <n v="6"/>
    <n v="2"/>
    <x v="2"/>
    <n v="0.18179999999999999"/>
    <n v="0.59"/>
    <n v="0.35820000000000002"/>
    <n v="8"/>
    <n v="90"/>
    <n v="98"/>
    <x v="0"/>
    <x v="1"/>
    <x v="2"/>
    <x v="0"/>
    <x v="0"/>
    <n v="0.22929155386993369"/>
    <n v="-0.25435329828790432"/>
  </r>
  <r>
    <n v="175"/>
    <d v="2011-01-08T00:00:00"/>
    <n v="1"/>
    <n v="0"/>
    <x v="0"/>
    <x v="13"/>
    <b v="0"/>
    <n v="6"/>
    <n v="1"/>
    <x v="2"/>
    <n v="0.18179999999999999"/>
    <n v="0.44"/>
    <n v="0.32840000000000003"/>
    <n v="7"/>
    <n v="95"/>
    <n v="102"/>
    <x v="0"/>
    <x v="0"/>
    <x v="2"/>
    <x v="0"/>
    <x v="0"/>
    <n v="0.22929155386993369"/>
    <n v="-0.25435329828790432"/>
  </r>
  <r>
    <n v="176"/>
    <d v="2011-01-08T00:00:00"/>
    <n v="1"/>
    <n v="0"/>
    <x v="0"/>
    <x v="14"/>
    <b v="0"/>
    <n v="6"/>
    <n v="1"/>
    <x v="2"/>
    <n v="0.16669999999999999"/>
    <n v="0.32"/>
    <n v="0.49249999999999999"/>
    <n v="12"/>
    <n v="83"/>
    <n v="95"/>
    <x v="0"/>
    <x v="0"/>
    <x v="2"/>
    <x v="0"/>
    <x v="0"/>
    <n v="0.22929155386993369"/>
    <n v="-0.25435329828790432"/>
  </r>
  <r>
    <n v="177"/>
    <d v="2011-01-08T00:00:00"/>
    <n v="1"/>
    <n v="0"/>
    <x v="0"/>
    <x v="15"/>
    <b v="0"/>
    <n v="6"/>
    <n v="1"/>
    <x v="2"/>
    <n v="0.16669999999999999"/>
    <n v="0.32"/>
    <n v="0.44779999999999998"/>
    <n v="5"/>
    <n v="69"/>
    <n v="74"/>
    <x v="0"/>
    <x v="0"/>
    <x v="2"/>
    <x v="0"/>
    <x v="0"/>
    <n v="0.22929155386993369"/>
    <n v="-0.25435329828790432"/>
  </r>
  <r>
    <n v="178"/>
    <d v="2011-01-08T00:00:00"/>
    <n v="1"/>
    <n v="0"/>
    <x v="0"/>
    <x v="16"/>
    <b v="0"/>
    <n v="6"/>
    <n v="1"/>
    <x v="15"/>
    <n v="0.13639999999999999"/>
    <n v="0.28999999999999998"/>
    <n v="0.44779999999999998"/>
    <n v="8"/>
    <n v="68"/>
    <n v="76"/>
    <x v="0"/>
    <x v="0"/>
    <x v="2"/>
    <x v="0"/>
    <x v="0"/>
    <n v="0.22929155386993369"/>
    <n v="-0.25435329828790432"/>
  </r>
  <r>
    <n v="179"/>
    <d v="2011-01-08T00:00:00"/>
    <n v="1"/>
    <n v="0"/>
    <x v="0"/>
    <x v="17"/>
    <b v="0"/>
    <n v="6"/>
    <n v="1"/>
    <x v="13"/>
    <n v="0.1212"/>
    <n v="0.37"/>
    <n v="0.55220000000000002"/>
    <n v="5"/>
    <n v="64"/>
    <n v="69"/>
    <x v="0"/>
    <x v="0"/>
    <x v="3"/>
    <x v="0"/>
    <x v="0"/>
    <n v="0.22929155386993369"/>
    <n v="-0.25435329828790432"/>
  </r>
  <r>
    <n v="180"/>
    <d v="2011-01-08T00:00:00"/>
    <n v="1"/>
    <n v="0"/>
    <x v="0"/>
    <x v="18"/>
    <b v="0"/>
    <n v="6"/>
    <n v="1"/>
    <x v="14"/>
    <n v="0.1212"/>
    <n v="0.39"/>
    <n v="0.29849999999999999"/>
    <n v="3"/>
    <n v="52"/>
    <n v="55"/>
    <x v="0"/>
    <x v="0"/>
    <x v="3"/>
    <x v="0"/>
    <x v="0"/>
    <n v="0.22929155386993369"/>
    <n v="-0.25435329828790432"/>
  </r>
  <r>
    <n v="181"/>
    <d v="2011-01-08T00:00:00"/>
    <n v="1"/>
    <n v="0"/>
    <x v="0"/>
    <x v="19"/>
    <b v="0"/>
    <n v="6"/>
    <n v="1"/>
    <x v="14"/>
    <n v="0.1212"/>
    <n v="0.36"/>
    <n v="0.25369999999999998"/>
    <n v="4"/>
    <n v="26"/>
    <n v="30"/>
    <x v="0"/>
    <x v="0"/>
    <x v="3"/>
    <x v="0"/>
    <x v="0"/>
    <n v="0.22929155386993369"/>
    <n v="-0.25435329828790432"/>
  </r>
  <r>
    <n v="182"/>
    <d v="2011-01-08T00:00:00"/>
    <n v="1"/>
    <n v="0"/>
    <x v="0"/>
    <x v="20"/>
    <b v="0"/>
    <n v="6"/>
    <n v="1"/>
    <x v="16"/>
    <n v="0.1212"/>
    <n v="0.36"/>
    <n v="0.25369999999999998"/>
    <n v="0"/>
    <n v="28"/>
    <n v="28"/>
    <x v="0"/>
    <x v="0"/>
    <x v="3"/>
    <x v="0"/>
    <x v="0"/>
    <n v="0.22929155386993369"/>
    <n v="-0.25435329828790432"/>
  </r>
  <r>
    <n v="183"/>
    <d v="2011-01-08T00:00:00"/>
    <n v="1"/>
    <n v="0"/>
    <x v="0"/>
    <x v="21"/>
    <b v="0"/>
    <n v="6"/>
    <n v="1"/>
    <x v="16"/>
    <n v="0.1061"/>
    <n v="0.39"/>
    <n v="0.35820000000000002"/>
    <n v="2"/>
    <n v="35"/>
    <n v="37"/>
    <x v="0"/>
    <x v="0"/>
    <x v="0"/>
    <x v="0"/>
    <x v="0"/>
    <n v="0.22929155386993369"/>
    <n v="-0.25435329828790432"/>
  </r>
  <r>
    <n v="184"/>
    <d v="2011-01-08T00:00:00"/>
    <n v="1"/>
    <n v="0"/>
    <x v="0"/>
    <x v="22"/>
    <b v="0"/>
    <n v="6"/>
    <n v="1"/>
    <x v="16"/>
    <n v="0.1061"/>
    <n v="0.36"/>
    <n v="0.3881"/>
    <n v="1"/>
    <n v="33"/>
    <n v="34"/>
    <x v="0"/>
    <x v="0"/>
    <x v="0"/>
    <x v="0"/>
    <x v="0"/>
    <n v="0.22929155386993369"/>
    <n v="-0.25435329828790432"/>
  </r>
  <r>
    <n v="185"/>
    <d v="2011-01-08T00:00:00"/>
    <n v="1"/>
    <n v="0"/>
    <x v="0"/>
    <x v="23"/>
    <b v="0"/>
    <n v="6"/>
    <n v="1"/>
    <x v="18"/>
    <n v="6.0600000000000001E-2"/>
    <n v="0.39"/>
    <n v="0.44779999999999998"/>
    <n v="0"/>
    <n v="22"/>
    <n v="22"/>
    <x v="0"/>
    <x v="0"/>
    <x v="0"/>
    <x v="0"/>
    <x v="0"/>
    <n v="0.22929155386993369"/>
    <n v="-0.25435329828790432"/>
  </r>
  <r>
    <n v="186"/>
    <d v="2011-01-09T00:00:00"/>
    <n v="1"/>
    <n v="0"/>
    <x v="0"/>
    <x v="0"/>
    <b v="0"/>
    <n v="0"/>
    <n v="1"/>
    <x v="18"/>
    <n v="7.5800000000000006E-2"/>
    <n v="0.42"/>
    <n v="0.3881"/>
    <n v="1"/>
    <n v="24"/>
    <n v="25"/>
    <x v="0"/>
    <x v="0"/>
    <x v="0"/>
    <x v="0"/>
    <x v="0"/>
    <n v="0.22929155386993369"/>
    <n v="-0.25435329828790432"/>
  </r>
  <r>
    <n v="187"/>
    <d v="2011-01-09T00:00:00"/>
    <n v="1"/>
    <n v="0"/>
    <x v="0"/>
    <x v="1"/>
    <b v="0"/>
    <n v="0"/>
    <n v="1"/>
    <x v="18"/>
    <n v="6.0600000000000001E-2"/>
    <n v="0.42"/>
    <n v="0.4627"/>
    <n v="0"/>
    <n v="12"/>
    <n v="12"/>
    <x v="0"/>
    <x v="0"/>
    <x v="0"/>
    <x v="0"/>
    <x v="0"/>
    <n v="0.22929155386993369"/>
    <n v="-0.25435329828790432"/>
  </r>
  <r>
    <n v="188"/>
    <d v="2011-01-09T00:00:00"/>
    <n v="1"/>
    <n v="0"/>
    <x v="0"/>
    <x v="2"/>
    <b v="0"/>
    <n v="0"/>
    <n v="1"/>
    <x v="18"/>
    <n v="6.0600000000000001E-2"/>
    <n v="0.46"/>
    <n v="0.4627"/>
    <n v="0"/>
    <n v="11"/>
    <n v="11"/>
    <x v="0"/>
    <x v="0"/>
    <x v="0"/>
    <x v="0"/>
    <x v="0"/>
    <n v="0.22929155386993369"/>
    <n v="-0.25435329828790432"/>
  </r>
  <r>
    <n v="189"/>
    <d v="2011-01-09T00:00:00"/>
    <n v="1"/>
    <n v="0"/>
    <x v="0"/>
    <x v="3"/>
    <b v="0"/>
    <n v="0"/>
    <n v="1"/>
    <x v="18"/>
    <n v="7.5800000000000006E-2"/>
    <n v="0.46"/>
    <n v="0.41789999999999999"/>
    <n v="0"/>
    <n v="4"/>
    <n v="4"/>
    <x v="0"/>
    <x v="0"/>
    <x v="0"/>
    <x v="0"/>
    <x v="0"/>
    <n v="0.22929155386993369"/>
    <n v="-0.25435329828790432"/>
  </r>
  <r>
    <n v="190"/>
    <d v="2011-01-09T00:00:00"/>
    <n v="1"/>
    <n v="0"/>
    <x v="0"/>
    <x v="4"/>
    <b v="0"/>
    <n v="0"/>
    <n v="1"/>
    <x v="19"/>
    <n v="9.0899999999999995E-2"/>
    <n v="0.53"/>
    <n v="0.19400000000000001"/>
    <n v="0"/>
    <n v="1"/>
    <n v="1"/>
    <x v="0"/>
    <x v="0"/>
    <x v="0"/>
    <x v="0"/>
    <x v="0"/>
    <n v="0.22929155386993369"/>
    <n v="-0.25435329828790432"/>
  </r>
  <r>
    <n v="191"/>
    <d v="2011-01-09T00:00:00"/>
    <n v="1"/>
    <n v="0"/>
    <x v="0"/>
    <x v="5"/>
    <b v="0"/>
    <n v="0"/>
    <n v="1"/>
    <x v="19"/>
    <n v="9.0899999999999995E-2"/>
    <n v="0.53"/>
    <n v="0.19400000000000001"/>
    <n v="0"/>
    <n v="1"/>
    <n v="1"/>
    <x v="0"/>
    <x v="0"/>
    <x v="0"/>
    <x v="0"/>
    <x v="0"/>
    <n v="0.22929155386993369"/>
    <n v="-0.25435329828790432"/>
  </r>
  <r>
    <n v="192"/>
    <d v="2011-01-09T00:00:00"/>
    <n v="1"/>
    <n v="0"/>
    <x v="0"/>
    <x v="6"/>
    <b v="0"/>
    <n v="0"/>
    <n v="1"/>
    <x v="18"/>
    <n v="9.0899999999999995E-2"/>
    <n v="0.49"/>
    <n v="0.28360000000000002"/>
    <n v="0"/>
    <n v="1"/>
    <n v="1"/>
    <x v="0"/>
    <x v="0"/>
    <x v="1"/>
    <x v="0"/>
    <x v="0"/>
    <n v="0.22929155386993369"/>
    <n v="-0.25435329828790432"/>
  </r>
  <r>
    <n v="193"/>
    <d v="2011-01-09T00:00:00"/>
    <n v="1"/>
    <n v="0"/>
    <x v="0"/>
    <x v="7"/>
    <b v="0"/>
    <n v="0"/>
    <n v="1"/>
    <x v="19"/>
    <n v="9.0899999999999995E-2"/>
    <n v="0.53"/>
    <n v="0.19400000000000001"/>
    <n v="1"/>
    <n v="5"/>
    <n v="6"/>
    <x v="0"/>
    <x v="0"/>
    <x v="1"/>
    <x v="0"/>
    <x v="0"/>
    <n v="0.22929155386993369"/>
    <n v="-0.25435329828790432"/>
  </r>
  <r>
    <n v="194"/>
    <d v="2011-01-09T00:00:00"/>
    <n v="1"/>
    <n v="0"/>
    <x v="0"/>
    <x v="8"/>
    <b v="0"/>
    <n v="0"/>
    <n v="1"/>
    <x v="18"/>
    <n v="9.0899999999999995E-2"/>
    <n v="0.49"/>
    <n v="0.28360000000000002"/>
    <n v="0"/>
    <n v="10"/>
    <n v="10"/>
    <x v="0"/>
    <x v="0"/>
    <x v="1"/>
    <x v="0"/>
    <x v="0"/>
    <n v="0.22929155386993369"/>
    <n v="-0.25435329828790432"/>
  </r>
  <r>
    <n v="195"/>
    <d v="2011-01-09T00:00:00"/>
    <n v="1"/>
    <n v="0"/>
    <x v="0"/>
    <x v="9"/>
    <b v="0"/>
    <n v="0"/>
    <n v="1"/>
    <x v="16"/>
    <n v="7.5800000000000006E-2"/>
    <n v="0.46"/>
    <n v="0.52239999999999998"/>
    <n v="0"/>
    <n v="19"/>
    <n v="19"/>
    <x v="0"/>
    <x v="0"/>
    <x v="1"/>
    <x v="0"/>
    <x v="0"/>
    <n v="0.22929155386993369"/>
    <n v="-0.25435329828790432"/>
  </r>
  <r>
    <n v="196"/>
    <d v="2011-01-09T00:00:00"/>
    <n v="1"/>
    <n v="0"/>
    <x v="0"/>
    <x v="10"/>
    <b v="0"/>
    <n v="0"/>
    <n v="1"/>
    <x v="14"/>
    <n v="0.1061"/>
    <n v="0.43"/>
    <n v="0.3881"/>
    <n v="0"/>
    <n v="49"/>
    <n v="49"/>
    <x v="0"/>
    <x v="0"/>
    <x v="1"/>
    <x v="0"/>
    <x v="0"/>
    <n v="0.22929155386993369"/>
    <n v="-0.25435329828790432"/>
  </r>
  <r>
    <n v="197"/>
    <d v="2011-01-09T00:00:00"/>
    <n v="1"/>
    <n v="0"/>
    <x v="0"/>
    <x v="11"/>
    <b v="0"/>
    <n v="0"/>
    <n v="1"/>
    <x v="13"/>
    <n v="0.1212"/>
    <n v="0.4"/>
    <n v="0.52239999999999998"/>
    <n v="2"/>
    <n v="47"/>
    <n v="49"/>
    <x v="0"/>
    <x v="0"/>
    <x v="1"/>
    <x v="0"/>
    <x v="0"/>
    <n v="0.22929155386993369"/>
    <n v="-0.25435329828790432"/>
  </r>
  <r>
    <n v="198"/>
    <d v="2011-01-09T00:00:00"/>
    <n v="1"/>
    <n v="0"/>
    <x v="0"/>
    <x v="12"/>
    <b v="0"/>
    <n v="0"/>
    <n v="1"/>
    <x v="15"/>
    <n v="0.13639999999999999"/>
    <n v="0.37"/>
    <n v="0.44779999999999998"/>
    <n v="4"/>
    <n v="79"/>
    <n v="83"/>
    <x v="0"/>
    <x v="0"/>
    <x v="2"/>
    <x v="0"/>
    <x v="0"/>
    <n v="0.22929155386993369"/>
    <n v="-0.25435329828790432"/>
  </r>
  <r>
    <n v="199"/>
    <d v="2011-01-09T00:00:00"/>
    <n v="1"/>
    <n v="0"/>
    <x v="0"/>
    <x v="13"/>
    <b v="0"/>
    <n v="0"/>
    <n v="1"/>
    <x v="2"/>
    <n v="0.16669999999999999"/>
    <n v="0.34"/>
    <n v="0.44779999999999998"/>
    <n v="6"/>
    <n v="69"/>
    <n v="75"/>
    <x v="0"/>
    <x v="0"/>
    <x v="2"/>
    <x v="0"/>
    <x v="0"/>
    <n v="0.22929155386993369"/>
    <n v="-0.25435329828790432"/>
  </r>
  <r>
    <n v="200"/>
    <d v="2011-01-09T00:00:00"/>
    <n v="1"/>
    <n v="0"/>
    <x v="0"/>
    <x v="14"/>
    <b v="0"/>
    <n v="0"/>
    <n v="1"/>
    <x v="1"/>
    <n v="0.18179999999999999"/>
    <n v="0.32"/>
    <n v="0.4627"/>
    <n v="8"/>
    <n v="64"/>
    <n v="72"/>
    <x v="0"/>
    <x v="0"/>
    <x v="2"/>
    <x v="0"/>
    <x v="0"/>
    <n v="0.22929155386993369"/>
    <n v="-0.25435329828790432"/>
  </r>
  <r>
    <n v="201"/>
    <d v="2011-01-09T00:00:00"/>
    <n v="1"/>
    <n v="0"/>
    <x v="0"/>
    <x v="15"/>
    <b v="0"/>
    <n v="0"/>
    <n v="1"/>
    <x v="1"/>
    <n v="0.19700000000000001"/>
    <n v="0.35"/>
    <n v="0.35820000000000002"/>
    <n v="5"/>
    <n v="77"/>
    <n v="82"/>
    <x v="0"/>
    <x v="0"/>
    <x v="2"/>
    <x v="0"/>
    <x v="0"/>
    <n v="0.22929155386993369"/>
    <n v="-0.25435329828790432"/>
  </r>
  <r>
    <n v="202"/>
    <d v="2011-01-09T00:00:00"/>
    <n v="1"/>
    <n v="0"/>
    <x v="0"/>
    <x v="16"/>
    <b v="0"/>
    <n v="0"/>
    <n v="1"/>
    <x v="2"/>
    <n v="0.16669999999999999"/>
    <n v="0.34"/>
    <n v="0.44779999999999998"/>
    <n v="13"/>
    <n v="79"/>
    <n v="92"/>
    <x v="0"/>
    <x v="0"/>
    <x v="2"/>
    <x v="0"/>
    <x v="0"/>
    <n v="0.22929155386993369"/>
    <n v="-0.25435329828790432"/>
  </r>
  <r>
    <n v="203"/>
    <d v="2011-01-09T00:00:00"/>
    <n v="1"/>
    <n v="0"/>
    <x v="0"/>
    <x v="17"/>
    <b v="0"/>
    <n v="0"/>
    <n v="1"/>
    <x v="15"/>
    <n v="0.1515"/>
    <n v="0.37"/>
    <n v="0.3881"/>
    <n v="3"/>
    <n v="59"/>
    <n v="62"/>
    <x v="0"/>
    <x v="0"/>
    <x v="3"/>
    <x v="0"/>
    <x v="0"/>
    <n v="0.22929155386993369"/>
    <n v="-0.25435329828790432"/>
  </r>
  <r>
    <n v="204"/>
    <d v="2011-01-09T00:00:00"/>
    <n v="1"/>
    <n v="0"/>
    <x v="0"/>
    <x v="18"/>
    <b v="0"/>
    <n v="0"/>
    <n v="1"/>
    <x v="13"/>
    <n v="0.13639999999999999"/>
    <n v="0.4"/>
    <n v="0.32840000000000003"/>
    <n v="4"/>
    <n v="44"/>
    <n v="48"/>
    <x v="0"/>
    <x v="0"/>
    <x v="3"/>
    <x v="0"/>
    <x v="0"/>
    <n v="0.22929155386993369"/>
    <n v="-0.25435329828790432"/>
  </r>
  <r>
    <n v="205"/>
    <d v="2011-01-09T00:00:00"/>
    <n v="1"/>
    <n v="0"/>
    <x v="0"/>
    <x v="19"/>
    <b v="0"/>
    <n v="0"/>
    <n v="1"/>
    <x v="13"/>
    <n v="0.13639999999999999"/>
    <n v="0.43"/>
    <n v="0.32840000000000003"/>
    <n v="1"/>
    <n v="40"/>
    <n v="41"/>
    <x v="0"/>
    <x v="0"/>
    <x v="3"/>
    <x v="0"/>
    <x v="0"/>
    <n v="0.22929155386993369"/>
    <n v="-0.25435329828790432"/>
  </r>
  <r>
    <n v="206"/>
    <d v="2011-01-09T00:00:00"/>
    <n v="1"/>
    <n v="0"/>
    <x v="0"/>
    <x v="20"/>
    <b v="0"/>
    <n v="0"/>
    <n v="1"/>
    <x v="14"/>
    <n v="0.1212"/>
    <n v="0.46"/>
    <n v="0.25369999999999998"/>
    <n v="0"/>
    <n v="38"/>
    <n v="38"/>
    <x v="0"/>
    <x v="0"/>
    <x v="3"/>
    <x v="0"/>
    <x v="0"/>
    <n v="0.22929155386993369"/>
    <n v="-0.25435329828790432"/>
  </r>
  <r>
    <n v="207"/>
    <d v="2011-01-09T00:00:00"/>
    <n v="1"/>
    <n v="0"/>
    <x v="0"/>
    <x v="21"/>
    <b v="0"/>
    <n v="0"/>
    <n v="1"/>
    <x v="14"/>
    <n v="0.1061"/>
    <n v="0.46"/>
    <n v="0.41789999999999999"/>
    <n v="1"/>
    <n v="19"/>
    <n v="20"/>
    <x v="0"/>
    <x v="0"/>
    <x v="0"/>
    <x v="0"/>
    <x v="0"/>
    <n v="0.22929155386993369"/>
    <n v="-0.25435329828790432"/>
  </r>
  <r>
    <n v="208"/>
    <d v="2011-01-09T00:00:00"/>
    <n v="1"/>
    <n v="0"/>
    <x v="0"/>
    <x v="22"/>
    <b v="0"/>
    <n v="0"/>
    <n v="1"/>
    <x v="14"/>
    <n v="0.1212"/>
    <n v="0.46"/>
    <n v="0.29849999999999999"/>
    <n v="5"/>
    <n v="10"/>
    <n v="15"/>
    <x v="0"/>
    <x v="0"/>
    <x v="0"/>
    <x v="0"/>
    <x v="0"/>
    <n v="0.22929155386993369"/>
    <n v="-0.25435329828790432"/>
  </r>
  <r>
    <n v="209"/>
    <d v="2011-01-09T00:00:00"/>
    <n v="1"/>
    <n v="0"/>
    <x v="0"/>
    <x v="23"/>
    <b v="0"/>
    <n v="0"/>
    <n v="1"/>
    <x v="16"/>
    <n v="0.13639999999999999"/>
    <n v="0.5"/>
    <n v="0.19400000000000001"/>
    <n v="0"/>
    <n v="6"/>
    <n v="6"/>
    <x v="0"/>
    <x v="0"/>
    <x v="0"/>
    <x v="0"/>
    <x v="0"/>
    <n v="0.22929155386993369"/>
    <n v="-0.25435329828790432"/>
  </r>
  <r>
    <n v="210"/>
    <d v="2011-01-10T00:00:00"/>
    <n v="1"/>
    <n v="0"/>
    <x v="0"/>
    <x v="0"/>
    <b v="0"/>
    <n v="1"/>
    <n v="1"/>
    <x v="16"/>
    <n v="0.1212"/>
    <n v="0.5"/>
    <n v="0.28360000000000002"/>
    <n v="2"/>
    <n v="3"/>
    <n v="5"/>
    <x v="1"/>
    <x v="0"/>
    <x v="0"/>
    <x v="0"/>
    <x v="0"/>
    <n v="0.22929155386993369"/>
    <n v="-0.25435329828790432"/>
  </r>
  <r>
    <n v="211"/>
    <d v="2011-01-10T00:00:00"/>
    <n v="1"/>
    <n v="0"/>
    <x v="0"/>
    <x v="1"/>
    <b v="0"/>
    <n v="1"/>
    <n v="1"/>
    <x v="16"/>
    <n v="0.1212"/>
    <n v="0.5"/>
    <n v="0.28360000000000002"/>
    <n v="1"/>
    <n v="0"/>
    <n v="1"/>
    <x v="1"/>
    <x v="0"/>
    <x v="0"/>
    <x v="0"/>
    <x v="0"/>
    <n v="0.22929155386993369"/>
    <n v="-0.25435329828790432"/>
  </r>
  <r>
    <n v="212"/>
    <d v="2011-01-10T00:00:00"/>
    <n v="1"/>
    <n v="0"/>
    <x v="0"/>
    <x v="2"/>
    <b v="0"/>
    <n v="1"/>
    <n v="1"/>
    <x v="16"/>
    <n v="0.1212"/>
    <n v="0.5"/>
    <n v="0.22389999999999999"/>
    <n v="0"/>
    <n v="3"/>
    <n v="3"/>
    <x v="1"/>
    <x v="0"/>
    <x v="0"/>
    <x v="0"/>
    <x v="0"/>
    <n v="0.22929155386993369"/>
    <n v="-0.25435329828790432"/>
  </r>
  <r>
    <n v="213"/>
    <d v="2011-01-10T00:00:00"/>
    <n v="1"/>
    <n v="0"/>
    <x v="0"/>
    <x v="3"/>
    <b v="0"/>
    <n v="1"/>
    <n v="1"/>
    <x v="16"/>
    <n v="0.1212"/>
    <n v="0.5"/>
    <n v="0.22389999999999999"/>
    <n v="0"/>
    <n v="1"/>
    <n v="1"/>
    <x v="1"/>
    <x v="0"/>
    <x v="0"/>
    <x v="0"/>
    <x v="0"/>
    <n v="0.22929155386993369"/>
    <n v="-0.25435329828790432"/>
  </r>
  <r>
    <n v="214"/>
    <d v="2011-01-10T00:00:00"/>
    <n v="1"/>
    <n v="0"/>
    <x v="0"/>
    <x v="4"/>
    <b v="0"/>
    <n v="1"/>
    <n v="1"/>
    <x v="18"/>
    <n v="0.1212"/>
    <n v="0.54"/>
    <n v="0.1343"/>
    <n v="1"/>
    <n v="2"/>
    <n v="3"/>
    <x v="1"/>
    <x v="0"/>
    <x v="0"/>
    <x v="0"/>
    <x v="0"/>
    <n v="0.22929155386993369"/>
    <n v="-0.25435329828790432"/>
  </r>
  <r>
    <n v="215"/>
    <d v="2011-01-10T00:00:00"/>
    <n v="1"/>
    <n v="0"/>
    <x v="0"/>
    <x v="5"/>
    <b v="0"/>
    <n v="1"/>
    <n v="1"/>
    <x v="18"/>
    <n v="0.1061"/>
    <n v="0.54"/>
    <n v="0.25369999999999998"/>
    <n v="0"/>
    <n v="3"/>
    <n v="3"/>
    <x v="1"/>
    <x v="0"/>
    <x v="0"/>
    <x v="0"/>
    <x v="0"/>
    <n v="0.22929155386993369"/>
    <n v="-0.25435329828790432"/>
  </r>
  <r>
    <n v="216"/>
    <d v="2011-01-10T00:00:00"/>
    <n v="1"/>
    <n v="0"/>
    <x v="0"/>
    <x v="6"/>
    <b v="0"/>
    <n v="1"/>
    <n v="1"/>
    <x v="16"/>
    <n v="0.1212"/>
    <n v="0.5"/>
    <n v="0.28360000000000002"/>
    <n v="0"/>
    <n v="31"/>
    <n v="31"/>
    <x v="1"/>
    <x v="0"/>
    <x v="1"/>
    <x v="0"/>
    <x v="0"/>
    <n v="0.22929155386993369"/>
    <n v="-0.25435329828790432"/>
  </r>
  <r>
    <n v="217"/>
    <d v="2011-01-10T00:00:00"/>
    <n v="1"/>
    <n v="0"/>
    <x v="0"/>
    <x v="7"/>
    <b v="0"/>
    <n v="1"/>
    <n v="1"/>
    <x v="16"/>
    <n v="0.1212"/>
    <n v="0.5"/>
    <n v="0.22389999999999999"/>
    <n v="2"/>
    <n v="75"/>
    <n v="77"/>
    <x v="1"/>
    <x v="0"/>
    <x v="1"/>
    <x v="0"/>
    <x v="0"/>
    <n v="0.22929155386993369"/>
    <n v="-0.25435329828790432"/>
  </r>
  <r>
    <n v="218"/>
    <d v="2011-01-10T00:00:00"/>
    <n v="1"/>
    <n v="0"/>
    <x v="0"/>
    <x v="8"/>
    <b v="0"/>
    <n v="1"/>
    <n v="2"/>
    <x v="16"/>
    <n v="0.1212"/>
    <n v="0.5"/>
    <n v="0.28360000000000002"/>
    <n v="4"/>
    <n v="184"/>
    <n v="188"/>
    <x v="1"/>
    <x v="1"/>
    <x v="1"/>
    <x v="0"/>
    <x v="0"/>
    <n v="0.22929155386993369"/>
    <n v="-0.25435329828790432"/>
  </r>
  <r>
    <n v="219"/>
    <d v="2011-01-10T00:00:00"/>
    <n v="1"/>
    <n v="0"/>
    <x v="0"/>
    <x v="9"/>
    <b v="0"/>
    <n v="1"/>
    <n v="2"/>
    <x v="14"/>
    <n v="0.1212"/>
    <n v="0.5"/>
    <n v="0.25369999999999998"/>
    <n v="2"/>
    <n v="92"/>
    <n v="94"/>
    <x v="1"/>
    <x v="1"/>
    <x v="1"/>
    <x v="0"/>
    <x v="0"/>
    <n v="0.22929155386993369"/>
    <n v="-0.25435329828790432"/>
  </r>
  <r>
    <n v="220"/>
    <d v="2011-01-10T00:00:00"/>
    <n v="1"/>
    <n v="0"/>
    <x v="0"/>
    <x v="10"/>
    <b v="0"/>
    <n v="1"/>
    <n v="2"/>
    <x v="14"/>
    <n v="0.1212"/>
    <n v="0.5"/>
    <n v="0.29849999999999999"/>
    <n v="0"/>
    <n v="31"/>
    <n v="31"/>
    <x v="1"/>
    <x v="1"/>
    <x v="1"/>
    <x v="0"/>
    <x v="0"/>
    <n v="0.22929155386993369"/>
    <n v="-0.25435329828790432"/>
  </r>
  <r>
    <n v="221"/>
    <d v="2011-01-10T00:00:00"/>
    <n v="1"/>
    <n v="0"/>
    <x v="0"/>
    <x v="11"/>
    <b v="0"/>
    <n v="1"/>
    <n v="2"/>
    <x v="13"/>
    <n v="0.13639999999999999"/>
    <n v="0.47"/>
    <n v="0.28360000000000002"/>
    <n v="2"/>
    <n v="28"/>
    <n v="30"/>
    <x v="1"/>
    <x v="1"/>
    <x v="1"/>
    <x v="0"/>
    <x v="0"/>
    <n v="0.22929155386993369"/>
    <n v="-0.25435329828790432"/>
  </r>
  <r>
    <n v="222"/>
    <d v="2011-01-10T00:00:00"/>
    <n v="1"/>
    <n v="0"/>
    <x v="0"/>
    <x v="12"/>
    <b v="0"/>
    <n v="1"/>
    <n v="2"/>
    <x v="2"/>
    <n v="0.18179999999999999"/>
    <n v="0.4"/>
    <n v="0.28360000000000002"/>
    <n v="5"/>
    <n v="47"/>
    <n v="52"/>
    <x v="1"/>
    <x v="1"/>
    <x v="2"/>
    <x v="0"/>
    <x v="0"/>
    <n v="0.22929155386993369"/>
    <n v="-0.25435329828790432"/>
  </r>
  <r>
    <n v="223"/>
    <d v="2011-01-10T00:00:00"/>
    <n v="1"/>
    <n v="0"/>
    <x v="0"/>
    <x v="13"/>
    <b v="0"/>
    <n v="1"/>
    <n v="2"/>
    <x v="2"/>
    <n v="0.18179999999999999"/>
    <n v="0.4"/>
    <n v="0.28360000000000002"/>
    <n v="4"/>
    <n v="50"/>
    <n v="54"/>
    <x v="1"/>
    <x v="1"/>
    <x v="2"/>
    <x v="0"/>
    <x v="0"/>
    <n v="0.22929155386993369"/>
    <n v="-0.25435329828790432"/>
  </r>
  <r>
    <n v="224"/>
    <d v="2011-01-10T00:00:00"/>
    <n v="1"/>
    <n v="0"/>
    <x v="0"/>
    <x v="14"/>
    <b v="0"/>
    <n v="1"/>
    <n v="2"/>
    <x v="2"/>
    <n v="0.19700000000000001"/>
    <n v="0.4"/>
    <n v="0.22389999999999999"/>
    <n v="0"/>
    <n v="47"/>
    <n v="47"/>
    <x v="1"/>
    <x v="1"/>
    <x v="2"/>
    <x v="0"/>
    <x v="0"/>
    <n v="0.22929155386993369"/>
    <n v="-0.25435329828790432"/>
  </r>
  <r>
    <n v="225"/>
    <d v="2011-01-10T00:00:00"/>
    <n v="1"/>
    <n v="0"/>
    <x v="0"/>
    <x v="15"/>
    <b v="0"/>
    <n v="1"/>
    <n v="2"/>
    <x v="2"/>
    <n v="0.19700000000000001"/>
    <n v="0.4"/>
    <n v="0.22389999999999999"/>
    <n v="2"/>
    <n v="43"/>
    <n v="45"/>
    <x v="1"/>
    <x v="1"/>
    <x v="2"/>
    <x v="0"/>
    <x v="0"/>
    <n v="0.22929155386993369"/>
    <n v="-0.25435329828790432"/>
  </r>
  <r>
    <n v="226"/>
    <d v="2011-01-10T00:00:00"/>
    <n v="1"/>
    <n v="0"/>
    <x v="0"/>
    <x v="16"/>
    <b v="0"/>
    <n v="1"/>
    <n v="1"/>
    <x v="2"/>
    <n v="0.21210000000000001"/>
    <n v="0.4"/>
    <n v="0.1343"/>
    <n v="4"/>
    <n v="70"/>
    <n v="74"/>
    <x v="1"/>
    <x v="0"/>
    <x v="2"/>
    <x v="0"/>
    <x v="0"/>
    <n v="0.22929155386993369"/>
    <n v="-0.25435329828790432"/>
  </r>
  <r>
    <n v="227"/>
    <d v="2011-01-10T00:00:00"/>
    <n v="1"/>
    <n v="0"/>
    <x v="0"/>
    <x v="17"/>
    <b v="0"/>
    <n v="1"/>
    <n v="1"/>
    <x v="2"/>
    <n v="0.2273"/>
    <n v="0.4"/>
    <n v="0.1045"/>
    <n v="4"/>
    <n v="174"/>
    <n v="178"/>
    <x v="1"/>
    <x v="0"/>
    <x v="3"/>
    <x v="0"/>
    <x v="0"/>
    <n v="0.22929155386993369"/>
    <n v="-0.25435329828790432"/>
  </r>
  <r>
    <n v="228"/>
    <d v="2011-01-10T00:00:00"/>
    <n v="1"/>
    <n v="0"/>
    <x v="0"/>
    <x v="18"/>
    <b v="0"/>
    <n v="1"/>
    <n v="1"/>
    <x v="2"/>
    <n v="0.19700000000000001"/>
    <n v="0.4"/>
    <n v="0.22389999999999999"/>
    <n v="1"/>
    <n v="154"/>
    <n v="155"/>
    <x v="1"/>
    <x v="0"/>
    <x v="3"/>
    <x v="0"/>
    <x v="0"/>
    <n v="0.22929155386993369"/>
    <n v="-0.25435329828790432"/>
  </r>
  <r>
    <n v="229"/>
    <d v="2011-01-10T00:00:00"/>
    <n v="1"/>
    <n v="0"/>
    <x v="0"/>
    <x v="19"/>
    <b v="0"/>
    <n v="1"/>
    <n v="1"/>
    <x v="13"/>
    <n v="0.16669999999999999"/>
    <n v="0.47"/>
    <n v="0.16420000000000001"/>
    <n v="3"/>
    <n v="92"/>
    <n v="95"/>
    <x v="1"/>
    <x v="0"/>
    <x v="3"/>
    <x v="0"/>
    <x v="0"/>
    <n v="0.22929155386993369"/>
    <n v="-0.25435329828790432"/>
  </r>
  <r>
    <n v="230"/>
    <d v="2011-01-10T00:00:00"/>
    <n v="1"/>
    <n v="0"/>
    <x v="0"/>
    <x v="20"/>
    <b v="0"/>
    <n v="1"/>
    <n v="1"/>
    <x v="13"/>
    <n v="0.16669999999999999"/>
    <n v="0.5"/>
    <n v="0.16420000000000001"/>
    <n v="1"/>
    <n v="73"/>
    <n v="74"/>
    <x v="1"/>
    <x v="0"/>
    <x v="3"/>
    <x v="0"/>
    <x v="0"/>
    <n v="0.22929155386993369"/>
    <n v="-0.25435329828790432"/>
  </r>
  <r>
    <n v="231"/>
    <d v="2011-01-10T00:00:00"/>
    <n v="1"/>
    <n v="0"/>
    <x v="0"/>
    <x v="21"/>
    <b v="0"/>
    <n v="1"/>
    <n v="1"/>
    <x v="14"/>
    <n v="0.13639999999999999"/>
    <n v="0.59"/>
    <n v="0.19400000000000001"/>
    <n v="1"/>
    <n v="37"/>
    <n v="38"/>
    <x v="1"/>
    <x v="0"/>
    <x v="0"/>
    <x v="0"/>
    <x v="0"/>
    <n v="0.22929155386993369"/>
    <n v="-0.25435329828790432"/>
  </r>
  <r>
    <n v="232"/>
    <d v="2011-01-10T00:00:00"/>
    <n v="1"/>
    <n v="0"/>
    <x v="0"/>
    <x v="22"/>
    <b v="0"/>
    <n v="1"/>
    <n v="1"/>
    <x v="14"/>
    <n v="0.1515"/>
    <n v="0.59"/>
    <n v="0.16420000000000001"/>
    <n v="2"/>
    <n v="22"/>
    <n v="24"/>
    <x v="1"/>
    <x v="0"/>
    <x v="0"/>
    <x v="0"/>
    <x v="0"/>
    <n v="0.22929155386993369"/>
    <n v="-0.25435329828790432"/>
  </r>
  <r>
    <n v="233"/>
    <d v="2011-01-10T00:00:00"/>
    <n v="1"/>
    <n v="0"/>
    <x v="0"/>
    <x v="23"/>
    <b v="0"/>
    <n v="1"/>
    <n v="1"/>
    <x v="14"/>
    <n v="0.1515"/>
    <n v="0.59"/>
    <n v="0.16420000000000001"/>
    <n v="0"/>
    <n v="18"/>
    <n v="18"/>
    <x v="1"/>
    <x v="0"/>
    <x v="0"/>
    <x v="0"/>
    <x v="0"/>
    <n v="0.22929155386993369"/>
    <n v="-0.25435329828790432"/>
  </r>
  <r>
    <n v="234"/>
    <d v="2011-01-11T00:00:00"/>
    <n v="1"/>
    <n v="0"/>
    <x v="0"/>
    <x v="0"/>
    <b v="0"/>
    <n v="2"/>
    <n v="1"/>
    <x v="14"/>
    <n v="0.16669999999999999"/>
    <n v="0.59"/>
    <n v="0.1045"/>
    <n v="2"/>
    <n v="10"/>
    <n v="12"/>
    <x v="1"/>
    <x v="0"/>
    <x v="0"/>
    <x v="0"/>
    <x v="0"/>
    <n v="0.22929155386993369"/>
    <n v="-0.25435329828790432"/>
  </r>
  <r>
    <n v="235"/>
    <d v="2011-01-11T00:00:00"/>
    <n v="1"/>
    <n v="0"/>
    <x v="0"/>
    <x v="1"/>
    <b v="0"/>
    <n v="2"/>
    <n v="1"/>
    <x v="14"/>
    <n v="0.1515"/>
    <n v="0.59"/>
    <n v="0.16420000000000001"/>
    <n v="0"/>
    <n v="3"/>
    <n v="3"/>
    <x v="1"/>
    <x v="0"/>
    <x v="0"/>
    <x v="0"/>
    <x v="0"/>
    <n v="0.22929155386993369"/>
    <n v="-0.25435329828790432"/>
  </r>
  <r>
    <n v="236"/>
    <d v="2011-01-11T00:00:00"/>
    <n v="1"/>
    <n v="0"/>
    <x v="0"/>
    <x v="2"/>
    <b v="0"/>
    <n v="2"/>
    <n v="2"/>
    <x v="13"/>
    <n v="0.1515"/>
    <n v="0.55000000000000004"/>
    <n v="0.19400000000000001"/>
    <n v="0"/>
    <n v="3"/>
    <n v="3"/>
    <x v="1"/>
    <x v="1"/>
    <x v="0"/>
    <x v="0"/>
    <x v="0"/>
    <n v="0.22929155386993369"/>
    <n v="-0.25435329828790432"/>
  </r>
  <r>
    <n v="237"/>
    <d v="2011-01-11T00:00:00"/>
    <n v="1"/>
    <n v="0"/>
    <x v="0"/>
    <x v="5"/>
    <b v="0"/>
    <n v="2"/>
    <n v="2"/>
    <x v="13"/>
    <n v="0.18179999999999999"/>
    <n v="0.55000000000000004"/>
    <n v="0.1343"/>
    <n v="0"/>
    <n v="6"/>
    <n v="6"/>
    <x v="1"/>
    <x v="1"/>
    <x v="0"/>
    <x v="0"/>
    <x v="0"/>
    <n v="0.22929155386993369"/>
    <n v="-0.25435329828790432"/>
  </r>
  <r>
    <n v="238"/>
    <d v="2011-01-11T00:00:00"/>
    <n v="1"/>
    <n v="0"/>
    <x v="0"/>
    <x v="6"/>
    <b v="0"/>
    <n v="2"/>
    <n v="2"/>
    <x v="13"/>
    <n v="0.18179999999999999"/>
    <n v="0.55000000000000004"/>
    <n v="0.1343"/>
    <n v="0"/>
    <n v="27"/>
    <n v="27"/>
    <x v="1"/>
    <x v="1"/>
    <x v="1"/>
    <x v="0"/>
    <x v="0"/>
    <n v="0.22929155386993369"/>
    <n v="-0.25435329828790432"/>
  </r>
  <r>
    <n v="239"/>
    <d v="2011-01-11T00:00:00"/>
    <n v="1"/>
    <n v="0"/>
    <x v="0"/>
    <x v="7"/>
    <b v="0"/>
    <n v="2"/>
    <n v="2"/>
    <x v="13"/>
    <n v="0.2273"/>
    <n v="0.55000000000000004"/>
    <n v="0"/>
    <n v="2"/>
    <n v="97"/>
    <n v="99"/>
    <x v="1"/>
    <x v="1"/>
    <x v="1"/>
    <x v="0"/>
    <x v="0"/>
    <n v="0.22929155386993369"/>
    <n v="-0.25435329828790432"/>
  </r>
  <r>
    <n v="240"/>
    <d v="2011-01-11T00:00:00"/>
    <n v="1"/>
    <n v="0"/>
    <x v="0"/>
    <x v="8"/>
    <b v="0"/>
    <n v="2"/>
    <n v="2"/>
    <x v="15"/>
    <n v="0.21210000000000001"/>
    <n v="0.51"/>
    <n v="8.9599999999999999E-2"/>
    <n v="3"/>
    <n v="214"/>
    <n v="217"/>
    <x v="1"/>
    <x v="1"/>
    <x v="1"/>
    <x v="0"/>
    <x v="0"/>
    <n v="0.22929155386993369"/>
    <n v="-0.25435329828790432"/>
  </r>
  <r>
    <n v="241"/>
    <d v="2011-01-11T00:00:00"/>
    <n v="1"/>
    <n v="0"/>
    <x v="0"/>
    <x v="9"/>
    <b v="0"/>
    <n v="2"/>
    <n v="2"/>
    <x v="15"/>
    <n v="0.19700000000000001"/>
    <n v="0.51"/>
    <n v="0.16420000000000001"/>
    <n v="3"/>
    <n v="127"/>
    <n v="130"/>
    <x v="1"/>
    <x v="1"/>
    <x v="1"/>
    <x v="0"/>
    <x v="0"/>
    <n v="0.22929155386993369"/>
    <n v="-0.25435329828790432"/>
  </r>
  <r>
    <n v="242"/>
    <d v="2011-01-11T00:00:00"/>
    <n v="1"/>
    <n v="0"/>
    <x v="0"/>
    <x v="10"/>
    <b v="0"/>
    <n v="2"/>
    <n v="2"/>
    <x v="2"/>
    <n v="0.21210000000000001"/>
    <n v="0.51"/>
    <n v="0.16420000000000001"/>
    <n v="3"/>
    <n v="51"/>
    <n v="54"/>
    <x v="1"/>
    <x v="1"/>
    <x v="1"/>
    <x v="0"/>
    <x v="0"/>
    <n v="0.22929155386993369"/>
    <n v="-0.25435329828790432"/>
  </r>
  <r>
    <n v="243"/>
    <d v="2011-01-11T00:00:00"/>
    <n v="1"/>
    <n v="0"/>
    <x v="0"/>
    <x v="11"/>
    <b v="0"/>
    <n v="2"/>
    <n v="2"/>
    <x v="2"/>
    <n v="0.21210000000000001"/>
    <n v="0.47"/>
    <n v="0.1343"/>
    <n v="4"/>
    <n v="31"/>
    <n v="35"/>
    <x v="1"/>
    <x v="1"/>
    <x v="1"/>
    <x v="0"/>
    <x v="0"/>
    <n v="0.22929155386993369"/>
    <n v="-0.25435329828790432"/>
  </r>
  <r>
    <n v="244"/>
    <d v="2011-01-11T00:00:00"/>
    <n v="1"/>
    <n v="0"/>
    <x v="0"/>
    <x v="12"/>
    <b v="0"/>
    <n v="2"/>
    <n v="2"/>
    <x v="2"/>
    <n v="0.2273"/>
    <n v="0.51"/>
    <n v="0.1045"/>
    <n v="2"/>
    <n v="55"/>
    <n v="57"/>
    <x v="1"/>
    <x v="1"/>
    <x v="2"/>
    <x v="0"/>
    <x v="0"/>
    <n v="0.22929155386993369"/>
    <n v="-0.25435329828790432"/>
  </r>
  <r>
    <n v="245"/>
    <d v="2011-01-11T00:00:00"/>
    <n v="1"/>
    <n v="0"/>
    <x v="0"/>
    <x v="13"/>
    <b v="0"/>
    <n v="2"/>
    <n v="2"/>
    <x v="2"/>
    <n v="0.2273"/>
    <n v="0.59"/>
    <n v="8.9599999999999999E-2"/>
    <n v="6"/>
    <n v="46"/>
    <n v="52"/>
    <x v="1"/>
    <x v="1"/>
    <x v="2"/>
    <x v="0"/>
    <x v="0"/>
    <n v="0.22929155386993369"/>
    <n v="-0.25435329828790432"/>
  </r>
  <r>
    <n v="246"/>
    <d v="2011-01-11T00:00:00"/>
    <n v="1"/>
    <n v="0"/>
    <x v="0"/>
    <x v="14"/>
    <b v="0"/>
    <n v="2"/>
    <n v="2"/>
    <x v="2"/>
    <n v="0.2273"/>
    <n v="0.59"/>
    <n v="8.9599999999999999E-2"/>
    <n v="3"/>
    <n v="60"/>
    <n v="63"/>
    <x v="1"/>
    <x v="1"/>
    <x v="2"/>
    <x v="0"/>
    <x v="0"/>
    <n v="0.22929155386993369"/>
    <n v="-0.25435329828790432"/>
  </r>
  <r>
    <n v="247"/>
    <d v="2011-01-11T00:00:00"/>
    <n v="1"/>
    <n v="0"/>
    <x v="0"/>
    <x v="15"/>
    <b v="0"/>
    <n v="2"/>
    <n v="2"/>
    <x v="13"/>
    <n v="0.19700000000000001"/>
    <n v="0.8"/>
    <n v="8.9599999999999999E-2"/>
    <n v="2"/>
    <n v="45"/>
    <n v="47"/>
    <x v="1"/>
    <x v="1"/>
    <x v="2"/>
    <x v="0"/>
    <x v="0"/>
    <n v="0.22929155386993369"/>
    <n v="-0.25435329828790432"/>
  </r>
  <r>
    <n v="248"/>
    <d v="2011-01-11T00:00:00"/>
    <n v="1"/>
    <n v="0"/>
    <x v="0"/>
    <x v="16"/>
    <b v="0"/>
    <n v="2"/>
    <n v="2"/>
    <x v="13"/>
    <n v="0.1515"/>
    <n v="0.86"/>
    <n v="0.22389999999999999"/>
    <n v="4"/>
    <n v="72"/>
    <n v="76"/>
    <x v="1"/>
    <x v="1"/>
    <x v="2"/>
    <x v="0"/>
    <x v="0"/>
    <n v="0.22929155386993369"/>
    <n v="-0.25435329828790432"/>
  </r>
  <r>
    <n v="249"/>
    <d v="2011-01-11T00:00:00"/>
    <n v="1"/>
    <n v="0"/>
    <x v="0"/>
    <x v="17"/>
    <b v="0"/>
    <n v="2"/>
    <n v="2"/>
    <x v="13"/>
    <n v="0.1515"/>
    <n v="0.86"/>
    <n v="0.22389999999999999"/>
    <n v="6"/>
    <n v="130"/>
    <n v="136"/>
    <x v="1"/>
    <x v="1"/>
    <x v="3"/>
    <x v="0"/>
    <x v="0"/>
    <n v="0.22929155386993369"/>
    <n v="-0.25435329828790432"/>
  </r>
  <r>
    <n v="250"/>
    <d v="2011-01-11T00:00:00"/>
    <n v="1"/>
    <n v="0"/>
    <x v="0"/>
    <x v="18"/>
    <b v="0"/>
    <n v="2"/>
    <n v="3"/>
    <x v="13"/>
    <n v="0.18179999999999999"/>
    <n v="0.93"/>
    <n v="0.1045"/>
    <n v="1"/>
    <n v="94"/>
    <n v="95"/>
    <x v="1"/>
    <x v="2"/>
    <x v="3"/>
    <x v="0"/>
    <x v="0"/>
    <n v="0.22929155386993369"/>
    <n v="-0.25435329828790432"/>
  </r>
  <r>
    <n v="251"/>
    <d v="2011-01-11T00:00:00"/>
    <n v="1"/>
    <n v="0"/>
    <x v="0"/>
    <x v="19"/>
    <b v="0"/>
    <n v="2"/>
    <n v="3"/>
    <x v="13"/>
    <n v="0.2273"/>
    <n v="0.93"/>
    <n v="0"/>
    <n v="0"/>
    <n v="51"/>
    <n v="51"/>
    <x v="1"/>
    <x v="2"/>
    <x v="3"/>
    <x v="0"/>
    <x v="0"/>
    <n v="0.22929155386993369"/>
    <n v="-0.25435329828790432"/>
  </r>
  <r>
    <n v="252"/>
    <d v="2011-01-11T00:00:00"/>
    <n v="1"/>
    <n v="0"/>
    <x v="0"/>
    <x v="20"/>
    <b v="0"/>
    <n v="2"/>
    <n v="3"/>
    <x v="13"/>
    <n v="0.1515"/>
    <n v="0.93"/>
    <n v="0.19400000000000001"/>
    <n v="0"/>
    <n v="32"/>
    <n v="32"/>
    <x v="1"/>
    <x v="2"/>
    <x v="3"/>
    <x v="0"/>
    <x v="0"/>
    <n v="0.22929155386993369"/>
    <n v="-0.25435329828790432"/>
  </r>
  <r>
    <n v="253"/>
    <d v="2011-01-11T00:00:00"/>
    <n v="1"/>
    <n v="0"/>
    <x v="0"/>
    <x v="21"/>
    <b v="0"/>
    <n v="2"/>
    <n v="3"/>
    <x v="13"/>
    <n v="0.19700000000000001"/>
    <n v="0.86"/>
    <n v="8.9599999999999999E-2"/>
    <n v="0"/>
    <n v="20"/>
    <n v="20"/>
    <x v="1"/>
    <x v="2"/>
    <x v="0"/>
    <x v="0"/>
    <x v="0"/>
    <n v="0.22929155386993369"/>
    <n v="-0.25435329828790432"/>
  </r>
  <r>
    <n v="254"/>
    <d v="2011-01-11T00:00:00"/>
    <n v="1"/>
    <n v="0"/>
    <x v="0"/>
    <x v="22"/>
    <b v="0"/>
    <n v="2"/>
    <n v="3"/>
    <x v="13"/>
    <n v="0.18179999999999999"/>
    <n v="0.93"/>
    <n v="0.1045"/>
    <n v="1"/>
    <n v="28"/>
    <n v="29"/>
    <x v="1"/>
    <x v="2"/>
    <x v="0"/>
    <x v="0"/>
    <x v="0"/>
    <n v="0.22929155386993369"/>
    <n v="-0.25435329828790432"/>
  </r>
  <r>
    <n v="255"/>
    <d v="2011-01-11T00:00:00"/>
    <n v="1"/>
    <n v="0"/>
    <x v="0"/>
    <x v="23"/>
    <b v="0"/>
    <n v="2"/>
    <n v="3"/>
    <x v="13"/>
    <n v="0.19700000000000001"/>
    <n v="0.93"/>
    <n v="8.9599999999999999E-2"/>
    <n v="1"/>
    <n v="18"/>
    <n v="19"/>
    <x v="1"/>
    <x v="2"/>
    <x v="0"/>
    <x v="0"/>
    <x v="0"/>
    <n v="0.22929155386993369"/>
    <n v="-0.25435329828790432"/>
  </r>
  <r>
    <n v="256"/>
    <d v="2011-01-12T00:00:00"/>
    <n v="1"/>
    <n v="0"/>
    <x v="0"/>
    <x v="0"/>
    <b v="0"/>
    <n v="3"/>
    <n v="2"/>
    <x v="13"/>
    <n v="0.19700000000000001"/>
    <n v="0.86"/>
    <n v="8.9599999999999999E-2"/>
    <n v="0"/>
    <n v="7"/>
    <n v="7"/>
    <x v="1"/>
    <x v="1"/>
    <x v="0"/>
    <x v="0"/>
    <x v="0"/>
    <n v="0.22929155386993369"/>
    <n v="-0.25435329828790432"/>
  </r>
  <r>
    <n v="257"/>
    <d v="2011-01-12T00:00:00"/>
    <n v="1"/>
    <n v="0"/>
    <x v="0"/>
    <x v="1"/>
    <b v="0"/>
    <n v="3"/>
    <n v="2"/>
    <x v="13"/>
    <n v="0.18179999999999999"/>
    <n v="0.86"/>
    <n v="0.1045"/>
    <n v="0"/>
    <n v="6"/>
    <n v="6"/>
    <x v="1"/>
    <x v="1"/>
    <x v="0"/>
    <x v="0"/>
    <x v="0"/>
    <n v="0.22929155386993369"/>
    <n v="-0.25435329828790432"/>
  </r>
  <r>
    <n v="258"/>
    <d v="2011-01-12T00:00:00"/>
    <n v="1"/>
    <n v="0"/>
    <x v="0"/>
    <x v="2"/>
    <b v="0"/>
    <n v="3"/>
    <n v="1"/>
    <x v="14"/>
    <n v="0.1515"/>
    <n v="0.86"/>
    <n v="0.1343"/>
    <n v="0"/>
    <n v="1"/>
    <n v="1"/>
    <x v="1"/>
    <x v="0"/>
    <x v="0"/>
    <x v="0"/>
    <x v="0"/>
    <n v="0.22929155386993369"/>
    <n v="-0.25435329828790432"/>
  </r>
  <r>
    <n v="259"/>
    <d v="2011-01-12T00:00:00"/>
    <n v="1"/>
    <n v="0"/>
    <x v="0"/>
    <x v="5"/>
    <b v="0"/>
    <n v="3"/>
    <n v="1"/>
    <x v="14"/>
    <n v="0.1515"/>
    <n v="0.86"/>
    <n v="0.16420000000000001"/>
    <n v="0"/>
    <n v="5"/>
    <n v="5"/>
    <x v="1"/>
    <x v="0"/>
    <x v="0"/>
    <x v="0"/>
    <x v="0"/>
    <n v="0.22929155386993369"/>
    <n v="-0.25435329828790432"/>
  </r>
  <r>
    <n v="260"/>
    <d v="2011-01-12T00:00:00"/>
    <n v="1"/>
    <n v="0"/>
    <x v="0"/>
    <x v="6"/>
    <b v="0"/>
    <n v="3"/>
    <n v="1"/>
    <x v="16"/>
    <n v="0.1515"/>
    <n v="0.93"/>
    <n v="0.1343"/>
    <n v="0"/>
    <n v="16"/>
    <n v="16"/>
    <x v="1"/>
    <x v="0"/>
    <x v="1"/>
    <x v="0"/>
    <x v="0"/>
    <n v="0.22929155386993369"/>
    <n v="-0.25435329828790432"/>
  </r>
  <r>
    <n v="261"/>
    <d v="2011-01-12T00:00:00"/>
    <n v="1"/>
    <n v="0"/>
    <x v="0"/>
    <x v="7"/>
    <b v="0"/>
    <n v="3"/>
    <n v="1"/>
    <x v="14"/>
    <n v="0.1515"/>
    <n v="0.69"/>
    <n v="0.1343"/>
    <n v="0"/>
    <n v="54"/>
    <n v="54"/>
    <x v="1"/>
    <x v="0"/>
    <x v="1"/>
    <x v="0"/>
    <x v="0"/>
    <n v="0.22929155386993369"/>
    <n v="-0.25435329828790432"/>
  </r>
  <r>
    <n v="262"/>
    <d v="2011-01-12T00:00:00"/>
    <n v="1"/>
    <n v="0"/>
    <x v="0"/>
    <x v="8"/>
    <b v="0"/>
    <n v="3"/>
    <n v="1"/>
    <x v="13"/>
    <n v="0.16669999999999999"/>
    <n v="0.59"/>
    <n v="0.16420000000000001"/>
    <n v="3"/>
    <n v="125"/>
    <n v="128"/>
    <x v="1"/>
    <x v="0"/>
    <x v="1"/>
    <x v="0"/>
    <x v="0"/>
    <n v="0.22929155386993369"/>
    <n v="-0.25435329828790432"/>
  </r>
  <r>
    <n v="263"/>
    <d v="2011-01-12T00:00:00"/>
    <n v="1"/>
    <n v="0"/>
    <x v="0"/>
    <x v="9"/>
    <b v="0"/>
    <n v="3"/>
    <n v="1"/>
    <x v="13"/>
    <n v="0.13639999999999999"/>
    <n v="0.59"/>
    <n v="0.32840000000000003"/>
    <n v="3"/>
    <n v="78"/>
    <n v="81"/>
    <x v="1"/>
    <x v="0"/>
    <x v="1"/>
    <x v="0"/>
    <x v="0"/>
    <n v="0.22929155386993369"/>
    <n v="-0.25435329828790432"/>
  </r>
  <r>
    <n v="264"/>
    <d v="2011-01-12T00:00:00"/>
    <n v="1"/>
    <n v="0"/>
    <x v="0"/>
    <x v="10"/>
    <b v="0"/>
    <n v="3"/>
    <n v="1"/>
    <x v="15"/>
    <n v="0.18179999999999999"/>
    <n v="0.55000000000000004"/>
    <n v="0.22389999999999999"/>
    <n v="0"/>
    <n v="39"/>
    <n v="39"/>
    <x v="1"/>
    <x v="0"/>
    <x v="1"/>
    <x v="0"/>
    <x v="0"/>
    <n v="0.22929155386993369"/>
    <n v="-0.25435329828790432"/>
  </r>
  <r>
    <n v="265"/>
    <d v="2011-01-12T00:00:00"/>
    <n v="1"/>
    <n v="0"/>
    <x v="0"/>
    <x v="11"/>
    <b v="0"/>
    <n v="3"/>
    <n v="1"/>
    <x v="2"/>
    <n v="0.18179999999999999"/>
    <n v="0.51"/>
    <n v="0.3881"/>
    <n v="3"/>
    <n v="32"/>
    <n v="35"/>
    <x v="1"/>
    <x v="0"/>
    <x v="1"/>
    <x v="0"/>
    <x v="0"/>
    <n v="0.22929155386993369"/>
    <n v="-0.25435329828790432"/>
  </r>
  <r>
    <n v="266"/>
    <d v="2011-01-12T00:00:00"/>
    <n v="1"/>
    <n v="0"/>
    <x v="0"/>
    <x v="12"/>
    <b v="0"/>
    <n v="3"/>
    <n v="1"/>
    <x v="2"/>
    <n v="0.1515"/>
    <n v="0.47"/>
    <n v="0.58209999999999995"/>
    <n v="3"/>
    <n v="52"/>
    <n v="55"/>
    <x v="1"/>
    <x v="0"/>
    <x v="2"/>
    <x v="0"/>
    <x v="0"/>
    <n v="0.22929155386993369"/>
    <n v="-0.25435329828790432"/>
  </r>
  <r>
    <n v="267"/>
    <d v="2011-01-12T00:00:00"/>
    <n v="1"/>
    <n v="0"/>
    <x v="0"/>
    <x v="13"/>
    <b v="0"/>
    <n v="3"/>
    <n v="1"/>
    <x v="1"/>
    <n v="0.19700000000000001"/>
    <n v="0.44"/>
    <n v="0.35820000000000002"/>
    <n v="0"/>
    <n v="49"/>
    <n v="49"/>
    <x v="1"/>
    <x v="0"/>
    <x v="2"/>
    <x v="0"/>
    <x v="0"/>
    <n v="0.22929155386993369"/>
    <n v="-0.25435329828790432"/>
  </r>
  <r>
    <n v="268"/>
    <d v="2011-01-12T00:00:00"/>
    <n v="1"/>
    <n v="0"/>
    <x v="0"/>
    <x v="14"/>
    <b v="0"/>
    <n v="3"/>
    <n v="1"/>
    <x v="2"/>
    <n v="0.18179999999999999"/>
    <n v="0.47"/>
    <n v="0.32840000000000003"/>
    <n v="0"/>
    <n v="44"/>
    <n v="44"/>
    <x v="1"/>
    <x v="0"/>
    <x v="2"/>
    <x v="0"/>
    <x v="0"/>
    <n v="0.22929155386993369"/>
    <n v="-0.25435329828790432"/>
  </r>
  <r>
    <n v="269"/>
    <d v="2011-01-12T00:00:00"/>
    <n v="1"/>
    <n v="0"/>
    <x v="0"/>
    <x v="15"/>
    <b v="0"/>
    <n v="3"/>
    <n v="1"/>
    <x v="2"/>
    <n v="0.16669999999999999"/>
    <n v="0.47"/>
    <n v="0.41789999999999999"/>
    <n v="1"/>
    <n v="48"/>
    <n v="49"/>
    <x v="1"/>
    <x v="0"/>
    <x v="2"/>
    <x v="0"/>
    <x v="0"/>
    <n v="0.22929155386993369"/>
    <n v="-0.25435329828790432"/>
  </r>
  <r>
    <n v="270"/>
    <d v="2011-01-12T00:00:00"/>
    <n v="1"/>
    <n v="0"/>
    <x v="0"/>
    <x v="16"/>
    <b v="0"/>
    <n v="3"/>
    <n v="1"/>
    <x v="1"/>
    <n v="0.19700000000000001"/>
    <n v="0.44"/>
    <n v="0.32840000000000003"/>
    <n v="5"/>
    <n v="63"/>
    <n v="68"/>
    <x v="1"/>
    <x v="0"/>
    <x v="2"/>
    <x v="0"/>
    <x v="0"/>
    <n v="0.22929155386993369"/>
    <n v="-0.25435329828790432"/>
  </r>
  <r>
    <n v="271"/>
    <d v="2011-01-12T00:00:00"/>
    <n v="1"/>
    <n v="0"/>
    <x v="0"/>
    <x v="17"/>
    <b v="0"/>
    <n v="3"/>
    <n v="1"/>
    <x v="2"/>
    <n v="0.18179999999999999"/>
    <n v="0.47"/>
    <n v="0.35820000000000002"/>
    <n v="0"/>
    <n v="139"/>
    <n v="139"/>
    <x v="1"/>
    <x v="0"/>
    <x v="3"/>
    <x v="0"/>
    <x v="0"/>
    <n v="0.22929155386993369"/>
    <n v="-0.25435329828790432"/>
  </r>
  <r>
    <n v="272"/>
    <d v="2011-01-12T00:00:00"/>
    <n v="1"/>
    <n v="0"/>
    <x v="0"/>
    <x v="18"/>
    <b v="0"/>
    <n v="3"/>
    <n v="1"/>
    <x v="2"/>
    <n v="0.1515"/>
    <n v="0.47"/>
    <n v="0.52239999999999998"/>
    <n v="2"/>
    <n v="135"/>
    <n v="137"/>
    <x v="1"/>
    <x v="0"/>
    <x v="3"/>
    <x v="0"/>
    <x v="0"/>
    <n v="0.22929155386993369"/>
    <n v="-0.25435329828790432"/>
  </r>
  <r>
    <n v="273"/>
    <d v="2011-01-12T00:00:00"/>
    <n v="1"/>
    <n v="0"/>
    <x v="0"/>
    <x v="19"/>
    <b v="0"/>
    <n v="3"/>
    <n v="1"/>
    <x v="15"/>
    <n v="0.1515"/>
    <n v="0.47"/>
    <n v="0.41789999999999999"/>
    <n v="1"/>
    <n v="82"/>
    <n v="83"/>
    <x v="1"/>
    <x v="0"/>
    <x v="3"/>
    <x v="0"/>
    <x v="0"/>
    <n v="0.22929155386993369"/>
    <n v="-0.25435329828790432"/>
  </r>
  <r>
    <n v="274"/>
    <d v="2011-01-12T00:00:00"/>
    <n v="1"/>
    <n v="0"/>
    <x v="0"/>
    <x v="20"/>
    <b v="0"/>
    <n v="3"/>
    <n v="1"/>
    <x v="13"/>
    <n v="0.13639999999999999"/>
    <n v="0.5"/>
    <n v="0.32840000000000003"/>
    <n v="2"/>
    <n v="54"/>
    <n v="56"/>
    <x v="1"/>
    <x v="0"/>
    <x v="3"/>
    <x v="0"/>
    <x v="0"/>
    <n v="0.22929155386993369"/>
    <n v="-0.25435329828790432"/>
  </r>
  <r>
    <n v="275"/>
    <d v="2011-01-12T00:00:00"/>
    <n v="1"/>
    <n v="0"/>
    <x v="0"/>
    <x v="21"/>
    <b v="0"/>
    <n v="3"/>
    <n v="1"/>
    <x v="13"/>
    <n v="0.13639999999999999"/>
    <n v="0.55000000000000004"/>
    <n v="0.32840000000000003"/>
    <n v="0"/>
    <n v="57"/>
    <n v="57"/>
    <x v="1"/>
    <x v="0"/>
    <x v="0"/>
    <x v="0"/>
    <x v="0"/>
    <n v="0.22929155386993369"/>
    <n v="-0.25435329828790432"/>
  </r>
  <r>
    <n v="276"/>
    <d v="2011-01-12T00:00:00"/>
    <n v="1"/>
    <n v="0"/>
    <x v="0"/>
    <x v="22"/>
    <b v="0"/>
    <n v="3"/>
    <n v="1"/>
    <x v="13"/>
    <n v="0.1212"/>
    <n v="0.55000000000000004"/>
    <n v="0.44779999999999998"/>
    <n v="1"/>
    <n v="32"/>
    <n v="33"/>
    <x v="1"/>
    <x v="0"/>
    <x v="0"/>
    <x v="0"/>
    <x v="0"/>
    <n v="0.22929155386993369"/>
    <n v="-0.25435329828790432"/>
  </r>
  <r>
    <n v="277"/>
    <d v="2011-01-12T00:00:00"/>
    <n v="1"/>
    <n v="0"/>
    <x v="0"/>
    <x v="23"/>
    <b v="0"/>
    <n v="3"/>
    <n v="1"/>
    <x v="14"/>
    <n v="0.1061"/>
    <n v="0.59"/>
    <n v="0.41789999999999999"/>
    <n v="1"/>
    <n v="19"/>
    <n v="20"/>
    <x v="1"/>
    <x v="0"/>
    <x v="0"/>
    <x v="0"/>
    <x v="0"/>
    <n v="0.22929155386993369"/>
    <n v="-0.25435329828790432"/>
  </r>
  <r>
    <n v="278"/>
    <d v="2011-01-13T00:00:00"/>
    <n v="1"/>
    <n v="0"/>
    <x v="0"/>
    <x v="0"/>
    <b v="0"/>
    <n v="4"/>
    <n v="1"/>
    <x v="14"/>
    <n v="0.1212"/>
    <n v="0.59"/>
    <n v="0.28360000000000002"/>
    <n v="1"/>
    <n v="6"/>
    <n v="7"/>
    <x v="1"/>
    <x v="0"/>
    <x v="0"/>
    <x v="0"/>
    <x v="0"/>
    <n v="0.22929155386993369"/>
    <n v="-0.25435329828790432"/>
  </r>
  <r>
    <n v="279"/>
    <d v="2011-01-13T00:00:00"/>
    <n v="1"/>
    <n v="0"/>
    <x v="0"/>
    <x v="1"/>
    <b v="0"/>
    <n v="4"/>
    <n v="1"/>
    <x v="14"/>
    <n v="0.1212"/>
    <n v="0.5"/>
    <n v="0.28360000000000002"/>
    <n v="0"/>
    <n v="2"/>
    <n v="2"/>
    <x v="1"/>
    <x v="0"/>
    <x v="0"/>
    <x v="0"/>
    <x v="0"/>
    <n v="0.22929155386993369"/>
    <n v="-0.25435329828790432"/>
  </r>
  <r>
    <n v="280"/>
    <d v="2011-01-13T00:00:00"/>
    <n v="1"/>
    <n v="0"/>
    <x v="0"/>
    <x v="2"/>
    <b v="0"/>
    <n v="4"/>
    <n v="1"/>
    <x v="14"/>
    <n v="0.1212"/>
    <n v="0.5"/>
    <n v="0.35820000000000002"/>
    <n v="0"/>
    <n v="2"/>
    <n v="2"/>
    <x v="1"/>
    <x v="0"/>
    <x v="0"/>
    <x v="0"/>
    <x v="0"/>
    <n v="0.22929155386993369"/>
    <n v="-0.25435329828790432"/>
  </r>
  <r>
    <n v="281"/>
    <d v="2011-01-13T00:00:00"/>
    <n v="1"/>
    <n v="0"/>
    <x v="0"/>
    <x v="3"/>
    <b v="0"/>
    <n v="4"/>
    <n v="1"/>
    <x v="14"/>
    <n v="0.1212"/>
    <n v="0.5"/>
    <n v="0.32840000000000003"/>
    <n v="0"/>
    <n v="3"/>
    <n v="3"/>
    <x v="1"/>
    <x v="0"/>
    <x v="0"/>
    <x v="0"/>
    <x v="0"/>
    <n v="0.22929155386993369"/>
    <n v="-0.25435329828790432"/>
  </r>
  <r>
    <n v="282"/>
    <d v="2011-01-13T00:00:00"/>
    <n v="1"/>
    <n v="0"/>
    <x v="0"/>
    <x v="4"/>
    <b v="0"/>
    <n v="4"/>
    <n v="1"/>
    <x v="14"/>
    <n v="0.1212"/>
    <n v="0.5"/>
    <n v="0.25369999999999998"/>
    <n v="0"/>
    <n v="4"/>
    <n v="4"/>
    <x v="1"/>
    <x v="0"/>
    <x v="0"/>
    <x v="0"/>
    <x v="0"/>
    <n v="0.22929155386993369"/>
    <n v="-0.25435329828790432"/>
  </r>
  <r>
    <n v="283"/>
    <d v="2011-01-13T00:00:00"/>
    <n v="1"/>
    <n v="0"/>
    <x v="0"/>
    <x v="5"/>
    <b v="0"/>
    <n v="4"/>
    <n v="1"/>
    <x v="14"/>
    <n v="0.1212"/>
    <n v="0.5"/>
    <n v="0.29849999999999999"/>
    <n v="0"/>
    <n v="3"/>
    <n v="3"/>
    <x v="1"/>
    <x v="0"/>
    <x v="0"/>
    <x v="0"/>
    <x v="0"/>
    <n v="0.22929155386993369"/>
    <n v="-0.25435329828790432"/>
  </r>
  <r>
    <n v="284"/>
    <d v="2011-01-13T00:00:00"/>
    <n v="1"/>
    <n v="0"/>
    <x v="0"/>
    <x v="6"/>
    <b v="0"/>
    <n v="4"/>
    <n v="1"/>
    <x v="16"/>
    <n v="0.1515"/>
    <n v="0.54"/>
    <n v="0.1343"/>
    <n v="0"/>
    <n v="28"/>
    <n v="28"/>
    <x v="1"/>
    <x v="0"/>
    <x v="1"/>
    <x v="0"/>
    <x v="0"/>
    <n v="0.22929155386993369"/>
    <n v="-0.25435329828790432"/>
  </r>
  <r>
    <n v="285"/>
    <d v="2011-01-13T00:00:00"/>
    <n v="1"/>
    <n v="0"/>
    <x v="0"/>
    <x v="7"/>
    <b v="0"/>
    <n v="4"/>
    <n v="1"/>
    <x v="16"/>
    <n v="0.1515"/>
    <n v="0.54"/>
    <n v="0.1343"/>
    <n v="0"/>
    <n v="72"/>
    <n v="72"/>
    <x v="1"/>
    <x v="0"/>
    <x v="1"/>
    <x v="0"/>
    <x v="0"/>
    <n v="0.22929155386993369"/>
    <n v="-0.25435329828790432"/>
  </r>
  <r>
    <n v="286"/>
    <d v="2011-01-13T00:00:00"/>
    <n v="1"/>
    <n v="0"/>
    <x v="0"/>
    <x v="8"/>
    <b v="0"/>
    <n v="4"/>
    <n v="1"/>
    <x v="14"/>
    <n v="0.13639999999999999"/>
    <n v="0.5"/>
    <n v="0.19400000000000001"/>
    <n v="5"/>
    <n v="197"/>
    <n v="202"/>
    <x v="1"/>
    <x v="0"/>
    <x v="1"/>
    <x v="0"/>
    <x v="0"/>
    <n v="0.22929155386993369"/>
    <n v="-0.25435329828790432"/>
  </r>
  <r>
    <n v="287"/>
    <d v="2011-01-13T00:00:00"/>
    <n v="1"/>
    <n v="0"/>
    <x v="0"/>
    <x v="9"/>
    <b v="0"/>
    <n v="4"/>
    <n v="1"/>
    <x v="14"/>
    <n v="0.1212"/>
    <n v="0.5"/>
    <n v="0.32840000000000003"/>
    <n v="2"/>
    <n v="137"/>
    <n v="139"/>
    <x v="1"/>
    <x v="0"/>
    <x v="1"/>
    <x v="0"/>
    <x v="0"/>
    <n v="0.22929155386993369"/>
    <n v="-0.25435329828790432"/>
  </r>
  <r>
    <n v="288"/>
    <d v="2011-01-13T00:00:00"/>
    <n v="1"/>
    <n v="0"/>
    <x v="0"/>
    <x v="10"/>
    <b v="0"/>
    <n v="4"/>
    <n v="2"/>
    <x v="13"/>
    <n v="0.13639999999999999"/>
    <n v="0.5"/>
    <n v="0.35820000000000002"/>
    <n v="2"/>
    <n v="36"/>
    <n v="38"/>
    <x v="1"/>
    <x v="1"/>
    <x v="1"/>
    <x v="0"/>
    <x v="0"/>
    <n v="0.22929155386993369"/>
    <n v="-0.25435329828790432"/>
  </r>
  <r>
    <n v="289"/>
    <d v="2011-01-13T00:00:00"/>
    <n v="1"/>
    <n v="0"/>
    <x v="0"/>
    <x v="11"/>
    <b v="0"/>
    <n v="4"/>
    <n v="2"/>
    <x v="2"/>
    <n v="0.16669999999999999"/>
    <n v="0.44"/>
    <n v="0.44779999999999998"/>
    <n v="4"/>
    <n v="33"/>
    <n v="37"/>
    <x v="1"/>
    <x v="1"/>
    <x v="1"/>
    <x v="0"/>
    <x v="0"/>
    <n v="0.22929155386993369"/>
    <n v="-0.25435329828790432"/>
  </r>
  <r>
    <n v="290"/>
    <d v="2011-01-13T00:00:00"/>
    <n v="1"/>
    <n v="0"/>
    <x v="0"/>
    <x v="12"/>
    <b v="0"/>
    <n v="4"/>
    <n v="1"/>
    <x v="2"/>
    <n v="0.16669999999999999"/>
    <n v="0.44"/>
    <n v="0.41789999999999999"/>
    <n v="3"/>
    <n v="49"/>
    <n v="52"/>
    <x v="1"/>
    <x v="0"/>
    <x v="2"/>
    <x v="0"/>
    <x v="0"/>
    <n v="0.22929155386993369"/>
    <n v="-0.25435329828790432"/>
  </r>
  <r>
    <n v="291"/>
    <d v="2011-01-13T00:00:00"/>
    <n v="1"/>
    <n v="0"/>
    <x v="0"/>
    <x v="13"/>
    <b v="0"/>
    <n v="4"/>
    <n v="1"/>
    <x v="1"/>
    <n v="0.19700000000000001"/>
    <n v="0.41"/>
    <n v="0.44779999999999998"/>
    <n v="2"/>
    <n v="81"/>
    <n v="83"/>
    <x v="1"/>
    <x v="0"/>
    <x v="2"/>
    <x v="0"/>
    <x v="0"/>
    <n v="0.22929155386993369"/>
    <n v="-0.25435329828790432"/>
  </r>
  <r>
    <n v="292"/>
    <d v="2011-01-13T00:00:00"/>
    <n v="1"/>
    <n v="0"/>
    <x v="0"/>
    <x v="14"/>
    <b v="0"/>
    <n v="4"/>
    <n v="1"/>
    <x v="1"/>
    <n v="0.19700000000000001"/>
    <n v="0.41"/>
    <n v="0.3881"/>
    <n v="3"/>
    <n v="39"/>
    <n v="42"/>
    <x v="1"/>
    <x v="0"/>
    <x v="2"/>
    <x v="0"/>
    <x v="0"/>
    <n v="0.22929155386993369"/>
    <n v="-0.25435329828790432"/>
  </r>
  <r>
    <n v="293"/>
    <d v="2011-01-13T00:00:00"/>
    <n v="1"/>
    <n v="0"/>
    <x v="0"/>
    <x v="15"/>
    <b v="0"/>
    <n v="4"/>
    <n v="1"/>
    <x v="0"/>
    <n v="0.21210000000000001"/>
    <n v="0.38"/>
    <n v="0.29849999999999999"/>
    <n v="5"/>
    <n v="55"/>
    <n v="60"/>
    <x v="1"/>
    <x v="0"/>
    <x v="2"/>
    <x v="0"/>
    <x v="0"/>
    <n v="0.22929155386993369"/>
    <n v="-0.25435329828790432"/>
  </r>
  <r>
    <n v="294"/>
    <d v="2011-01-13T00:00:00"/>
    <n v="1"/>
    <n v="0"/>
    <x v="0"/>
    <x v="16"/>
    <b v="0"/>
    <n v="4"/>
    <n v="1"/>
    <x v="0"/>
    <n v="0.21210000000000001"/>
    <n v="0.38"/>
    <n v="0.35820000000000002"/>
    <n v="2"/>
    <n v="76"/>
    <n v="78"/>
    <x v="1"/>
    <x v="0"/>
    <x v="2"/>
    <x v="0"/>
    <x v="0"/>
    <n v="0.22929155386993369"/>
    <n v="-0.25435329828790432"/>
  </r>
  <r>
    <n v="295"/>
    <d v="2011-01-13T00:00:00"/>
    <n v="1"/>
    <n v="0"/>
    <x v="0"/>
    <x v="17"/>
    <b v="0"/>
    <n v="4"/>
    <n v="1"/>
    <x v="2"/>
    <n v="0.18179999999999999"/>
    <n v="0.4"/>
    <n v="0.28360000000000002"/>
    <n v="4"/>
    <n v="158"/>
    <n v="162"/>
    <x v="1"/>
    <x v="0"/>
    <x v="3"/>
    <x v="0"/>
    <x v="0"/>
    <n v="0.22929155386993369"/>
    <n v="-0.25435329828790432"/>
  </r>
  <r>
    <n v="296"/>
    <d v="2011-01-13T00:00:00"/>
    <n v="1"/>
    <n v="0"/>
    <x v="0"/>
    <x v="18"/>
    <b v="0"/>
    <n v="4"/>
    <n v="1"/>
    <x v="2"/>
    <n v="0.18179999999999999"/>
    <n v="0.4"/>
    <n v="0.32840000000000003"/>
    <n v="3"/>
    <n v="141"/>
    <n v="144"/>
    <x v="1"/>
    <x v="0"/>
    <x v="3"/>
    <x v="0"/>
    <x v="0"/>
    <n v="0.22929155386993369"/>
    <n v="-0.25435329828790432"/>
  </r>
  <r>
    <n v="297"/>
    <d v="2011-01-13T00:00:00"/>
    <n v="1"/>
    <n v="0"/>
    <x v="0"/>
    <x v="19"/>
    <b v="0"/>
    <n v="4"/>
    <n v="1"/>
    <x v="13"/>
    <n v="0.1515"/>
    <n v="0.47"/>
    <n v="0.25369999999999998"/>
    <n v="1"/>
    <n v="98"/>
    <n v="99"/>
    <x v="1"/>
    <x v="0"/>
    <x v="3"/>
    <x v="0"/>
    <x v="0"/>
    <n v="0.22929155386993369"/>
    <n v="-0.25435329828790432"/>
  </r>
  <r>
    <n v="298"/>
    <d v="2011-01-13T00:00:00"/>
    <n v="1"/>
    <n v="0"/>
    <x v="0"/>
    <x v="20"/>
    <b v="0"/>
    <n v="4"/>
    <n v="1"/>
    <x v="13"/>
    <n v="0.1515"/>
    <n v="0.47"/>
    <n v="0.22389999999999999"/>
    <n v="0"/>
    <n v="64"/>
    <n v="64"/>
    <x v="1"/>
    <x v="0"/>
    <x v="3"/>
    <x v="0"/>
    <x v="0"/>
    <n v="0.22929155386993369"/>
    <n v="-0.25435329828790432"/>
  </r>
  <r>
    <n v="299"/>
    <d v="2011-01-13T00:00:00"/>
    <n v="1"/>
    <n v="0"/>
    <x v="0"/>
    <x v="21"/>
    <b v="0"/>
    <n v="4"/>
    <n v="1"/>
    <x v="14"/>
    <n v="0.1212"/>
    <n v="0.46"/>
    <n v="0.29849999999999999"/>
    <n v="0"/>
    <n v="40"/>
    <n v="40"/>
    <x v="1"/>
    <x v="0"/>
    <x v="0"/>
    <x v="0"/>
    <x v="0"/>
    <n v="0.22929155386993369"/>
    <n v="-0.25435329828790432"/>
  </r>
  <r>
    <n v="300"/>
    <d v="2011-01-13T00:00:00"/>
    <n v="1"/>
    <n v="0"/>
    <x v="0"/>
    <x v="22"/>
    <b v="0"/>
    <n v="4"/>
    <n v="1"/>
    <x v="14"/>
    <n v="0.1212"/>
    <n v="0.46"/>
    <n v="0.32840000000000003"/>
    <n v="0"/>
    <n v="30"/>
    <n v="30"/>
    <x v="1"/>
    <x v="0"/>
    <x v="0"/>
    <x v="0"/>
    <x v="0"/>
    <n v="0.22929155386993369"/>
    <n v="-0.25435329828790432"/>
  </r>
  <r>
    <n v="301"/>
    <d v="2011-01-13T00:00:00"/>
    <n v="1"/>
    <n v="0"/>
    <x v="0"/>
    <x v="23"/>
    <b v="0"/>
    <n v="4"/>
    <n v="1"/>
    <x v="16"/>
    <n v="0.13639999999999999"/>
    <n v="0.5"/>
    <n v="0.19400000000000001"/>
    <n v="1"/>
    <n v="14"/>
    <n v="15"/>
    <x v="1"/>
    <x v="0"/>
    <x v="0"/>
    <x v="0"/>
    <x v="0"/>
    <n v="0.22929155386993369"/>
    <n v="-0.25435329828790432"/>
  </r>
  <r>
    <n v="302"/>
    <d v="2011-01-14T00:00:00"/>
    <n v="1"/>
    <n v="0"/>
    <x v="0"/>
    <x v="0"/>
    <b v="0"/>
    <n v="5"/>
    <n v="1"/>
    <x v="16"/>
    <n v="0.13639999999999999"/>
    <n v="0.5"/>
    <n v="0.19400000000000001"/>
    <n v="0"/>
    <n v="14"/>
    <n v="14"/>
    <x v="1"/>
    <x v="0"/>
    <x v="0"/>
    <x v="0"/>
    <x v="0"/>
    <n v="0.22929155386993369"/>
    <n v="-0.25435329828790432"/>
  </r>
  <r>
    <n v="303"/>
    <d v="2011-01-14T00:00:00"/>
    <n v="1"/>
    <n v="0"/>
    <x v="0"/>
    <x v="1"/>
    <b v="0"/>
    <n v="5"/>
    <n v="1"/>
    <x v="18"/>
    <n v="0.1212"/>
    <n v="0.54"/>
    <n v="0.16420000000000001"/>
    <n v="0"/>
    <n v="5"/>
    <n v="5"/>
    <x v="1"/>
    <x v="0"/>
    <x v="0"/>
    <x v="0"/>
    <x v="0"/>
    <n v="0.22929155386993369"/>
    <n v="-0.25435329828790432"/>
  </r>
  <r>
    <n v="304"/>
    <d v="2011-01-14T00:00:00"/>
    <n v="1"/>
    <n v="0"/>
    <x v="0"/>
    <x v="2"/>
    <b v="0"/>
    <n v="5"/>
    <n v="1"/>
    <x v="18"/>
    <n v="0.1212"/>
    <n v="0.54"/>
    <n v="0.1343"/>
    <n v="0"/>
    <n v="1"/>
    <n v="1"/>
    <x v="1"/>
    <x v="0"/>
    <x v="0"/>
    <x v="0"/>
    <x v="0"/>
    <n v="0.22929155386993369"/>
    <n v="-0.25435329828790432"/>
  </r>
  <r>
    <n v="305"/>
    <d v="2011-01-14T00:00:00"/>
    <n v="1"/>
    <n v="0"/>
    <x v="0"/>
    <x v="3"/>
    <b v="0"/>
    <n v="5"/>
    <n v="1"/>
    <x v="18"/>
    <n v="0.13639999999999999"/>
    <n v="0.54"/>
    <n v="0.1045"/>
    <n v="0"/>
    <n v="1"/>
    <n v="1"/>
    <x v="1"/>
    <x v="0"/>
    <x v="0"/>
    <x v="0"/>
    <x v="0"/>
    <n v="0.22929155386993369"/>
    <n v="-0.25435329828790432"/>
  </r>
  <r>
    <n v="306"/>
    <d v="2011-01-14T00:00:00"/>
    <n v="1"/>
    <n v="0"/>
    <x v="0"/>
    <x v="5"/>
    <b v="0"/>
    <n v="5"/>
    <n v="1"/>
    <x v="18"/>
    <n v="0.13639999999999999"/>
    <n v="0.54"/>
    <n v="8.9599999999999999E-2"/>
    <n v="0"/>
    <n v="8"/>
    <n v="8"/>
    <x v="1"/>
    <x v="0"/>
    <x v="0"/>
    <x v="0"/>
    <x v="0"/>
    <n v="0.22929155386993369"/>
    <n v="-0.25435329828790432"/>
  </r>
  <r>
    <n v="307"/>
    <d v="2011-01-14T00:00:00"/>
    <n v="1"/>
    <n v="0"/>
    <x v="0"/>
    <x v="6"/>
    <b v="0"/>
    <n v="5"/>
    <n v="1"/>
    <x v="18"/>
    <n v="0.18179999999999999"/>
    <n v="0.54"/>
    <n v="0"/>
    <n v="0"/>
    <n v="17"/>
    <n v="17"/>
    <x v="1"/>
    <x v="0"/>
    <x v="1"/>
    <x v="0"/>
    <x v="0"/>
    <n v="0.22929155386993369"/>
    <n v="-0.25435329828790432"/>
  </r>
  <r>
    <n v="308"/>
    <d v="2011-01-14T00:00:00"/>
    <n v="1"/>
    <n v="0"/>
    <x v="0"/>
    <x v="7"/>
    <b v="0"/>
    <n v="5"/>
    <n v="1"/>
    <x v="18"/>
    <n v="0.1212"/>
    <n v="0.74"/>
    <n v="0.16420000000000001"/>
    <n v="0"/>
    <n v="70"/>
    <n v="70"/>
    <x v="1"/>
    <x v="0"/>
    <x v="1"/>
    <x v="0"/>
    <x v="0"/>
    <n v="0.22929155386993369"/>
    <n v="-0.25435329828790432"/>
  </r>
  <r>
    <n v="309"/>
    <d v="2011-01-14T00:00:00"/>
    <n v="1"/>
    <n v="0"/>
    <x v="0"/>
    <x v="8"/>
    <b v="0"/>
    <n v="5"/>
    <n v="1"/>
    <x v="16"/>
    <n v="0.16669999999999999"/>
    <n v="0.68"/>
    <n v="0"/>
    <n v="2"/>
    <n v="156"/>
    <n v="158"/>
    <x v="1"/>
    <x v="0"/>
    <x v="1"/>
    <x v="0"/>
    <x v="0"/>
    <n v="0.22929155386993369"/>
    <n v="-0.25435329828790432"/>
  </r>
  <r>
    <n v="310"/>
    <d v="2011-01-14T00:00:00"/>
    <n v="1"/>
    <n v="0"/>
    <x v="0"/>
    <x v="9"/>
    <b v="0"/>
    <n v="5"/>
    <n v="1"/>
    <x v="14"/>
    <n v="0.1515"/>
    <n v="0.69"/>
    <n v="0.1343"/>
    <n v="0"/>
    <n v="117"/>
    <n v="117"/>
    <x v="1"/>
    <x v="0"/>
    <x v="1"/>
    <x v="0"/>
    <x v="0"/>
    <n v="0.22929155386993369"/>
    <n v="-0.25435329828790432"/>
  </r>
  <r>
    <n v="311"/>
    <d v="2011-01-14T00:00:00"/>
    <n v="1"/>
    <n v="0"/>
    <x v="0"/>
    <x v="10"/>
    <b v="0"/>
    <n v="5"/>
    <n v="1"/>
    <x v="15"/>
    <n v="0.18179999999999999"/>
    <n v="0.55000000000000004"/>
    <n v="0.19400000000000001"/>
    <n v="4"/>
    <n v="40"/>
    <n v="44"/>
    <x v="1"/>
    <x v="0"/>
    <x v="1"/>
    <x v="0"/>
    <x v="0"/>
    <n v="0.22929155386993369"/>
    <n v="-0.25435329828790432"/>
  </r>
  <r>
    <n v="312"/>
    <d v="2011-01-14T00:00:00"/>
    <n v="1"/>
    <n v="0"/>
    <x v="0"/>
    <x v="11"/>
    <b v="0"/>
    <n v="5"/>
    <n v="1"/>
    <x v="15"/>
    <n v="0.16669999999999999"/>
    <n v="0.51"/>
    <n v="0.28360000000000002"/>
    <n v="6"/>
    <n v="47"/>
    <n v="53"/>
    <x v="1"/>
    <x v="0"/>
    <x v="1"/>
    <x v="0"/>
    <x v="0"/>
    <n v="0.22929155386993369"/>
    <n v="-0.25435329828790432"/>
  </r>
  <r>
    <n v="313"/>
    <d v="2011-01-14T00:00:00"/>
    <n v="1"/>
    <n v="0"/>
    <x v="0"/>
    <x v="12"/>
    <b v="0"/>
    <n v="5"/>
    <n v="1"/>
    <x v="2"/>
    <n v="0.19700000000000001"/>
    <n v="0.44"/>
    <n v="0.25369999999999998"/>
    <n v="2"/>
    <n v="59"/>
    <n v="61"/>
    <x v="1"/>
    <x v="0"/>
    <x v="2"/>
    <x v="0"/>
    <x v="0"/>
    <n v="0.22929155386993369"/>
    <n v="-0.25435329828790432"/>
  </r>
  <r>
    <n v="314"/>
    <d v="2011-01-14T00:00:00"/>
    <n v="1"/>
    <n v="0"/>
    <x v="0"/>
    <x v="13"/>
    <b v="0"/>
    <n v="5"/>
    <n v="1"/>
    <x v="1"/>
    <n v="0.19700000000000001"/>
    <n v="0.37"/>
    <n v="0.3881"/>
    <n v="4"/>
    <n v="73"/>
    <n v="77"/>
    <x v="1"/>
    <x v="0"/>
    <x v="2"/>
    <x v="0"/>
    <x v="0"/>
    <n v="0.22929155386993369"/>
    <n v="-0.25435329828790432"/>
  </r>
  <r>
    <n v="315"/>
    <d v="2011-01-14T00:00:00"/>
    <n v="1"/>
    <n v="0"/>
    <x v="0"/>
    <x v="14"/>
    <b v="0"/>
    <n v="5"/>
    <n v="1"/>
    <x v="1"/>
    <n v="0.21210000000000001"/>
    <n v="0.41"/>
    <n v="0.28360000000000002"/>
    <n v="5"/>
    <n v="59"/>
    <n v="64"/>
    <x v="1"/>
    <x v="0"/>
    <x v="2"/>
    <x v="0"/>
    <x v="0"/>
    <n v="0.22929155386993369"/>
    <n v="-0.25435329828790432"/>
  </r>
  <r>
    <n v="316"/>
    <d v="2011-01-14T00:00:00"/>
    <n v="1"/>
    <n v="0"/>
    <x v="0"/>
    <x v="15"/>
    <b v="0"/>
    <n v="5"/>
    <n v="1"/>
    <x v="0"/>
    <n v="0.2424"/>
    <n v="0.38"/>
    <n v="0.16420000000000001"/>
    <n v="9"/>
    <n v="59"/>
    <n v="68"/>
    <x v="1"/>
    <x v="0"/>
    <x v="2"/>
    <x v="0"/>
    <x v="0"/>
    <n v="0.22929155386993369"/>
    <n v="-0.25435329828790432"/>
  </r>
  <r>
    <n v="317"/>
    <d v="2011-01-14T00:00:00"/>
    <n v="1"/>
    <n v="0"/>
    <x v="0"/>
    <x v="16"/>
    <b v="0"/>
    <n v="5"/>
    <n v="1"/>
    <x v="1"/>
    <n v="0.2424"/>
    <n v="0.41"/>
    <n v="0.1045"/>
    <n v="3"/>
    <n v="87"/>
    <n v="90"/>
    <x v="1"/>
    <x v="0"/>
    <x v="2"/>
    <x v="0"/>
    <x v="0"/>
    <n v="0.22929155386993369"/>
    <n v="-0.25435329828790432"/>
  </r>
  <r>
    <n v="318"/>
    <d v="2011-01-14T00:00:00"/>
    <n v="1"/>
    <n v="0"/>
    <x v="0"/>
    <x v="17"/>
    <b v="0"/>
    <n v="5"/>
    <n v="1"/>
    <x v="1"/>
    <n v="0.2273"/>
    <n v="0.41"/>
    <n v="0.16420000000000001"/>
    <n v="4"/>
    <n v="155"/>
    <n v="159"/>
    <x v="1"/>
    <x v="0"/>
    <x v="3"/>
    <x v="0"/>
    <x v="0"/>
    <n v="0.22929155386993369"/>
    <n v="-0.25435329828790432"/>
  </r>
  <r>
    <n v="319"/>
    <d v="2011-01-14T00:00:00"/>
    <n v="1"/>
    <n v="0"/>
    <x v="0"/>
    <x v="18"/>
    <b v="0"/>
    <n v="5"/>
    <n v="1"/>
    <x v="2"/>
    <n v="0.2576"/>
    <n v="0.47"/>
    <n v="0"/>
    <n v="5"/>
    <n v="134"/>
    <n v="139"/>
    <x v="1"/>
    <x v="0"/>
    <x v="3"/>
    <x v="0"/>
    <x v="0"/>
    <n v="0.22929155386993369"/>
    <n v="-0.25435329828790432"/>
  </r>
  <r>
    <n v="320"/>
    <d v="2011-01-14T00:00:00"/>
    <n v="1"/>
    <n v="0"/>
    <x v="0"/>
    <x v="19"/>
    <b v="0"/>
    <n v="5"/>
    <n v="1"/>
    <x v="13"/>
    <n v="0.19700000000000001"/>
    <n v="0.59"/>
    <n v="8.9599999999999999E-2"/>
    <n v="3"/>
    <n v="89"/>
    <n v="92"/>
    <x v="1"/>
    <x v="0"/>
    <x v="3"/>
    <x v="0"/>
    <x v="0"/>
    <n v="0.22929155386993369"/>
    <n v="-0.25435329828790432"/>
  </r>
  <r>
    <n v="321"/>
    <d v="2011-01-14T00:00:00"/>
    <n v="1"/>
    <n v="0"/>
    <x v="0"/>
    <x v="20"/>
    <b v="0"/>
    <n v="5"/>
    <n v="1"/>
    <x v="15"/>
    <n v="0.2424"/>
    <n v="0.59"/>
    <n v="0"/>
    <n v="0"/>
    <n v="68"/>
    <n v="68"/>
    <x v="1"/>
    <x v="0"/>
    <x v="3"/>
    <x v="0"/>
    <x v="0"/>
    <n v="0.22929155386993369"/>
    <n v="-0.25435329828790432"/>
  </r>
  <r>
    <n v="322"/>
    <d v="2011-01-14T00:00:00"/>
    <n v="1"/>
    <n v="0"/>
    <x v="0"/>
    <x v="21"/>
    <b v="0"/>
    <n v="5"/>
    <n v="1"/>
    <x v="13"/>
    <n v="0.2273"/>
    <n v="0.69"/>
    <n v="0"/>
    <n v="4"/>
    <n v="48"/>
    <n v="52"/>
    <x v="1"/>
    <x v="0"/>
    <x v="0"/>
    <x v="0"/>
    <x v="0"/>
    <n v="0.22929155386993369"/>
    <n v="-0.25435329828790432"/>
  </r>
  <r>
    <n v="323"/>
    <d v="2011-01-14T00:00:00"/>
    <n v="1"/>
    <n v="0"/>
    <x v="0"/>
    <x v="22"/>
    <b v="0"/>
    <n v="5"/>
    <n v="2"/>
    <x v="13"/>
    <n v="0.2273"/>
    <n v="0.69"/>
    <n v="0"/>
    <n v="2"/>
    <n v="34"/>
    <n v="36"/>
    <x v="1"/>
    <x v="1"/>
    <x v="0"/>
    <x v="0"/>
    <x v="0"/>
    <n v="0.22929155386993369"/>
    <n v="-0.25435329828790432"/>
  </r>
  <r>
    <n v="324"/>
    <d v="2011-01-14T00:00:00"/>
    <n v="1"/>
    <n v="0"/>
    <x v="0"/>
    <x v="23"/>
    <b v="0"/>
    <n v="5"/>
    <n v="2"/>
    <x v="15"/>
    <n v="0.2424"/>
    <n v="0.55000000000000004"/>
    <n v="0"/>
    <n v="1"/>
    <n v="26"/>
    <n v="27"/>
    <x v="1"/>
    <x v="1"/>
    <x v="0"/>
    <x v="0"/>
    <x v="0"/>
    <n v="0.22929155386993369"/>
    <n v="-0.25435329828790432"/>
  </r>
  <r>
    <n v="325"/>
    <d v="2011-01-15T00:00:00"/>
    <n v="1"/>
    <n v="0"/>
    <x v="0"/>
    <x v="0"/>
    <b v="0"/>
    <n v="6"/>
    <n v="1"/>
    <x v="15"/>
    <n v="0.2424"/>
    <n v="0.55000000000000004"/>
    <n v="0"/>
    <n v="3"/>
    <n v="25"/>
    <n v="28"/>
    <x v="0"/>
    <x v="0"/>
    <x v="0"/>
    <x v="0"/>
    <x v="0"/>
    <n v="0.22929155386993369"/>
    <n v="-0.25435329828790432"/>
  </r>
  <r>
    <n v="326"/>
    <d v="2011-01-15T00:00:00"/>
    <n v="1"/>
    <n v="0"/>
    <x v="0"/>
    <x v="1"/>
    <b v="0"/>
    <n v="6"/>
    <n v="2"/>
    <x v="13"/>
    <n v="0.19700000000000001"/>
    <n v="0.59"/>
    <n v="8.9599999999999999E-2"/>
    <n v="2"/>
    <n v="18"/>
    <n v="20"/>
    <x v="0"/>
    <x v="1"/>
    <x v="0"/>
    <x v="0"/>
    <x v="0"/>
    <n v="0.22929155386993369"/>
    <n v="-0.25435329828790432"/>
  </r>
  <r>
    <n v="327"/>
    <d v="2011-01-15T00:00:00"/>
    <n v="1"/>
    <n v="0"/>
    <x v="0"/>
    <x v="2"/>
    <b v="0"/>
    <n v="6"/>
    <n v="2"/>
    <x v="13"/>
    <n v="0.19700000000000001"/>
    <n v="0.59"/>
    <n v="8.9599999999999999E-2"/>
    <n v="0"/>
    <n v="12"/>
    <n v="12"/>
    <x v="0"/>
    <x v="1"/>
    <x v="0"/>
    <x v="0"/>
    <x v="0"/>
    <n v="0.22929155386993369"/>
    <n v="-0.25435329828790432"/>
  </r>
  <r>
    <n v="328"/>
    <d v="2011-01-15T00:00:00"/>
    <n v="1"/>
    <n v="0"/>
    <x v="0"/>
    <x v="3"/>
    <b v="0"/>
    <n v="6"/>
    <n v="2"/>
    <x v="13"/>
    <n v="0.2273"/>
    <n v="0.59"/>
    <n v="0"/>
    <n v="1"/>
    <n v="7"/>
    <n v="8"/>
    <x v="0"/>
    <x v="1"/>
    <x v="0"/>
    <x v="0"/>
    <x v="0"/>
    <n v="0.22929155386993369"/>
    <n v="-0.25435329828790432"/>
  </r>
  <r>
    <n v="329"/>
    <d v="2011-01-15T00:00:00"/>
    <n v="1"/>
    <n v="0"/>
    <x v="0"/>
    <x v="4"/>
    <b v="0"/>
    <n v="6"/>
    <n v="2"/>
    <x v="13"/>
    <n v="0.2273"/>
    <n v="0.59"/>
    <n v="0"/>
    <n v="0"/>
    <n v="5"/>
    <n v="5"/>
    <x v="0"/>
    <x v="1"/>
    <x v="0"/>
    <x v="0"/>
    <x v="0"/>
    <n v="0.22929155386993369"/>
    <n v="-0.25435329828790432"/>
  </r>
  <r>
    <n v="330"/>
    <d v="2011-01-15T00:00:00"/>
    <n v="1"/>
    <n v="0"/>
    <x v="0"/>
    <x v="5"/>
    <b v="0"/>
    <n v="6"/>
    <n v="1"/>
    <x v="13"/>
    <n v="0.2273"/>
    <n v="0.59"/>
    <n v="0"/>
    <n v="0"/>
    <n v="1"/>
    <n v="1"/>
    <x v="0"/>
    <x v="0"/>
    <x v="0"/>
    <x v="0"/>
    <x v="0"/>
    <n v="0.22929155386993369"/>
    <n v="-0.25435329828790432"/>
  </r>
  <r>
    <n v="331"/>
    <d v="2011-01-15T00:00:00"/>
    <n v="1"/>
    <n v="0"/>
    <x v="0"/>
    <x v="6"/>
    <b v="0"/>
    <n v="6"/>
    <n v="1"/>
    <x v="14"/>
    <n v="0.16669999999999999"/>
    <n v="0.63"/>
    <n v="0.1045"/>
    <n v="1"/>
    <n v="2"/>
    <n v="3"/>
    <x v="0"/>
    <x v="0"/>
    <x v="1"/>
    <x v="0"/>
    <x v="0"/>
    <n v="0.22929155386993369"/>
    <n v="-0.25435329828790432"/>
  </r>
  <r>
    <n v="332"/>
    <d v="2011-01-15T00:00:00"/>
    <n v="1"/>
    <n v="0"/>
    <x v="0"/>
    <x v="7"/>
    <b v="0"/>
    <n v="6"/>
    <n v="1"/>
    <x v="14"/>
    <n v="0.21210000000000001"/>
    <n v="0.63"/>
    <n v="0"/>
    <n v="1"/>
    <n v="9"/>
    <n v="10"/>
    <x v="0"/>
    <x v="0"/>
    <x v="1"/>
    <x v="0"/>
    <x v="0"/>
    <n v="0.22929155386993369"/>
    <n v="-0.25435329828790432"/>
  </r>
  <r>
    <n v="333"/>
    <d v="2011-01-15T00:00:00"/>
    <n v="1"/>
    <n v="0"/>
    <x v="0"/>
    <x v="8"/>
    <b v="0"/>
    <n v="6"/>
    <n v="1"/>
    <x v="14"/>
    <n v="0.1515"/>
    <n v="0.63"/>
    <n v="0.1343"/>
    <n v="1"/>
    <n v="22"/>
    <n v="23"/>
    <x v="0"/>
    <x v="0"/>
    <x v="1"/>
    <x v="0"/>
    <x v="0"/>
    <n v="0.22929155386993369"/>
    <n v="-0.25435329828790432"/>
  </r>
  <r>
    <n v="334"/>
    <d v="2011-01-15T00:00:00"/>
    <n v="1"/>
    <n v="0"/>
    <x v="0"/>
    <x v="9"/>
    <b v="0"/>
    <n v="6"/>
    <n v="1"/>
    <x v="13"/>
    <n v="0.18179999999999999"/>
    <n v="0.64"/>
    <n v="0.1343"/>
    <n v="2"/>
    <n v="31"/>
    <n v="33"/>
    <x v="0"/>
    <x v="0"/>
    <x v="1"/>
    <x v="0"/>
    <x v="0"/>
    <n v="0.22929155386993369"/>
    <n v="-0.25435329828790432"/>
  </r>
  <r>
    <n v="335"/>
    <d v="2011-01-15T00:00:00"/>
    <n v="1"/>
    <n v="0"/>
    <x v="0"/>
    <x v="10"/>
    <b v="0"/>
    <n v="6"/>
    <n v="1"/>
    <x v="15"/>
    <n v="0.19700000000000001"/>
    <n v="0.59"/>
    <n v="0.16420000000000001"/>
    <n v="2"/>
    <n v="57"/>
    <n v="59"/>
    <x v="0"/>
    <x v="0"/>
    <x v="1"/>
    <x v="0"/>
    <x v="0"/>
    <n v="0.22929155386993369"/>
    <n v="-0.25435329828790432"/>
  </r>
  <r>
    <n v="336"/>
    <d v="2011-01-15T00:00:00"/>
    <n v="1"/>
    <n v="0"/>
    <x v="0"/>
    <x v="11"/>
    <b v="0"/>
    <n v="6"/>
    <n v="1"/>
    <x v="2"/>
    <n v="0.19700000000000001"/>
    <n v="0.55000000000000004"/>
    <n v="0.22389999999999999"/>
    <n v="18"/>
    <n v="54"/>
    <n v="72"/>
    <x v="0"/>
    <x v="0"/>
    <x v="1"/>
    <x v="0"/>
    <x v="0"/>
    <n v="0.22929155386993369"/>
    <n v="-0.25435329828790432"/>
  </r>
  <r>
    <n v="337"/>
    <d v="2011-01-15T00:00:00"/>
    <n v="1"/>
    <n v="0"/>
    <x v="0"/>
    <x v="12"/>
    <b v="0"/>
    <n v="6"/>
    <n v="1"/>
    <x v="0"/>
    <n v="0.2273"/>
    <n v="0.48"/>
    <n v="0.22389999999999999"/>
    <n v="15"/>
    <n v="74"/>
    <n v="89"/>
    <x v="0"/>
    <x v="0"/>
    <x v="2"/>
    <x v="0"/>
    <x v="0"/>
    <n v="0.22929155386993369"/>
    <n v="-0.25435329828790432"/>
  </r>
  <r>
    <n v="338"/>
    <d v="2011-01-15T00:00:00"/>
    <n v="1"/>
    <n v="0"/>
    <x v="0"/>
    <x v="13"/>
    <b v="0"/>
    <n v="6"/>
    <n v="1"/>
    <x v="17"/>
    <n v="0.2576"/>
    <n v="0.38"/>
    <n v="0.29849999999999999"/>
    <n v="21"/>
    <n v="80"/>
    <n v="101"/>
    <x v="0"/>
    <x v="0"/>
    <x v="2"/>
    <x v="0"/>
    <x v="0"/>
    <n v="0.22929155386993369"/>
    <n v="-0.25435329828790432"/>
  </r>
  <r>
    <n v="339"/>
    <d v="2011-01-15T00:00:00"/>
    <n v="1"/>
    <n v="0"/>
    <x v="0"/>
    <x v="14"/>
    <b v="0"/>
    <n v="6"/>
    <n v="1"/>
    <x v="11"/>
    <n v="0.28789999999999999"/>
    <n v="0.39"/>
    <n v="0.28360000000000002"/>
    <n v="26"/>
    <n v="92"/>
    <n v="118"/>
    <x v="0"/>
    <x v="0"/>
    <x v="2"/>
    <x v="0"/>
    <x v="0"/>
    <n v="0.22929155386993369"/>
    <n v="-0.25435329828790432"/>
  </r>
  <r>
    <n v="340"/>
    <d v="2011-01-15T00:00:00"/>
    <n v="1"/>
    <n v="0"/>
    <x v="0"/>
    <x v="15"/>
    <b v="0"/>
    <n v="6"/>
    <n v="2"/>
    <x v="3"/>
    <n v="0.31819999999999998"/>
    <n v="0.36"/>
    <n v="0.19400000000000001"/>
    <n v="21"/>
    <n v="108"/>
    <n v="129"/>
    <x v="0"/>
    <x v="1"/>
    <x v="2"/>
    <x v="0"/>
    <x v="0"/>
    <n v="0.22929155386993369"/>
    <n v="-0.25435329828790432"/>
  </r>
  <r>
    <n v="341"/>
    <d v="2011-01-15T00:00:00"/>
    <n v="1"/>
    <n v="0"/>
    <x v="0"/>
    <x v="16"/>
    <b v="0"/>
    <n v="6"/>
    <n v="2"/>
    <x v="10"/>
    <n v="0.33329999999999999"/>
    <n v="0.34"/>
    <n v="0.19400000000000001"/>
    <n v="33"/>
    <n v="95"/>
    <n v="128"/>
    <x v="0"/>
    <x v="1"/>
    <x v="2"/>
    <x v="0"/>
    <x v="0"/>
    <n v="0.22929155386993369"/>
    <n v="-0.25435329828790432"/>
  </r>
  <r>
    <n v="342"/>
    <d v="2011-01-15T00:00:00"/>
    <n v="1"/>
    <n v="0"/>
    <x v="0"/>
    <x v="17"/>
    <b v="0"/>
    <n v="6"/>
    <n v="2"/>
    <x v="3"/>
    <n v="0.30299999999999999"/>
    <n v="0.36"/>
    <n v="0.28360000000000002"/>
    <n v="29"/>
    <n v="54"/>
    <n v="83"/>
    <x v="0"/>
    <x v="1"/>
    <x v="3"/>
    <x v="0"/>
    <x v="0"/>
    <n v="0.22929155386993369"/>
    <n v="-0.25435329828790432"/>
  </r>
  <r>
    <n v="343"/>
    <d v="2011-01-15T00:00:00"/>
    <n v="1"/>
    <n v="0"/>
    <x v="0"/>
    <x v="18"/>
    <b v="0"/>
    <n v="6"/>
    <n v="2"/>
    <x v="11"/>
    <n v="0.28789999999999999"/>
    <n v="0.45"/>
    <n v="0.25369999999999998"/>
    <n v="15"/>
    <n v="69"/>
    <n v="84"/>
    <x v="0"/>
    <x v="1"/>
    <x v="3"/>
    <x v="0"/>
    <x v="0"/>
    <n v="0.22929155386993369"/>
    <n v="-0.25435329828790432"/>
  </r>
  <r>
    <n v="344"/>
    <d v="2011-01-15T00:00:00"/>
    <n v="1"/>
    <n v="0"/>
    <x v="0"/>
    <x v="19"/>
    <b v="0"/>
    <n v="6"/>
    <n v="2"/>
    <x v="3"/>
    <n v="0.30299999999999999"/>
    <n v="0.39"/>
    <n v="0.25369999999999998"/>
    <n v="14"/>
    <n v="60"/>
    <n v="74"/>
    <x v="0"/>
    <x v="1"/>
    <x v="3"/>
    <x v="0"/>
    <x v="0"/>
    <n v="0.22929155386993369"/>
    <n v="-0.25435329828790432"/>
  </r>
  <r>
    <n v="345"/>
    <d v="2011-01-15T00:00:00"/>
    <n v="1"/>
    <n v="0"/>
    <x v="0"/>
    <x v="20"/>
    <b v="0"/>
    <n v="6"/>
    <n v="2"/>
    <x v="3"/>
    <n v="0.30299999999999999"/>
    <n v="0.39"/>
    <n v="0.25369999999999998"/>
    <n v="6"/>
    <n v="35"/>
    <n v="41"/>
    <x v="0"/>
    <x v="1"/>
    <x v="3"/>
    <x v="0"/>
    <x v="0"/>
    <n v="0.22929155386993369"/>
    <n v="-0.25435329828790432"/>
  </r>
  <r>
    <n v="346"/>
    <d v="2011-01-15T00:00:00"/>
    <n v="1"/>
    <n v="0"/>
    <x v="0"/>
    <x v="21"/>
    <b v="0"/>
    <n v="6"/>
    <n v="2"/>
    <x v="3"/>
    <n v="0.30299999999999999"/>
    <n v="0.39"/>
    <n v="0.22389999999999999"/>
    <n v="6"/>
    <n v="51"/>
    <n v="57"/>
    <x v="0"/>
    <x v="1"/>
    <x v="0"/>
    <x v="0"/>
    <x v="0"/>
    <n v="0.22929155386993369"/>
    <n v="-0.25435329828790432"/>
  </r>
  <r>
    <n v="347"/>
    <d v="2011-01-15T00:00:00"/>
    <n v="1"/>
    <n v="0"/>
    <x v="0"/>
    <x v="22"/>
    <b v="0"/>
    <n v="6"/>
    <n v="2"/>
    <x v="11"/>
    <n v="0.31819999999999998"/>
    <n v="0.42"/>
    <n v="0.1045"/>
    <n v="0"/>
    <n v="26"/>
    <n v="26"/>
    <x v="0"/>
    <x v="1"/>
    <x v="0"/>
    <x v="0"/>
    <x v="0"/>
    <n v="0.22929155386993369"/>
    <n v="-0.25435329828790432"/>
  </r>
  <r>
    <n v="348"/>
    <d v="2011-01-15T00:00:00"/>
    <n v="1"/>
    <n v="0"/>
    <x v="0"/>
    <x v="23"/>
    <b v="0"/>
    <n v="6"/>
    <n v="1"/>
    <x v="11"/>
    <n v="0.28789999999999999"/>
    <n v="0.45"/>
    <n v="0.28360000000000002"/>
    <n v="5"/>
    <n v="39"/>
    <n v="44"/>
    <x v="0"/>
    <x v="0"/>
    <x v="0"/>
    <x v="0"/>
    <x v="0"/>
    <n v="0.22929155386993369"/>
    <n v="-0.25435329828790432"/>
  </r>
  <r>
    <n v="349"/>
    <d v="2011-01-16T00:00:00"/>
    <n v="1"/>
    <n v="0"/>
    <x v="0"/>
    <x v="0"/>
    <b v="0"/>
    <n v="0"/>
    <n v="1"/>
    <x v="12"/>
    <n v="0.30299999999999999"/>
    <n v="0.56000000000000005"/>
    <n v="0"/>
    <n v="6"/>
    <n v="33"/>
    <n v="39"/>
    <x v="0"/>
    <x v="0"/>
    <x v="0"/>
    <x v="0"/>
    <x v="0"/>
    <n v="0.22929155386993369"/>
    <n v="-0.25435329828790432"/>
  </r>
  <r>
    <n v="350"/>
    <d v="2011-01-16T00:00:00"/>
    <n v="1"/>
    <n v="0"/>
    <x v="0"/>
    <x v="1"/>
    <b v="0"/>
    <n v="0"/>
    <n v="1"/>
    <x v="12"/>
    <n v="0.2727"/>
    <n v="0.56000000000000005"/>
    <n v="0.1343"/>
    <n v="4"/>
    <n v="19"/>
    <n v="23"/>
    <x v="0"/>
    <x v="0"/>
    <x v="0"/>
    <x v="0"/>
    <x v="0"/>
    <n v="0.22929155386993369"/>
    <n v="-0.25435329828790432"/>
  </r>
  <r>
    <n v="351"/>
    <d v="2011-01-16T00:00:00"/>
    <n v="1"/>
    <n v="0"/>
    <x v="0"/>
    <x v="2"/>
    <b v="0"/>
    <n v="0"/>
    <n v="1"/>
    <x v="12"/>
    <n v="0.28789999999999999"/>
    <n v="0.56000000000000005"/>
    <n v="8.9599999999999999E-2"/>
    <n v="3"/>
    <n v="13"/>
    <n v="16"/>
    <x v="0"/>
    <x v="0"/>
    <x v="0"/>
    <x v="0"/>
    <x v="0"/>
    <n v="0.22929155386993369"/>
    <n v="-0.25435329828790432"/>
  </r>
  <r>
    <n v="352"/>
    <d v="2011-01-16T00:00:00"/>
    <n v="1"/>
    <n v="0"/>
    <x v="0"/>
    <x v="3"/>
    <b v="0"/>
    <n v="0"/>
    <n v="1"/>
    <x v="1"/>
    <n v="0.2727"/>
    <n v="0.69"/>
    <n v="0"/>
    <n v="9"/>
    <n v="6"/>
    <n v="15"/>
    <x v="0"/>
    <x v="0"/>
    <x v="0"/>
    <x v="0"/>
    <x v="0"/>
    <n v="0.22929155386993369"/>
    <n v="-0.25435329828790432"/>
  </r>
  <r>
    <n v="353"/>
    <d v="2011-01-16T00:00:00"/>
    <n v="1"/>
    <n v="0"/>
    <x v="0"/>
    <x v="4"/>
    <b v="0"/>
    <n v="0"/>
    <n v="1"/>
    <x v="12"/>
    <n v="0.2576"/>
    <n v="0.56000000000000005"/>
    <n v="0.16420000000000001"/>
    <n v="0"/>
    <n v="1"/>
    <n v="1"/>
    <x v="0"/>
    <x v="0"/>
    <x v="0"/>
    <x v="0"/>
    <x v="0"/>
    <n v="0.22929155386993369"/>
    <n v="-0.25435329828790432"/>
  </r>
  <r>
    <n v="354"/>
    <d v="2011-01-16T00:00:00"/>
    <n v="1"/>
    <n v="0"/>
    <x v="0"/>
    <x v="5"/>
    <b v="0"/>
    <n v="0"/>
    <n v="2"/>
    <x v="12"/>
    <n v="0.2576"/>
    <n v="0.56000000000000005"/>
    <n v="0.16420000000000001"/>
    <n v="1"/>
    <n v="1"/>
    <n v="2"/>
    <x v="0"/>
    <x v="1"/>
    <x v="0"/>
    <x v="0"/>
    <x v="0"/>
    <n v="0.22929155386993369"/>
    <n v="-0.25435329828790432"/>
  </r>
  <r>
    <n v="355"/>
    <d v="2011-01-16T00:00:00"/>
    <n v="1"/>
    <n v="0"/>
    <x v="0"/>
    <x v="6"/>
    <b v="0"/>
    <n v="0"/>
    <n v="2"/>
    <x v="12"/>
    <n v="0.2576"/>
    <n v="0.56000000000000005"/>
    <n v="0.16420000000000001"/>
    <n v="0"/>
    <n v="1"/>
    <n v="1"/>
    <x v="0"/>
    <x v="1"/>
    <x v="1"/>
    <x v="0"/>
    <x v="0"/>
    <n v="0.22929155386993369"/>
    <n v="-0.25435329828790432"/>
  </r>
  <r>
    <n v="356"/>
    <d v="2011-01-16T00:00:00"/>
    <n v="1"/>
    <n v="0"/>
    <x v="0"/>
    <x v="7"/>
    <b v="0"/>
    <n v="0"/>
    <n v="2"/>
    <x v="0"/>
    <n v="0.21210000000000001"/>
    <n v="0.56000000000000005"/>
    <n v="0.29849999999999999"/>
    <n v="0"/>
    <n v="3"/>
    <n v="3"/>
    <x v="0"/>
    <x v="1"/>
    <x v="1"/>
    <x v="0"/>
    <x v="0"/>
    <n v="0.22929155386993369"/>
    <n v="-0.25435329828790432"/>
  </r>
  <r>
    <n v="357"/>
    <d v="2011-01-16T00:00:00"/>
    <n v="1"/>
    <n v="0"/>
    <x v="0"/>
    <x v="8"/>
    <b v="0"/>
    <n v="0"/>
    <n v="1"/>
    <x v="1"/>
    <n v="0.21210000000000001"/>
    <n v="0.55000000000000004"/>
    <n v="0.28360000000000002"/>
    <n v="0"/>
    <n v="18"/>
    <n v="18"/>
    <x v="0"/>
    <x v="0"/>
    <x v="1"/>
    <x v="0"/>
    <x v="0"/>
    <n v="0.22929155386993369"/>
    <n v="-0.25435329828790432"/>
  </r>
  <r>
    <n v="358"/>
    <d v="2011-01-16T00:00:00"/>
    <n v="1"/>
    <n v="0"/>
    <x v="0"/>
    <x v="9"/>
    <b v="0"/>
    <n v="0"/>
    <n v="1"/>
    <x v="1"/>
    <n v="0.21210000000000001"/>
    <n v="0.51"/>
    <n v="0.25369999999999998"/>
    <n v="3"/>
    <n v="29"/>
    <n v="32"/>
    <x v="0"/>
    <x v="0"/>
    <x v="1"/>
    <x v="0"/>
    <x v="0"/>
    <n v="0.22929155386993369"/>
    <n v="-0.25435329828790432"/>
  </r>
  <r>
    <n v="359"/>
    <d v="2011-01-16T00:00:00"/>
    <n v="1"/>
    <n v="0"/>
    <x v="0"/>
    <x v="10"/>
    <b v="0"/>
    <n v="0"/>
    <n v="1"/>
    <x v="1"/>
    <n v="0.21210000000000001"/>
    <n v="0.51"/>
    <n v="0.28360000000000002"/>
    <n v="8"/>
    <n v="71"/>
    <n v="79"/>
    <x v="0"/>
    <x v="0"/>
    <x v="1"/>
    <x v="0"/>
    <x v="0"/>
    <n v="0.22929155386993369"/>
    <n v="-0.25435329828790432"/>
  </r>
  <r>
    <n v="360"/>
    <d v="2011-01-16T00:00:00"/>
    <n v="1"/>
    <n v="0"/>
    <x v="0"/>
    <x v="11"/>
    <b v="0"/>
    <n v="0"/>
    <n v="1"/>
    <x v="0"/>
    <n v="0.2273"/>
    <n v="0.44"/>
    <n v="0.25369999999999998"/>
    <n v="23"/>
    <n v="70"/>
    <n v="93"/>
    <x v="0"/>
    <x v="0"/>
    <x v="1"/>
    <x v="0"/>
    <x v="0"/>
    <n v="0.22929155386993369"/>
    <n v="-0.25435329828790432"/>
  </r>
  <r>
    <n v="361"/>
    <d v="2011-01-16T00:00:00"/>
    <n v="1"/>
    <n v="0"/>
    <x v="0"/>
    <x v="12"/>
    <b v="0"/>
    <n v="0"/>
    <n v="1"/>
    <x v="0"/>
    <n v="0.21210000000000001"/>
    <n v="0.41"/>
    <n v="0.28360000000000002"/>
    <n v="29"/>
    <n v="75"/>
    <n v="104"/>
    <x v="0"/>
    <x v="0"/>
    <x v="2"/>
    <x v="0"/>
    <x v="0"/>
    <n v="0.22929155386993369"/>
    <n v="-0.25435329828790432"/>
  </r>
  <r>
    <n v="362"/>
    <d v="2011-01-16T00:00:00"/>
    <n v="1"/>
    <n v="0"/>
    <x v="0"/>
    <x v="13"/>
    <b v="0"/>
    <n v="0"/>
    <n v="1"/>
    <x v="12"/>
    <n v="0.2273"/>
    <n v="0.35"/>
    <n v="0.29849999999999999"/>
    <n v="23"/>
    <n v="95"/>
    <n v="118"/>
    <x v="0"/>
    <x v="0"/>
    <x v="2"/>
    <x v="0"/>
    <x v="0"/>
    <n v="0.22929155386993369"/>
    <n v="-0.25435329828790432"/>
  </r>
  <r>
    <n v="363"/>
    <d v="2011-01-16T00:00:00"/>
    <n v="1"/>
    <n v="0"/>
    <x v="0"/>
    <x v="14"/>
    <b v="0"/>
    <n v="0"/>
    <n v="1"/>
    <x v="17"/>
    <n v="0.2727"/>
    <n v="0.36"/>
    <n v="0.25369999999999998"/>
    <n v="22"/>
    <n v="69"/>
    <n v="91"/>
    <x v="0"/>
    <x v="0"/>
    <x v="2"/>
    <x v="0"/>
    <x v="0"/>
    <n v="0.22929155386993369"/>
    <n v="-0.25435329828790432"/>
  </r>
  <r>
    <n v="364"/>
    <d v="2011-01-16T00:00:00"/>
    <n v="1"/>
    <n v="0"/>
    <x v="0"/>
    <x v="15"/>
    <b v="0"/>
    <n v="0"/>
    <n v="1"/>
    <x v="12"/>
    <n v="0.2424"/>
    <n v="0.38"/>
    <n v="0.25369999999999998"/>
    <n v="35"/>
    <n v="78"/>
    <n v="113"/>
    <x v="0"/>
    <x v="0"/>
    <x v="2"/>
    <x v="0"/>
    <x v="0"/>
    <n v="0.22929155386993369"/>
    <n v="-0.25435329828790432"/>
  </r>
  <r>
    <n v="365"/>
    <d v="2011-01-16T00:00:00"/>
    <n v="1"/>
    <n v="0"/>
    <x v="0"/>
    <x v="16"/>
    <b v="0"/>
    <n v="0"/>
    <n v="1"/>
    <x v="0"/>
    <n v="0.2273"/>
    <n v="0.38"/>
    <n v="0.22389999999999999"/>
    <n v="22"/>
    <n v="77"/>
    <n v="99"/>
    <x v="0"/>
    <x v="0"/>
    <x v="2"/>
    <x v="0"/>
    <x v="0"/>
    <n v="0.22929155386993369"/>
    <n v="-0.25435329828790432"/>
  </r>
  <r>
    <n v="366"/>
    <d v="2011-01-16T00:00:00"/>
    <n v="1"/>
    <n v="0"/>
    <x v="0"/>
    <x v="17"/>
    <b v="0"/>
    <n v="0"/>
    <n v="1"/>
    <x v="1"/>
    <n v="0.21210000000000001"/>
    <n v="0.37"/>
    <n v="0.25369999999999998"/>
    <n v="23"/>
    <n v="82"/>
    <n v="105"/>
    <x v="0"/>
    <x v="0"/>
    <x v="3"/>
    <x v="0"/>
    <x v="0"/>
    <n v="0.22929155386993369"/>
    <n v="-0.25435329828790432"/>
  </r>
  <r>
    <n v="367"/>
    <d v="2011-01-16T00:00:00"/>
    <n v="1"/>
    <n v="0"/>
    <x v="0"/>
    <x v="18"/>
    <b v="0"/>
    <n v="0"/>
    <n v="1"/>
    <x v="2"/>
    <n v="0.21210000000000001"/>
    <n v="0.4"/>
    <n v="0.16420000000000001"/>
    <n v="11"/>
    <n v="56"/>
    <n v="67"/>
    <x v="0"/>
    <x v="0"/>
    <x v="3"/>
    <x v="0"/>
    <x v="0"/>
    <n v="0.22929155386993369"/>
    <n v="-0.25435329828790432"/>
  </r>
  <r>
    <n v="368"/>
    <d v="2011-01-16T00:00:00"/>
    <n v="1"/>
    <n v="0"/>
    <x v="0"/>
    <x v="19"/>
    <b v="0"/>
    <n v="0"/>
    <n v="1"/>
    <x v="15"/>
    <n v="0.19700000000000001"/>
    <n v="0.47"/>
    <n v="0.1343"/>
    <n v="14"/>
    <n v="47"/>
    <n v="61"/>
    <x v="0"/>
    <x v="0"/>
    <x v="3"/>
    <x v="0"/>
    <x v="0"/>
    <n v="0.22929155386993369"/>
    <n v="-0.25435329828790432"/>
  </r>
  <r>
    <n v="369"/>
    <d v="2011-01-16T00:00:00"/>
    <n v="1"/>
    <n v="0"/>
    <x v="0"/>
    <x v="20"/>
    <b v="0"/>
    <n v="0"/>
    <n v="1"/>
    <x v="15"/>
    <n v="0.19700000000000001"/>
    <n v="0.47"/>
    <n v="0.16420000000000001"/>
    <n v="7"/>
    <n v="50"/>
    <n v="57"/>
    <x v="0"/>
    <x v="0"/>
    <x v="3"/>
    <x v="0"/>
    <x v="0"/>
    <n v="0.22929155386993369"/>
    <n v="-0.25435329828790432"/>
  </r>
  <r>
    <n v="370"/>
    <d v="2011-01-16T00:00:00"/>
    <n v="1"/>
    <n v="0"/>
    <x v="0"/>
    <x v="21"/>
    <b v="0"/>
    <n v="0"/>
    <n v="1"/>
    <x v="15"/>
    <n v="0.19700000000000001"/>
    <n v="0.51"/>
    <n v="0.16420000000000001"/>
    <n v="6"/>
    <n v="22"/>
    <n v="28"/>
    <x v="0"/>
    <x v="0"/>
    <x v="0"/>
    <x v="0"/>
    <x v="0"/>
    <n v="0.22929155386993369"/>
    <n v="-0.25435329828790432"/>
  </r>
  <r>
    <n v="371"/>
    <d v="2011-01-16T00:00:00"/>
    <n v="1"/>
    <n v="0"/>
    <x v="0"/>
    <x v="22"/>
    <b v="0"/>
    <n v="0"/>
    <n v="2"/>
    <x v="2"/>
    <n v="0.21210000000000001"/>
    <n v="0.49"/>
    <n v="0.1343"/>
    <n v="2"/>
    <n v="19"/>
    <n v="21"/>
    <x v="0"/>
    <x v="1"/>
    <x v="0"/>
    <x v="0"/>
    <x v="0"/>
    <n v="0.22929155386993369"/>
    <n v="-0.25435329828790432"/>
  </r>
  <r>
    <n v="372"/>
    <d v="2011-01-16T00:00:00"/>
    <n v="1"/>
    <n v="0"/>
    <x v="0"/>
    <x v="23"/>
    <b v="0"/>
    <n v="0"/>
    <n v="2"/>
    <x v="2"/>
    <n v="0.2273"/>
    <n v="0.4"/>
    <n v="0.1045"/>
    <n v="0"/>
    <n v="18"/>
    <n v="18"/>
    <x v="0"/>
    <x v="1"/>
    <x v="0"/>
    <x v="0"/>
    <x v="0"/>
    <n v="0.22929155386993369"/>
    <n v="-0.25435329828790432"/>
  </r>
  <r>
    <n v="373"/>
    <d v="2011-01-17T00:00:00"/>
    <n v="1"/>
    <n v="0"/>
    <x v="0"/>
    <x v="0"/>
    <b v="1"/>
    <n v="1"/>
    <n v="2"/>
    <x v="2"/>
    <n v="0.19700000000000001"/>
    <n v="0.47"/>
    <n v="0.22389999999999999"/>
    <n v="1"/>
    <n v="16"/>
    <n v="17"/>
    <x v="1"/>
    <x v="1"/>
    <x v="0"/>
    <x v="0"/>
    <x v="0"/>
    <n v="0.22929155386993369"/>
    <n v="-0.25435329828790432"/>
  </r>
  <r>
    <n v="374"/>
    <d v="2011-01-17T00:00:00"/>
    <n v="1"/>
    <n v="0"/>
    <x v="0"/>
    <x v="1"/>
    <b v="1"/>
    <n v="1"/>
    <n v="2"/>
    <x v="2"/>
    <n v="0.19700000000000001"/>
    <n v="0.44"/>
    <n v="0.19400000000000001"/>
    <n v="1"/>
    <n v="15"/>
    <n v="16"/>
    <x v="1"/>
    <x v="1"/>
    <x v="0"/>
    <x v="0"/>
    <x v="0"/>
    <n v="0.22929155386993369"/>
    <n v="-0.25435329828790432"/>
  </r>
  <r>
    <n v="375"/>
    <d v="2011-01-17T00:00:00"/>
    <n v="1"/>
    <n v="0"/>
    <x v="0"/>
    <x v="2"/>
    <b v="1"/>
    <n v="1"/>
    <n v="2"/>
    <x v="15"/>
    <n v="0.16669999999999999"/>
    <n v="0.43"/>
    <n v="0.25369999999999998"/>
    <n v="0"/>
    <n v="8"/>
    <n v="8"/>
    <x v="1"/>
    <x v="1"/>
    <x v="0"/>
    <x v="0"/>
    <x v="0"/>
    <n v="0.22929155386993369"/>
    <n v="-0.25435329828790432"/>
  </r>
  <r>
    <n v="376"/>
    <d v="2011-01-17T00:00:00"/>
    <n v="1"/>
    <n v="0"/>
    <x v="0"/>
    <x v="3"/>
    <b v="1"/>
    <n v="1"/>
    <n v="2"/>
    <x v="15"/>
    <n v="0.18179999999999999"/>
    <n v="0.43"/>
    <n v="0.19400000000000001"/>
    <n v="0"/>
    <n v="2"/>
    <n v="2"/>
    <x v="1"/>
    <x v="1"/>
    <x v="0"/>
    <x v="0"/>
    <x v="0"/>
    <n v="0.22929155386993369"/>
    <n v="-0.25435329828790432"/>
  </r>
  <r>
    <n v="377"/>
    <d v="2011-01-17T00:00:00"/>
    <n v="1"/>
    <n v="0"/>
    <x v="0"/>
    <x v="4"/>
    <b v="1"/>
    <n v="1"/>
    <n v="2"/>
    <x v="15"/>
    <n v="0.19700000000000001"/>
    <n v="0.43"/>
    <n v="0.1343"/>
    <n v="1"/>
    <n v="2"/>
    <n v="3"/>
    <x v="1"/>
    <x v="1"/>
    <x v="0"/>
    <x v="0"/>
    <x v="0"/>
    <n v="0.22929155386993369"/>
    <n v="-0.25435329828790432"/>
  </r>
  <r>
    <n v="378"/>
    <d v="2011-01-17T00:00:00"/>
    <n v="1"/>
    <n v="0"/>
    <x v="0"/>
    <x v="5"/>
    <b v="1"/>
    <n v="1"/>
    <n v="2"/>
    <x v="15"/>
    <n v="0.19700000000000001"/>
    <n v="0.43"/>
    <n v="0.16420000000000001"/>
    <n v="0"/>
    <n v="1"/>
    <n v="1"/>
    <x v="1"/>
    <x v="1"/>
    <x v="0"/>
    <x v="0"/>
    <x v="0"/>
    <n v="0.22929155386993369"/>
    <n v="-0.25435329828790432"/>
  </r>
  <r>
    <n v="379"/>
    <d v="2011-01-17T00:00:00"/>
    <n v="1"/>
    <n v="0"/>
    <x v="0"/>
    <x v="6"/>
    <b v="1"/>
    <n v="1"/>
    <n v="2"/>
    <x v="15"/>
    <n v="0.18179999999999999"/>
    <n v="0.43"/>
    <n v="0.19400000000000001"/>
    <n v="0"/>
    <n v="5"/>
    <n v="5"/>
    <x v="1"/>
    <x v="1"/>
    <x v="1"/>
    <x v="0"/>
    <x v="0"/>
    <n v="0.22929155386993369"/>
    <n v="-0.25435329828790432"/>
  </r>
  <r>
    <n v="380"/>
    <d v="2011-01-17T00:00:00"/>
    <n v="1"/>
    <n v="0"/>
    <x v="0"/>
    <x v="7"/>
    <b v="1"/>
    <n v="1"/>
    <n v="2"/>
    <x v="13"/>
    <n v="0.18179999999999999"/>
    <n v="0.5"/>
    <n v="0.1343"/>
    <n v="4"/>
    <n v="9"/>
    <n v="13"/>
    <x v="1"/>
    <x v="1"/>
    <x v="1"/>
    <x v="0"/>
    <x v="0"/>
    <n v="0.22929155386993369"/>
    <n v="-0.25435329828790432"/>
  </r>
  <r>
    <n v="381"/>
    <d v="2011-01-17T00:00:00"/>
    <n v="1"/>
    <n v="0"/>
    <x v="0"/>
    <x v="8"/>
    <b v="1"/>
    <n v="1"/>
    <n v="2"/>
    <x v="13"/>
    <n v="0.1515"/>
    <n v="0.47"/>
    <n v="0.22389999999999999"/>
    <n v="3"/>
    <n v="30"/>
    <n v="33"/>
    <x v="1"/>
    <x v="1"/>
    <x v="1"/>
    <x v="0"/>
    <x v="0"/>
    <n v="0.22929155386993369"/>
    <n v="-0.25435329828790432"/>
  </r>
  <r>
    <n v="382"/>
    <d v="2011-01-17T00:00:00"/>
    <n v="1"/>
    <n v="0"/>
    <x v="0"/>
    <x v="9"/>
    <b v="1"/>
    <n v="1"/>
    <n v="2"/>
    <x v="13"/>
    <n v="0.1515"/>
    <n v="0.47"/>
    <n v="0.22389999999999999"/>
    <n v="8"/>
    <n v="39"/>
    <n v="47"/>
    <x v="1"/>
    <x v="1"/>
    <x v="1"/>
    <x v="0"/>
    <x v="0"/>
    <n v="0.22929155386993369"/>
    <n v="-0.25435329828790432"/>
  </r>
  <r>
    <n v="383"/>
    <d v="2011-01-17T00:00:00"/>
    <n v="1"/>
    <n v="0"/>
    <x v="0"/>
    <x v="10"/>
    <b v="1"/>
    <n v="1"/>
    <n v="2"/>
    <x v="13"/>
    <n v="0.1515"/>
    <n v="0.5"/>
    <n v="0.25369999999999998"/>
    <n v="7"/>
    <n v="50"/>
    <n v="57"/>
    <x v="1"/>
    <x v="1"/>
    <x v="1"/>
    <x v="0"/>
    <x v="0"/>
    <n v="0.22929155386993369"/>
    <n v="-0.25435329828790432"/>
  </r>
  <r>
    <n v="384"/>
    <d v="2011-01-17T00:00:00"/>
    <n v="1"/>
    <n v="0"/>
    <x v="0"/>
    <x v="11"/>
    <b v="1"/>
    <n v="1"/>
    <n v="2"/>
    <x v="13"/>
    <n v="0.1515"/>
    <n v="0.55000000000000004"/>
    <n v="0.19400000000000001"/>
    <n v="9"/>
    <n v="55"/>
    <n v="64"/>
    <x v="1"/>
    <x v="1"/>
    <x v="1"/>
    <x v="0"/>
    <x v="0"/>
    <n v="0.22929155386993369"/>
    <n v="-0.25435329828790432"/>
  </r>
  <r>
    <n v="385"/>
    <d v="2011-01-17T00:00:00"/>
    <n v="1"/>
    <n v="0"/>
    <x v="0"/>
    <x v="12"/>
    <b v="1"/>
    <n v="1"/>
    <n v="2"/>
    <x v="15"/>
    <n v="0.19700000000000001"/>
    <n v="0.47"/>
    <n v="0.1343"/>
    <n v="10"/>
    <n v="70"/>
    <n v="80"/>
    <x v="1"/>
    <x v="1"/>
    <x v="2"/>
    <x v="0"/>
    <x v="0"/>
    <n v="0.22929155386993369"/>
    <n v="-0.25435329828790432"/>
  </r>
  <r>
    <n v="386"/>
    <d v="2011-01-17T00:00:00"/>
    <n v="1"/>
    <n v="0"/>
    <x v="0"/>
    <x v="13"/>
    <b v="1"/>
    <n v="1"/>
    <n v="2"/>
    <x v="15"/>
    <n v="0.19700000000000001"/>
    <n v="0.47"/>
    <n v="0.1343"/>
    <n v="13"/>
    <n v="80"/>
    <n v="93"/>
    <x v="1"/>
    <x v="1"/>
    <x v="2"/>
    <x v="0"/>
    <x v="0"/>
    <n v="0.22929155386993369"/>
    <n v="-0.25435329828790432"/>
  </r>
  <r>
    <n v="387"/>
    <d v="2011-01-17T00:00:00"/>
    <n v="1"/>
    <n v="0"/>
    <x v="0"/>
    <x v="14"/>
    <b v="1"/>
    <n v="1"/>
    <n v="2"/>
    <x v="15"/>
    <n v="0.21210000000000001"/>
    <n v="0.43"/>
    <n v="0.1045"/>
    <n v="12"/>
    <n v="74"/>
    <n v="86"/>
    <x v="1"/>
    <x v="1"/>
    <x v="2"/>
    <x v="0"/>
    <x v="0"/>
    <n v="0.22929155386993369"/>
    <n v="-0.25435329828790432"/>
  </r>
  <r>
    <n v="388"/>
    <d v="2011-01-17T00:00:00"/>
    <n v="1"/>
    <n v="0"/>
    <x v="0"/>
    <x v="15"/>
    <b v="1"/>
    <n v="1"/>
    <n v="2"/>
    <x v="2"/>
    <n v="0.21210000000000001"/>
    <n v="0.47"/>
    <n v="0.16420000000000001"/>
    <n v="21"/>
    <n v="72"/>
    <n v="93"/>
    <x v="1"/>
    <x v="1"/>
    <x v="2"/>
    <x v="0"/>
    <x v="0"/>
    <n v="0.22929155386993369"/>
    <n v="-0.25435329828790432"/>
  </r>
  <r>
    <n v="389"/>
    <d v="2011-01-17T00:00:00"/>
    <n v="1"/>
    <n v="0"/>
    <x v="0"/>
    <x v="16"/>
    <b v="1"/>
    <n v="1"/>
    <n v="2"/>
    <x v="2"/>
    <n v="0.21210000000000001"/>
    <n v="0.47"/>
    <n v="0.16420000000000001"/>
    <n v="6"/>
    <n v="76"/>
    <n v="82"/>
    <x v="1"/>
    <x v="1"/>
    <x v="2"/>
    <x v="0"/>
    <x v="0"/>
    <n v="0.22929155386993369"/>
    <n v="-0.25435329828790432"/>
  </r>
  <r>
    <n v="390"/>
    <d v="2011-01-17T00:00:00"/>
    <n v="1"/>
    <n v="0"/>
    <x v="0"/>
    <x v="17"/>
    <b v="1"/>
    <n v="1"/>
    <n v="1"/>
    <x v="2"/>
    <n v="0.19700000000000001"/>
    <n v="0.51"/>
    <n v="0.19400000000000001"/>
    <n v="4"/>
    <n v="67"/>
    <n v="71"/>
    <x v="1"/>
    <x v="0"/>
    <x v="3"/>
    <x v="0"/>
    <x v="0"/>
    <n v="0.22929155386993369"/>
    <n v="-0.25435329828790432"/>
  </r>
  <r>
    <n v="391"/>
    <d v="2011-01-17T00:00:00"/>
    <n v="1"/>
    <n v="0"/>
    <x v="0"/>
    <x v="18"/>
    <b v="1"/>
    <n v="1"/>
    <n v="2"/>
    <x v="15"/>
    <n v="0.16669999999999999"/>
    <n v="0.55000000000000004"/>
    <n v="0.25369999999999998"/>
    <n v="7"/>
    <n v="85"/>
    <n v="92"/>
    <x v="1"/>
    <x v="1"/>
    <x v="3"/>
    <x v="0"/>
    <x v="0"/>
    <n v="0.22929155386993369"/>
    <n v="-0.25435329828790432"/>
  </r>
  <r>
    <n v="392"/>
    <d v="2011-01-17T00:00:00"/>
    <n v="1"/>
    <n v="0"/>
    <x v="0"/>
    <x v="19"/>
    <b v="1"/>
    <n v="1"/>
    <n v="3"/>
    <x v="15"/>
    <n v="0.18179999999999999"/>
    <n v="0.59"/>
    <n v="0.19400000000000001"/>
    <n v="2"/>
    <n v="58"/>
    <n v="60"/>
    <x v="1"/>
    <x v="2"/>
    <x v="3"/>
    <x v="0"/>
    <x v="0"/>
    <n v="0.22929155386993369"/>
    <n v="-0.25435329828790432"/>
  </r>
  <r>
    <n v="393"/>
    <d v="2011-01-17T00:00:00"/>
    <n v="1"/>
    <n v="0"/>
    <x v="0"/>
    <x v="20"/>
    <b v="1"/>
    <n v="1"/>
    <n v="3"/>
    <x v="13"/>
    <n v="0.1515"/>
    <n v="0.8"/>
    <n v="0.19400000000000001"/>
    <n v="4"/>
    <n v="29"/>
    <n v="33"/>
    <x v="1"/>
    <x v="2"/>
    <x v="3"/>
    <x v="0"/>
    <x v="0"/>
    <n v="0.22929155386993369"/>
    <n v="-0.25435329828790432"/>
  </r>
  <r>
    <n v="394"/>
    <d v="2011-01-17T00:00:00"/>
    <n v="1"/>
    <n v="0"/>
    <x v="0"/>
    <x v="21"/>
    <b v="1"/>
    <n v="1"/>
    <n v="3"/>
    <x v="13"/>
    <n v="0.1515"/>
    <n v="0.8"/>
    <n v="0.19400000000000001"/>
    <n v="3"/>
    <n v="24"/>
    <n v="27"/>
    <x v="1"/>
    <x v="2"/>
    <x v="0"/>
    <x v="0"/>
    <x v="0"/>
    <n v="0.22929155386993369"/>
    <n v="-0.25435329828790432"/>
  </r>
  <r>
    <n v="395"/>
    <d v="2011-01-17T00:00:00"/>
    <n v="1"/>
    <n v="0"/>
    <x v="0"/>
    <x v="22"/>
    <b v="1"/>
    <n v="1"/>
    <n v="3"/>
    <x v="14"/>
    <n v="0.1212"/>
    <n v="0.93"/>
    <n v="0.25369999999999998"/>
    <n v="0"/>
    <n v="13"/>
    <n v="13"/>
    <x v="1"/>
    <x v="2"/>
    <x v="0"/>
    <x v="0"/>
    <x v="0"/>
    <n v="0.22929155386993369"/>
    <n v="-0.25435329828790432"/>
  </r>
  <r>
    <n v="396"/>
    <d v="2011-01-17T00:00:00"/>
    <n v="1"/>
    <n v="0"/>
    <x v="0"/>
    <x v="23"/>
    <b v="1"/>
    <n v="1"/>
    <n v="3"/>
    <x v="13"/>
    <n v="0.13639999999999999"/>
    <n v="0.86"/>
    <n v="0.28360000000000002"/>
    <n v="1"/>
    <n v="3"/>
    <n v="4"/>
    <x v="1"/>
    <x v="2"/>
    <x v="0"/>
    <x v="0"/>
    <x v="0"/>
    <n v="0.22929155386993369"/>
    <n v="-0.25435329828790432"/>
  </r>
  <r>
    <n v="397"/>
    <d v="2011-01-18T00:00:00"/>
    <n v="1"/>
    <n v="0"/>
    <x v="0"/>
    <x v="12"/>
    <b v="0"/>
    <n v="2"/>
    <n v="2"/>
    <x v="2"/>
    <n v="0.18179999999999999"/>
    <n v="0.86"/>
    <n v="0.32840000000000003"/>
    <n v="0"/>
    <n v="3"/>
    <n v="3"/>
    <x v="1"/>
    <x v="1"/>
    <x v="2"/>
    <x v="0"/>
    <x v="0"/>
    <n v="0.22929155386993369"/>
    <n v="-0.25435329828790432"/>
  </r>
  <r>
    <n v="398"/>
    <d v="2011-01-18T00:00:00"/>
    <n v="1"/>
    <n v="0"/>
    <x v="0"/>
    <x v="13"/>
    <b v="0"/>
    <n v="2"/>
    <n v="2"/>
    <x v="2"/>
    <n v="0.19700000000000001"/>
    <n v="0.86"/>
    <n v="0.22389999999999999"/>
    <n v="0"/>
    <n v="22"/>
    <n v="22"/>
    <x v="1"/>
    <x v="1"/>
    <x v="2"/>
    <x v="0"/>
    <x v="0"/>
    <n v="0.22929155386993369"/>
    <n v="-0.25435329828790432"/>
  </r>
  <r>
    <n v="399"/>
    <d v="2011-01-18T00:00:00"/>
    <n v="1"/>
    <n v="0"/>
    <x v="0"/>
    <x v="14"/>
    <b v="0"/>
    <n v="2"/>
    <n v="2"/>
    <x v="1"/>
    <n v="0.2273"/>
    <n v="0.8"/>
    <n v="0.16420000000000001"/>
    <n v="2"/>
    <n v="26"/>
    <n v="28"/>
    <x v="1"/>
    <x v="1"/>
    <x v="2"/>
    <x v="0"/>
    <x v="0"/>
    <n v="0.22929155386993369"/>
    <n v="-0.25435329828790432"/>
  </r>
  <r>
    <n v="400"/>
    <d v="2011-01-18T00:00:00"/>
    <n v="1"/>
    <n v="0"/>
    <x v="0"/>
    <x v="15"/>
    <b v="0"/>
    <n v="2"/>
    <n v="2"/>
    <x v="1"/>
    <n v="0.2273"/>
    <n v="0.87"/>
    <n v="0.16420000000000001"/>
    <n v="3"/>
    <n v="32"/>
    <n v="35"/>
    <x v="1"/>
    <x v="1"/>
    <x v="2"/>
    <x v="0"/>
    <x v="0"/>
    <n v="0.22929155386993369"/>
    <n v="-0.25435329828790432"/>
  </r>
  <r>
    <n v="401"/>
    <d v="2011-01-18T00:00:00"/>
    <n v="1"/>
    <n v="0"/>
    <x v="0"/>
    <x v="16"/>
    <b v="0"/>
    <n v="2"/>
    <n v="2"/>
    <x v="1"/>
    <n v="0.2273"/>
    <n v="0.87"/>
    <n v="0.19400000000000001"/>
    <n v="0"/>
    <n v="61"/>
    <n v="61"/>
    <x v="1"/>
    <x v="1"/>
    <x v="2"/>
    <x v="0"/>
    <x v="0"/>
    <n v="0.22929155386993369"/>
    <n v="-0.25435329828790432"/>
  </r>
  <r>
    <n v="402"/>
    <d v="2011-01-18T00:00:00"/>
    <n v="1"/>
    <n v="0"/>
    <x v="0"/>
    <x v="17"/>
    <b v="0"/>
    <n v="2"/>
    <n v="2"/>
    <x v="1"/>
    <n v="0.2273"/>
    <n v="0.82"/>
    <n v="0.19400000000000001"/>
    <n v="1"/>
    <n v="124"/>
    <n v="125"/>
    <x v="1"/>
    <x v="1"/>
    <x v="3"/>
    <x v="0"/>
    <x v="0"/>
    <n v="0.22929155386993369"/>
    <n v="-0.25435329828790432"/>
  </r>
  <r>
    <n v="403"/>
    <d v="2011-01-18T00:00:00"/>
    <n v="1"/>
    <n v="0"/>
    <x v="0"/>
    <x v="18"/>
    <b v="0"/>
    <n v="2"/>
    <n v="2"/>
    <x v="1"/>
    <n v="0.2273"/>
    <n v="0.8"/>
    <n v="0.16420000000000001"/>
    <n v="1"/>
    <n v="132"/>
    <n v="133"/>
    <x v="1"/>
    <x v="1"/>
    <x v="3"/>
    <x v="0"/>
    <x v="0"/>
    <n v="0.22929155386993369"/>
    <n v="-0.25435329828790432"/>
  </r>
  <r>
    <n v="404"/>
    <d v="2011-01-18T00:00:00"/>
    <n v="1"/>
    <n v="0"/>
    <x v="0"/>
    <x v="19"/>
    <b v="0"/>
    <n v="2"/>
    <n v="2"/>
    <x v="1"/>
    <n v="0.2273"/>
    <n v="0.8"/>
    <n v="0.1343"/>
    <n v="1"/>
    <n v="98"/>
    <n v="99"/>
    <x v="1"/>
    <x v="1"/>
    <x v="3"/>
    <x v="0"/>
    <x v="0"/>
    <n v="0.22929155386993369"/>
    <n v="-0.25435329828790432"/>
  </r>
  <r>
    <n v="405"/>
    <d v="2011-01-18T00:00:00"/>
    <n v="1"/>
    <n v="0"/>
    <x v="0"/>
    <x v="20"/>
    <b v="0"/>
    <n v="2"/>
    <n v="2"/>
    <x v="1"/>
    <n v="0.2727"/>
    <n v="0.87"/>
    <n v="0"/>
    <n v="0"/>
    <n v="83"/>
    <n v="83"/>
    <x v="1"/>
    <x v="1"/>
    <x v="3"/>
    <x v="0"/>
    <x v="0"/>
    <n v="0.22929155386993369"/>
    <n v="-0.25435329828790432"/>
  </r>
  <r>
    <n v="406"/>
    <d v="2011-01-18T00:00:00"/>
    <n v="1"/>
    <n v="0"/>
    <x v="0"/>
    <x v="21"/>
    <b v="0"/>
    <n v="2"/>
    <n v="2"/>
    <x v="1"/>
    <n v="0.2424"/>
    <n v="0.93"/>
    <n v="0.1045"/>
    <n v="0"/>
    <n v="41"/>
    <n v="41"/>
    <x v="1"/>
    <x v="1"/>
    <x v="0"/>
    <x v="0"/>
    <x v="0"/>
    <n v="0.22929155386993369"/>
    <n v="-0.25435329828790432"/>
  </r>
  <r>
    <n v="407"/>
    <d v="2011-01-18T00:00:00"/>
    <n v="1"/>
    <n v="0"/>
    <x v="0"/>
    <x v="22"/>
    <b v="0"/>
    <n v="2"/>
    <n v="2"/>
    <x v="1"/>
    <n v="0.2576"/>
    <n v="0.93"/>
    <n v="8.9599999999999999E-2"/>
    <n v="0"/>
    <n v="33"/>
    <n v="33"/>
    <x v="1"/>
    <x v="1"/>
    <x v="0"/>
    <x v="0"/>
    <x v="0"/>
    <n v="0.22929155386993369"/>
    <n v="-0.25435329828790432"/>
  </r>
  <r>
    <n v="408"/>
    <d v="2011-01-18T00:00:00"/>
    <n v="1"/>
    <n v="0"/>
    <x v="0"/>
    <x v="23"/>
    <b v="0"/>
    <n v="2"/>
    <n v="2"/>
    <x v="1"/>
    <n v="0.2727"/>
    <n v="0.93"/>
    <n v="0"/>
    <n v="1"/>
    <n v="19"/>
    <n v="20"/>
    <x v="1"/>
    <x v="1"/>
    <x v="0"/>
    <x v="0"/>
    <x v="0"/>
    <n v="0.22929155386993369"/>
    <n v="-0.25435329828790432"/>
  </r>
  <r>
    <n v="409"/>
    <d v="2011-01-19T00:00:00"/>
    <n v="1"/>
    <n v="0"/>
    <x v="0"/>
    <x v="0"/>
    <b v="0"/>
    <n v="3"/>
    <n v="2"/>
    <x v="1"/>
    <n v="0.2727"/>
    <n v="0.93"/>
    <n v="0"/>
    <n v="0"/>
    <n v="3"/>
    <n v="3"/>
    <x v="1"/>
    <x v="1"/>
    <x v="0"/>
    <x v="0"/>
    <x v="0"/>
    <n v="0.22929155386993369"/>
    <n v="-0.25435329828790432"/>
  </r>
  <r>
    <n v="410"/>
    <d v="2011-01-19T00:00:00"/>
    <n v="1"/>
    <n v="0"/>
    <x v="0"/>
    <x v="1"/>
    <b v="0"/>
    <n v="3"/>
    <n v="3"/>
    <x v="1"/>
    <n v="0.2273"/>
    <n v="0.93"/>
    <n v="0.1343"/>
    <n v="1"/>
    <n v="6"/>
    <n v="7"/>
    <x v="1"/>
    <x v="2"/>
    <x v="0"/>
    <x v="0"/>
    <x v="0"/>
    <n v="0.22929155386993369"/>
    <n v="-0.25435329828790432"/>
  </r>
  <r>
    <n v="411"/>
    <d v="2011-01-19T00:00:00"/>
    <n v="1"/>
    <n v="0"/>
    <x v="0"/>
    <x v="2"/>
    <b v="0"/>
    <n v="3"/>
    <n v="3"/>
    <x v="1"/>
    <n v="0.2273"/>
    <n v="0.93"/>
    <n v="0.1343"/>
    <n v="0"/>
    <n v="3"/>
    <n v="3"/>
    <x v="1"/>
    <x v="2"/>
    <x v="0"/>
    <x v="0"/>
    <x v="0"/>
    <n v="0.22929155386993369"/>
    <n v="-0.25435329828790432"/>
  </r>
  <r>
    <n v="412"/>
    <d v="2011-01-19T00:00:00"/>
    <n v="1"/>
    <n v="0"/>
    <x v="0"/>
    <x v="4"/>
    <b v="0"/>
    <n v="3"/>
    <n v="3"/>
    <x v="1"/>
    <n v="0.2273"/>
    <n v="0.93"/>
    <n v="0.1343"/>
    <n v="1"/>
    <n v="1"/>
    <n v="2"/>
    <x v="1"/>
    <x v="2"/>
    <x v="0"/>
    <x v="0"/>
    <x v="0"/>
    <n v="0.22929155386993369"/>
    <n v="-0.25435329828790432"/>
  </r>
  <r>
    <n v="413"/>
    <d v="2011-01-19T00:00:00"/>
    <n v="1"/>
    <n v="0"/>
    <x v="0"/>
    <x v="5"/>
    <b v="0"/>
    <n v="3"/>
    <n v="2"/>
    <x v="1"/>
    <n v="0.2576"/>
    <n v="0.93"/>
    <n v="8.9599999999999999E-2"/>
    <n v="0"/>
    <n v="7"/>
    <n v="7"/>
    <x v="1"/>
    <x v="1"/>
    <x v="0"/>
    <x v="0"/>
    <x v="0"/>
    <n v="0.22929155386993369"/>
    <n v="-0.25435329828790432"/>
  </r>
  <r>
    <n v="414"/>
    <d v="2011-01-19T00:00:00"/>
    <n v="1"/>
    <n v="0"/>
    <x v="0"/>
    <x v="6"/>
    <b v="0"/>
    <n v="3"/>
    <n v="2"/>
    <x v="1"/>
    <n v="0.2576"/>
    <n v="0.93"/>
    <n v="8.9599999999999999E-2"/>
    <n v="0"/>
    <n v="32"/>
    <n v="32"/>
    <x v="1"/>
    <x v="1"/>
    <x v="1"/>
    <x v="0"/>
    <x v="0"/>
    <n v="0.22929155386993369"/>
    <n v="-0.25435329828790432"/>
  </r>
  <r>
    <n v="415"/>
    <d v="2011-01-19T00:00:00"/>
    <n v="1"/>
    <n v="0"/>
    <x v="0"/>
    <x v="7"/>
    <b v="0"/>
    <n v="3"/>
    <n v="2"/>
    <x v="0"/>
    <n v="0.2576"/>
    <n v="0.92"/>
    <n v="0.1045"/>
    <n v="1"/>
    <n v="89"/>
    <n v="90"/>
    <x v="1"/>
    <x v="1"/>
    <x v="1"/>
    <x v="0"/>
    <x v="0"/>
    <n v="0.22929155386993369"/>
    <n v="-0.25435329828790432"/>
  </r>
  <r>
    <n v="416"/>
    <d v="2011-01-19T00:00:00"/>
    <n v="1"/>
    <n v="0"/>
    <x v="0"/>
    <x v="8"/>
    <b v="0"/>
    <n v="3"/>
    <n v="2"/>
    <x v="0"/>
    <n v="0.2576"/>
    <n v="0.93"/>
    <n v="0.1045"/>
    <n v="1"/>
    <n v="196"/>
    <n v="197"/>
    <x v="1"/>
    <x v="1"/>
    <x v="1"/>
    <x v="0"/>
    <x v="0"/>
    <n v="0.22929155386993369"/>
    <n v="-0.25435329828790432"/>
  </r>
  <r>
    <n v="417"/>
    <d v="2011-01-19T00:00:00"/>
    <n v="1"/>
    <n v="0"/>
    <x v="0"/>
    <x v="9"/>
    <b v="0"/>
    <n v="3"/>
    <n v="2"/>
    <x v="0"/>
    <n v="0.2576"/>
    <n v="0.93"/>
    <n v="0.1045"/>
    <n v="2"/>
    <n v="107"/>
    <n v="109"/>
    <x v="1"/>
    <x v="1"/>
    <x v="1"/>
    <x v="0"/>
    <x v="0"/>
    <n v="0.22929155386993369"/>
    <n v="-0.25435329828790432"/>
  </r>
  <r>
    <n v="418"/>
    <d v="2011-01-19T00:00:00"/>
    <n v="1"/>
    <n v="0"/>
    <x v="0"/>
    <x v="10"/>
    <b v="0"/>
    <n v="3"/>
    <n v="2"/>
    <x v="12"/>
    <n v="0.2727"/>
    <n v="0.93"/>
    <n v="0.1343"/>
    <n v="1"/>
    <n v="46"/>
    <n v="47"/>
    <x v="1"/>
    <x v="1"/>
    <x v="1"/>
    <x v="0"/>
    <x v="0"/>
    <n v="0.22929155386993369"/>
    <n v="-0.25435329828790432"/>
  </r>
  <r>
    <n v="419"/>
    <d v="2011-01-19T00:00:00"/>
    <n v="1"/>
    <n v="0"/>
    <x v="0"/>
    <x v="11"/>
    <b v="0"/>
    <n v="3"/>
    <n v="2"/>
    <x v="17"/>
    <n v="0.30299999999999999"/>
    <n v="0.87"/>
    <n v="8.9599999999999999E-2"/>
    <n v="5"/>
    <n v="47"/>
    <n v="52"/>
    <x v="1"/>
    <x v="1"/>
    <x v="1"/>
    <x v="0"/>
    <x v="0"/>
    <n v="0.22929155386993369"/>
    <n v="-0.25435329828790432"/>
  </r>
  <r>
    <n v="420"/>
    <d v="2011-01-19T00:00:00"/>
    <n v="1"/>
    <n v="0"/>
    <x v="0"/>
    <x v="12"/>
    <b v="0"/>
    <n v="3"/>
    <n v="2"/>
    <x v="11"/>
    <n v="0.31819999999999998"/>
    <n v="0.81"/>
    <n v="8.9599999999999999E-2"/>
    <n v="5"/>
    <n v="65"/>
    <n v="70"/>
    <x v="1"/>
    <x v="1"/>
    <x v="2"/>
    <x v="0"/>
    <x v="0"/>
    <n v="0.22929155386993369"/>
    <n v="-0.25435329828790432"/>
  </r>
  <r>
    <n v="421"/>
    <d v="2011-01-19T00:00:00"/>
    <n v="1"/>
    <n v="0"/>
    <x v="0"/>
    <x v="13"/>
    <b v="0"/>
    <n v="3"/>
    <n v="1"/>
    <x v="9"/>
    <n v="0.40910000000000002"/>
    <n v="0.62"/>
    <n v="0.28360000000000002"/>
    <n v="11"/>
    <n v="67"/>
    <n v="78"/>
    <x v="1"/>
    <x v="0"/>
    <x v="2"/>
    <x v="0"/>
    <x v="0"/>
    <n v="0.22929155386993369"/>
    <n v="-0.25435329828790432"/>
  </r>
  <r>
    <n v="422"/>
    <d v="2011-01-19T00:00:00"/>
    <n v="1"/>
    <n v="0"/>
    <x v="0"/>
    <x v="14"/>
    <b v="0"/>
    <n v="3"/>
    <n v="1"/>
    <x v="9"/>
    <n v="0.40910000000000002"/>
    <n v="0.57999999999999996"/>
    <n v="0.25369999999999998"/>
    <n v="7"/>
    <n v="68"/>
    <n v="75"/>
    <x v="1"/>
    <x v="0"/>
    <x v="2"/>
    <x v="0"/>
    <x v="0"/>
    <n v="0.22929155386993369"/>
    <n v="-0.25435329828790432"/>
  </r>
  <r>
    <n v="423"/>
    <d v="2011-01-19T00:00:00"/>
    <n v="1"/>
    <n v="0"/>
    <x v="0"/>
    <x v="15"/>
    <b v="0"/>
    <n v="3"/>
    <n v="1"/>
    <x v="9"/>
    <n v="0.40910000000000002"/>
    <n v="0.54"/>
    <n v="0.28360000000000002"/>
    <n v="4"/>
    <n v="78"/>
    <n v="82"/>
    <x v="1"/>
    <x v="0"/>
    <x v="2"/>
    <x v="0"/>
    <x v="0"/>
    <n v="0.22929155386993369"/>
    <n v="-0.25435329828790432"/>
  </r>
  <r>
    <n v="424"/>
    <d v="2011-01-19T00:00:00"/>
    <n v="1"/>
    <n v="0"/>
    <x v="0"/>
    <x v="16"/>
    <b v="0"/>
    <n v="3"/>
    <n v="1"/>
    <x v="4"/>
    <n v="0.39389999999999997"/>
    <n v="0.57999999999999996"/>
    <n v="0.3881"/>
    <n v="10"/>
    <n v="94"/>
    <n v="104"/>
    <x v="1"/>
    <x v="0"/>
    <x v="2"/>
    <x v="0"/>
    <x v="0"/>
    <n v="0.22929155386993369"/>
    <n v="-0.25435329828790432"/>
  </r>
  <r>
    <n v="425"/>
    <d v="2011-01-19T00:00:00"/>
    <n v="1"/>
    <n v="0"/>
    <x v="0"/>
    <x v="17"/>
    <b v="0"/>
    <n v="3"/>
    <n v="1"/>
    <x v="5"/>
    <n v="0.33329999999999999"/>
    <n v="0.56999999999999995"/>
    <n v="0.32840000000000003"/>
    <n v="7"/>
    <n v="190"/>
    <n v="197"/>
    <x v="1"/>
    <x v="0"/>
    <x v="3"/>
    <x v="0"/>
    <x v="0"/>
    <n v="0.22929155386993369"/>
    <n v="-0.25435329828790432"/>
  </r>
  <r>
    <n v="426"/>
    <d v="2011-01-19T00:00:00"/>
    <n v="1"/>
    <n v="0"/>
    <x v="0"/>
    <x v="18"/>
    <b v="0"/>
    <n v="3"/>
    <n v="1"/>
    <x v="10"/>
    <n v="0.31819999999999998"/>
    <n v="0.61"/>
    <n v="0.28360000000000002"/>
    <n v="5"/>
    <n v="156"/>
    <n v="161"/>
    <x v="1"/>
    <x v="0"/>
    <x v="3"/>
    <x v="0"/>
    <x v="0"/>
    <n v="0.22929155386993369"/>
    <n v="-0.25435329828790432"/>
  </r>
  <r>
    <n v="427"/>
    <d v="2011-01-19T00:00:00"/>
    <n v="1"/>
    <n v="0"/>
    <x v="0"/>
    <x v="19"/>
    <b v="0"/>
    <n v="3"/>
    <n v="1"/>
    <x v="3"/>
    <n v="0.28789999999999999"/>
    <n v="0.56999999999999995"/>
    <n v="0.41789999999999999"/>
    <n v="4"/>
    <n v="108"/>
    <n v="112"/>
    <x v="1"/>
    <x v="0"/>
    <x v="3"/>
    <x v="0"/>
    <x v="0"/>
    <n v="0.22929155386993369"/>
    <n v="-0.25435329828790432"/>
  </r>
  <r>
    <n v="428"/>
    <d v="2011-01-19T00:00:00"/>
    <n v="1"/>
    <n v="0"/>
    <x v="0"/>
    <x v="20"/>
    <b v="0"/>
    <n v="3"/>
    <n v="1"/>
    <x v="3"/>
    <n v="0.30299999999999999"/>
    <n v="0.49"/>
    <n v="0.29849999999999999"/>
    <n v="2"/>
    <n v="74"/>
    <n v="76"/>
    <x v="1"/>
    <x v="0"/>
    <x v="3"/>
    <x v="0"/>
    <x v="0"/>
    <n v="0.22929155386993369"/>
    <n v="-0.25435329828790432"/>
  </r>
  <r>
    <n v="429"/>
    <d v="2011-01-19T00:00:00"/>
    <n v="1"/>
    <n v="0"/>
    <x v="0"/>
    <x v="21"/>
    <b v="0"/>
    <n v="3"/>
    <n v="1"/>
    <x v="3"/>
    <n v="0.28789999999999999"/>
    <n v="0.49"/>
    <n v="0.41789999999999999"/>
    <n v="4"/>
    <n v="55"/>
    <n v="59"/>
    <x v="1"/>
    <x v="0"/>
    <x v="0"/>
    <x v="0"/>
    <x v="0"/>
    <n v="0.22929155386993369"/>
    <n v="-0.25435329828790432"/>
  </r>
  <r>
    <n v="430"/>
    <d v="2011-01-19T00:00:00"/>
    <n v="1"/>
    <n v="0"/>
    <x v="0"/>
    <x v="22"/>
    <b v="0"/>
    <n v="3"/>
    <n v="1"/>
    <x v="11"/>
    <n v="0.30299999999999999"/>
    <n v="0.52"/>
    <n v="0.16420000000000001"/>
    <n v="6"/>
    <n v="53"/>
    <n v="59"/>
    <x v="1"/>
    <x v="0"/>
    <x v="0"/>
    <x v="0"/>
    <x v="0"/>
    <n v="0.22929155386993369"/>
    <n v="-0.25435329828790432"/>
  </r>
  <r>
    <n v="431"/>
    <d v="2011-01-19T00:00:00"/>
    <n v="1"/>
    <n v="0"/>
    <x v="0"/>
    <x v="23"/>
    <b v="0"/>
    <n v="3"/>
    <n v="1"/>
    <x v="11"/>
    <n v="0.2727"/>
    <n v="0.52"/>
    <n v="0.4627"/>
    <n v="1"/>
    <n v="27"/>
    <n v="28"/>
    <x v="1"/>
    <x v="0"/>
    <x v="0"/>
    <x v="0"/>
    <x v="0"/>
    <n v="0.22929155386993369"/>
    <n v="-0.25435329828790432"/>
  </r>
  <r>
    <n v="432"/>
    <d v="2011-01-20T00:00:00"/>
    <n v="1"/>
    <n v="0"/>
    <x v="0"/>
    <x v="0"/>
    <b v="0"/>
    <n v="4"/>
    <n v="1"/>
    <x v="12"/>
    <n v="0.2273"/>
    <n v="0.56000000000000005"/>
    <n v="0.3881"/>
    <n v="5"/>
    <n v="8"/>
    <n v="13"/>
    <x v="1"/>
    <x v="0"/>
    <x v="0"/>
    <x v="0"/>
    <x v="0"/>
    <n v="0.22929155386993369"/>
    <n v="-0.25435329828790432"/>
  </r>
  <r>
    <n v="433"/>
    <d v="2011-01-20T00:00:00"/>
    <n v="1"/>
    <n v="0"/>
    <x v="0"/>
    <x v="1"/>
    <b v="0"/>
    <n v="4"/>
    <n v="1"/>
    <x v="12"/>
    <n v="0.2727"/>
    <n v="0.56000000000000005"/>
    <n v="0"/>
    <n v="2"/>
    <n v="3"/>
    <n v="5"/>
    <x v="1"/>
    <x v="0"/>
    <x v="0"/>
    <x v="0"/>
    <x v="0"/>
    <n v="0.22929155386993369"/>
    <n v="-0.25435329828790432"/>
  </r>
  <r>
    <n v="434"/>
    <d v="2011-01-20T00:00:00"/>
    <n v="1"/>
    <n v="0"/>
    <x v="0"/>
    <x v="2"/>
    <b v="0"/>
    <n v="4"/>
    <n v="1"/>
    <x v="12"/>
    <n v="0.2727"/>
    <n v="0.56000000000000005"/>
    <n v="0"/>
    <n v="0"/>
    <n v="2"/>
    <n v="2"/>
    <x v="1"/>
    <x v="0"/>
    <x v="0"/>
    <x v="0"/>
    <x v="0"/>
    <n v="0.22929155386993369"/>
    <n v="-0.25435329828790432"/>
  </r>
  <r>
    <n v="435"/>
    <d v="2011-01-20T00:00:00"/>
    <n v="1"/>
    <n v="0"/>
    <x v="0"/>
    <x v="3"/>
    <b v="0"/>
    <n v="4"/>
    <n v="1"/>
    <x v="12"/>
    <n v="0.2576"/>
    <n v="0.56000000000000005"/>
    <n v="0.16420000000000001"/>
    <n v="0"/>
    <n v="1"/>
    <n v="1"/>
    <x v="1"/>
    <x v="0"/>
    <x v="0"/>
    <x v="0"/>
    <x v="0"/>
    <n v="0.22929155386993369"/>
    <n v="-0.25435329828790432"/>
  </r>
  <r>
    <n v="436"/>
    <d v="2011-01-20T00:00:00"/>
    <n v="1"/>
    <n v="0"/>
    <x v="0"/>
    <x v="4"/>
    <b v="0"/>
    <n v="4"/>
    <n v="1"/>
    <x v="12"/>
    <n v="0.2576"/>
    <n v="0.56000000000000005"/>
    <n v="0.16420000000000001"/>
    <n v="0"/>
    <n v="1"/>
    <n v="1"/>
    <x v="1"/>
    <x v="0"/>
    <x v="0"/>
    <x v="0"/>
    <x v="0"/>
    <n v="0.22929155386993369"/>
    <n v="-0.25435329828790432"/>
  </r>
  <r>
    <n v="437"/>
    <d v="2011-01-20T00:00:00"/>
    <n v="1"/>
    <n v="0"/>
    <x v="0"/>
    <x v="5"/>
    <b v="0"/>
    <n v="4"/>
    <n v="1"/>
    <x v="0"/>
    <n v="0.2273"/>
    <n v="0.6"/>
    <n v="0.22389999999999999"/>
    <n v="0"/>
    <n v="6"/>
    <n v="6"/>
    <x v="1"/>
    <x v="0"/>
    <x v="0"/>
    <x v="0"/>
    <x v="0"/>
    <n v="0.22929155386993369"/>
    <n v="-0.25435329828790432"/>
  </r>
  <r>
    <n v="438"/>
    <d v="2011-01-20T00:00:00"/>
    <n v="1"/>
    <n v="0"/>
    <x v="0"/>
    <x v="6"/>
    <b v="0"/>
    <n v="4"/>
    <n v="1"/>
    <x v="1"/>
    <n v="0.21210000000000001"/>
    <n v="0.6"/>
    <n v="0.22389999999999999"/>
    <n v="0"/>
    <n v="35"/>
    <n v="35"/>
    <x v="1"/>
    <x v="0"/>
    <x v="1"/>
    <x v="0"/>
    <x v="0"/>
    <n v="0.22929155386993369"/>
    <n v="-0.25435329828790432"/>
  </r>
  <r>
    <n v="439"/>
    <d v="2011-01-20T00:00:00"/>
    <n v="1"/>
    <n v="0"/>
    <x v="0"/>
    <x v="7"/>
    <b v="0"/>
    <n v="4"/>
    <n v="1"/>
    <x v="1"/>
    <n v="0.21210000000000001"/>
    <n v="0.55000000000000004"/>
    <n v="0.22389999999999999"/>
    <n v="1"/>
    <n v="100"/>
    <n v="101"/>
    <x v="1"/>
    <x v="0"/>
    <x v="1"/>
    <x v="0"/>
    <x v="0"/>
    <n v="0.22929155386993369"/>
    <n v="-0.25435329828790432"/>
  </r>
  <r>
    <n v="440"/>
    <d v="2011-01-20T00:00:00"/>
    <n v="1"/>
    <n v="0"/>
    <x v="0"/>
    <x v="8"/>
    <b v="0"/>
    <n v="4"/>
    <n v="1"/>
    <x v="1"/>
    <n v="0.21210000000000001"/>
    <n v="0.55000000000000004"/>
    <n v="0.28360000000000002"/>
    <n v="2"/>
    <n v="247"/>
    <n v="249"/>
    <x v="1"/>
    <x v="0"/>
    <x v="1"/>
    <x v="0"/>
    <x v="0"/>
    <n v="0.22929155386993369"/>
    <n v="-0.25435329828790432"/>
  </r>
  <r>
    <n v="441"/>
    <d v="2011-01-20T00:00:00"/>
    <n v="1"/>
    <n v="0"/>
    <x v="0"/>
    <x v="9"/>
    <b v="0"/>
    <n v="4"/>
    <n v="2"/>
    <x v="0"/>
    <n v="0.2273"/>
    <n v="0.52"/>
    <n v="0.22389999999999999"/>
    <n v="3"/>
    <n v="140"/>
    <n v="143"/>
    <x v="1"/>
    <x v="1"/>
    <x v="1"/>
    <x v="0"/>
    <x v="0"/>
    <n v="0.22929155386993369"/>
    <n v="-0.25435329828790432"/>
  </r>
  <r>
    <n v="442"/>
    <d v="2011-01-20T00:00:00"/>
    <n v="1"/>
    <n v="0"/>
    <x v="0"/>
    <x v="10"/>
    <b v="0"/>
    <n v="4"/>
    <n v="1"/>
    <x v="12"/>
    <n v="0.2273"/>
    <n v="0.48"/>
    <n v="0.29849999999999999"/>
    <n v="1"/>
    <n v="56"/>
    <n v="57"/>
    <x v="1"/>
    <x v="0"/>
    <x v="1"/>
    <x v="0"/>
    <x v="0"/>
    <n v="0.22929155386993369"/>
    <n v="-0.25435329828790432"/>
  </r>
  <r>
    <n v="443"/>
    <d v="2011-01-20T00:00:00"/>
    <n v="1"/>
    <n v="0"/>
    <x v="0"/>
    <x v="11"/>
    <b v="0"/>
    <n v="4"/>
    <n v="2"/>
    <x v="17"/>
    <n v="0.2727"/>
    <n v="0.45"/>
    <n v="0.16420000000000001"/>
    <n v="5"/>
    <n v="63"/>
    <n v="68"/>
    <x v="1"/>
    <x v="1"/>
    <x v="1"/>
    <x v="0"/>
    <x v="0"/>
    <n v="0.22929155386993369"/>
    <n v="-0.25435329828790432"/>
  </r>
  <r>
    <n v="444"/>
    <d v="2011-01-20T00:00:00"/>
    <n v="1"/>
    <n v="0"/>
    <x v="0"/>
    <x v="12"/>
    <b v="0"/>
    <n v="4"/>
    <n v="2"/>
    <x v="11"/>
    <n v="0.33329999999999999"/>
    <n v="0.42"/>
    <n v="0"/>
    <n v="7"/>
    <n v="77"/>
    <n v="84"/>
    <x v="1"/>
    <x v="1"/>
    <x v="2"/>
    <x v="0"/>
    <x v="0"/>
    <n v="0.22929155386993369"/>
    <n v="-0.25435329828790432"/>
  </r>
  <r>
    <n v="445"/>
    <d v="2011-01-20T00:00:00"/>
    <n v="1"/>
    <n v="0"/>
    <x v="0"/>
    <x v="13"/>
    <b v="0"/>
    <n v="4"/>
    <n v="2"/>
    <x v="17"/>
    <n v="0.28789999999999999"/>
    <n v="0.45"/>
    <n v="0.1045"/>
    <n v="12"/>
    <n v="86"/>
    <n v="98"/>
    <x v="1"/>
    <x v="1"/>
    <x v="2"/>
    <x v="0"/>
    <x v="0"/>
    <n v="0.22929155386993369"/>
    <n v="-0.25435329828790432"/>
  </r>
  <r>
    <n v="446"/>
    <d v="2011-01-20T00:00:00"/>
    <n v="1"/>
    <n v="0"/>
    <x v="0"/>
    <x v="14"/>
    <b v="0"/>
    <n v="4"/>
    <n v="2"/>
    <x v="11"/>
    <n v="0.30299999999999999"/>
    <n v="0.45"/>
    <n v="0.1343"/>
    <n v="6"/>
    <n v="75"/>
    <n v="81"/>
    <x v="1"/>
    <x v="1"/>
    <x v="2"/>
    <x v="0"/>
    <x v="0"/>
    <n v="0.22929155386993369"/>
    <n v="-0.25435329828790432"/>
  </r>
  <r>
    <n v="447"/>
    <d v="2011-01-20T00:00:00"/>
    <n v="1"/>
    <n v="0"/>
    <x v="0"/>
    <x v="15"/>
    <b v="0"/>
    <n v="4"/>
    <n v="2"/>
    <x v="3"/>
    <n v="0.31819999999999998"/>
    <n v="0.45"/>
    <n v="0.19400000000000001"/>
    <n v="8"/>
    <n v="62"/>
    <n v="70"/>
    <x v="1"/>
    <x v="1"/>
    <x v="2"/>
    <x v="0"/>
    <x v="0"/>
    <n v="0.22929155386993369"/>
    <n v="-0.25435329828790432"/>
  </r>
  <r>
    <n v="448"/>
    <d v="2011-01-20T00:00:00"/>
    <n v="1"/>
    <n v="0"/>
    <x v="0"/>
    <x v="16"/>
    <b v="0"/>
    <n v="4"/>
    <n v="2"/>
    <x v="11"/>
    <n v="0.30299999999999999"/>
    <n v="0.49"/>
    <n v="0.1343"/>
    <n v="8"/>
    <n v="83"/>
    <n v="91"/>
    <x v="1"/>
    <x v="1"/>
    <x v="2"/>
    <x v="0"/>
    <x v="0"/>
    <n v="0.22929155386993369"/>
    <n v="-0.25435329828790432"/>
  </r>
  <r>
    <n v="449"/>
    <d v="2011-01-20T00:00:00"/>
    <n v="1"/>
    <n v="0"/>
    <x v="0"/>
    <x v="17"/>
    <b v="0"/>
    <n v="4"/>
    <n v="2"/>
    <x v="11"/>
    <n v="0.31819999999999998"/>
    <n v="0.49"/>
    <n v="0.1045"/>
    <n v="8"/>
    <n v="207"/>
    <n v="215"/>
    <x v="1"/>
    <x v="1"/>
    <x v="3"/>
    <x v="0"/>
    <x v="0"/>
    <n v="0.22929155386993369"/>
    <n v="-0.25435329828790432"/>
  </r>
  <r>
    <n v="450"/>
    <d v="2011-01-20T00:00:00"/>
    <n v="1"/>
    <n v="0"/>
    <x v="0"/>
    <x v="18"/>
    <b v="0"/>
    <n v="4"/>
    <n v="2"/>
    <x v="12"/>
    <n v="0.2576"/>
    <n v="0.56000000000000005"/>
    <n v="0.19400000000000001"/>
    <n v="1"/>
    <n v="184"/>
    <n v="185"/>
    <x v="1"/>
    <x v="1"/>
    <x v="3"/>
    <x v="0"/>
    <x v="0"/>
    <n v="0.22929155386993369"/>
    <n v="-0.25435329828790432"/>
  </r>
  <r>
    <n v="451"/>
    <d v="2011-01-20T00:00:00"/>
    <n v="1"/>
    <n v="0"/>
    <x v="0"/>
    <x v="19"/>
    <b v="0"/>
    <n v="4"/>
    <n v="1"/>
    <x v="12"/>
    <n v="0.2273"/>
    <n v="0.56000000000000005"/>
    <n v="0.32840000000000003"/>
    <n v="6"/>
    <n v="146"/>
    <n v="152"/>
    <x v="1"/>
    <x v="0"/>
    <x v="3"/>
    <x v="0"/>
    <x v="0"/>
    <n v="0.22929155386993369"/>
    <n v="-0.25435329828790432"/>
  </r>
  <r>
    <n v="452"/>
    <d v="2011-01-20T00:00:00"/>
    <n v="1"/>
    <n v="0"/>
    <x v="0"/>
    <x v="20"/>
    <b v="0"/>
    <n v="4"/>
    <n v="2"/>
    <x v="12"/>
    <n v="0.2424"/>
    <n v="0.6"/>
    <n v="0.28360000000000002"/>
    <n v="2"/>
    <n v="124"/>
    <n v="126"/>
    <x v="1"/>
    <x v="1"/>
    <x v="3"/>
    <x v="0"/>
    <x v="0"/>
    <n v="0.22929155386993369"/>
    <n v="-0.25435329828790432"/>
  </r>
  <r>
    <n v="453"/>
    <d v="2011-01-20T00:00:00"/>
    <n v="1"/>
    <n v="0"/>
    <x v="0"/>
    <x v="21"/>
    <b v="0"/>
    <n v="4"/>
    <n v="2"/>
    <x v="0"/>
    <n v="0.2273"/>
    <n v="0.6"/>
    <n v="0.25369999999999998"/>
    <n v="3"/>
    <n v="54"/>
    <n v="57"/>
    <x v="1"/>
    <x v="1"/>
    <x v="0"/>
    <x v="0"/>
    <x v="0"/>
    <n v="0.22929155386993369"/>
    <n v="-0.25435329828790432"/>
  </r>
  <r>
    <n v="454"/>
    <d v="2011-01-20T00:00:00"/>
    <n v="1"/>
    <n v="0"/>
    <x v="0"/>
    <x v="22"/>
    <b v="0"/>
    <n v="4"/>
    <n v="2"/>
    <x v="0"/>
    <n v="0.21210000000000001"/>
    <n v="0.65"/>
    <n v="0.28360000000000002"/>
    <n v="0"/>
    <n v="56"/>
    <n v="56"/>
    <x v="1"/>
    <x v="1"/>
    <x v="0"/>
    <x v="0"/>
    <x v="0"/>
    <n v="0.22929155386993369"/>
    <n v="-0.25435329828790432"/>
  </r>
  <r>
    <n v="455"/>
    <d v="2011-01-20T00:00:00"/>
    <n v="1"/>
    <n v="0"/>
    <x v="0"/>
    <x v="23"/>
    <b v="0"/>
    <n v="4"/>
    <n v="2"/>
    <x v="0"/>
    <n v="0.21210000000000001"/>
    <n v="0.65"/>
    <n v="0.32840000000000003"/>
    <n v="3"/>
    <n v="28"/>
    <n v="31"/>
    <x v="1"/>
    <x v="1"/>
    <x v="0"/>
    <x v="0"/>
    <x v="0"/>
    <n v="0.22929155386993369"/>
    <n v="-0.25435329828790432"/>
  </r>
  <r>
    <n v="456"/>
    <d v="2011-01-21T00:00:00"/>
    <n v="1"/>
    <n v="0"/>
    <x v="0"/>
    <x v="0"/>
    <b v="0"/>
    <n v="5"/>
    <n v="2"/>
    <x v="0"/>
    <n v="0.2273"/>
    <n v="0.7"/>
    <n v="0.25369999999999998"/>
    <n v="1"/>
    <n v="20"/>
    <n v="21"/>
    <x v="1"/>
    <x v="1"/>
    <x v="0"/>
    <x v="0"/>
    <x v="0"/>
    <n v="0.22929155386993369"/>
    <n v="-0.25435329828790432"/>
  </r>
  <r>
    <n v="457"/>
    <d v="2011-01-21T00:00:00"/>
    <n v="1"/>
    <n v="0"/>
    <x v="0"/>
    <x v="1"/>
    <b v="0"/>
    <n v="5"/>
    <n v="2"/>
    <x v="0"/>
    <n v="0.2273"/>
    <n v="0.7"/>
    <n v="0.25369999999999998"/>
    <n v="0"/>
    <n v="6"/>
    <n v="6"/>
    <x v="1"/>
    <x v="1"/>
    <x v="0"/>
    <x v="0"/>
    <x v="0"/>
    <n v="0.22929155386993369"/>
    <n v="-0.25435329828790432"/>
  </r>
  <r>
    <n v="458"/>
    <d v="2011-01-21T00:00:00"/>
    <n v="1"/>
    <n v="0"/>
    <x v="0"/>
    <x v="2"/>
    <b v="0"/>
    <n v="5"/>
    <n v="3"/>
    <x v="0"/>
    <n v="0.2424"/>
    <n v="0.75"/>
    <n v="0.16420000000000001"/>
    <n v="0"/>
    <n v="2"/>
    <n v="2"/>
    <x v="1"/>
    <x v="2"/>
    <x v="0"/>
    <x v="0"/>
    <x v="0"/>
    <n v="0.22929155386993369"/>
    <n v="-0.25435329828790432"/>
  </r>
  <r>
    <n v="459"/>
    <d v="2011-01-21T00:00:00"/>
    <n v="1"/>
    <n v="0"/>
    <x v="0"/>
    <x v="3"/>
    <b v="0"/>
    <n v="5"/>
    <n v="3"/>
    <x v="1"/>
    <n v="0.21210000000000001"/>
    <n v="0.8"/>
    <n v="0.29849999999999999"/>
    <n v="0"/>
    <n v="1"/>
    <n v="1"/>
    <x v="1"/>
    <x v="2"/>
    <x v="0"/>
    <x v="0"/>
    <x v="0"/>
    <n v="0.22929155386993369"/>
    <n v="-0.25435329828790432"/>
  </r>
  <r>
    <n v="460"/>
    <d v="2011-01-21T00:00:00"/>
    <n v="1"/>
    <n v="0"/>
    <x v="0"/>
    <x v="4"/>
    <b v="0"/>
    <n v="5"/>
    <n v="2"/>
    <x v="1"/>
    <n v="0.2576"/>
    <n v="0.87"/>
    <n v="8.9599999999999999E-2"/>
    <n v="0"/>
    <n v="1"/>
    <n v="1"/>
    <x v="1"/>
    <x v="1"/>
    <x v="0"/>
    <x v="0"/>
    <x v="0"/>
    <n v="0.22929155386993369"/>
    <n v="-0.25435329828790432"/>
  </r>
  <r>
    <n v="461"/>
    <d v="2011-01-21T00:00:00"/>
    <n v="1"/>
    <n v="0"/>
    <x v="0"/>
    <x v="5"/>
    <b v="0"/>
    <n v="5"/>
    <n v="1"/>
    <x v="0"/>
    <n v="0.19700000000000001"/>
    <n v="0.6"/>
    <n v="0.41789999999999999"/>
    <n v="1"/>
    <n v="4"/>
    <n v="5"/>
    <x v="1"/>
    <x v="0"/>
    <x v="0"/>
    <x v="0"/>
    <x v="0"/>
    <n v="0.22929155386993369"/>
    <n v="-0.25435329828790432"/>
  </r>
  <r>
    <n v="462"/>
    <d v="2011-01-21T00:00:00"/>
    <n v="1"/>
    <n v="0"/>
    <x v="0"/>
    <x v="6"/>
    <b v="0"/>
    <n v="5"/>
    <n v="1"/>
    <x v="1"/>
    <n v="0.21210000000000001"/>
    <n v="0.55000000000000004"/>
    <n v="0.25369999999999998"/>
    <n v="0"/>
    <n v="27"/>
    <n v="27"/>
    <x v="1"/>
    <x v="0"/>
    <x v="1"/>
    <x v="0"/>
    <x v="0"/>
    <n v="0.22929155386993369"/>
    <n v="-0.25435329828790432"/>
  </r>
  <r>
    <n v="463"/>
    <d v="2011-01-21T00:00:00"/>
    <n v="1"/>
    <n v="0"/>
    <x v="0"/>
    <x v="7"/>
    <b v="0"/>
    <n v="5"/>
    <n v="1"/>
    <x v="2"/>
    <n v="0.18179999999999999"/>
    <n v="0.51"/>
    <n v="0.28360000000000002"/>
    <n v="2"/>
    <n v="66"/>
    <n v="68"/>
    <x v="1"/>
    <x v="0"/>
    <x v="1"/>
    <x v="0"/>
    <x v="0"/>
    <n v="0.22929155386993369"/>
    <n v="-0.25435329828790432"/>
  </r>
  <r>
    <n v="464"/>
    <d v="2011-01-21T00:00:00"/>
    <n v="1"/>
    <n v="0"/>
    <x v="0"/>
    <x v="8"/>
    <b v="0"/>
    <n v="5"/>
    <n v="1"/>
    <x v="2"/>
    <n v="0.18179999999999999"/>
    <n v="0.47"/>
    <n v="0.32840000000000003"/>
    <n v="7"/>
    <n v="210"/>
    <n v="217"/>
    <x v="1"/>
    <x v="0"/>
    <x v="1"/>
    <x v="0"/>
    <x v="0"/>
    <n v="0.22929155386993369"/>
    <n v="-0.25435329828790432"/>
  </r>
  <r>
    <n v="465"/>
    <d v="2011-01-21T00:00:00"/>
    <n v="1"/>
    <n v="0"/>
    <x v="0"/>
    <x v="9"/>
    <b v="0"/>
    <n v="5"/>
    <n v="1"/>
    <x v="2"/>
    <n v="0.18179999999999999"/>
    <n v="0.51"/>
    <n v="0.35820000000000002"/>
    <n v="7"/>
    <n v="159"/>
    <n v="166"/>
    <x v="1"/>
    <x v="0"/>
    <x v="1"/>
    <x v="0"/>
    <x v="0"/>
    <n v="0.22929155386993369"/>
    <n v="-0.25435329828790432"/>
  </r>
  <r>
    <n v="466"/>
    <d v="2011-01-21T00:00:00"/>
    <n v="1"/>
    <n v="0"/>
    <x v="0"/>
    <x v="10"/>
    <b v="0"/>
    <n v="5"/>
    <n v="1"/>
    <x v="2"/>
    <n v="0.16669999999999999"/>
    <n v="0.47"/>
    <n v="0.4627"/>
    <n v="6"/>
    <n v="57"/>
    <n v="63"/>
    <x v="1"/>
    <x v="0"/>
    <x v="1"/>
    <x v="0"/>
    <x v="0"/>
    <n v="0.22929155386993369"/>
    <n v="-0.25435329828790432"/>
  </r>
  <r>
    <n v="467"/>
    <d v="2011-01-21T00:00:00"/>
    <n v="1"/>
    <n v="0"/>
    <x v="0"/>
    <x v="11"/>
    <b v="0"/>
    <n v="5"/>
    <n v="1"/>
    <x v="1"/>
    <n v="0.18179999999999999"/>
    <n v="0.41"/>
    <n v="0.4627"/>
    <n v="6"/>
    <n v="53"/>
    <n v="59"/>
    <x v="1"/>
    <x v="0"/>
    <x v="1"/>
    <x v="0"/>
    <x v="0"/>
    <n v="0.22929155386993369"/>
    <n v="-0.25435329828790432"/>
  </r>
  <r>
    <n v="468"/>
    <d v="2011-01-21T00:00:00"/>
    <n v="1"/>
    <n v="0"/>
    <x v="0"/>
    <x v="12"/>
    <b v="0"/>
    <n v="5"/>
    <n v="1"/>
    <x v="1"/>
    <n v="0.18179999999999999"/>
    <n v="0.27"/>
    <n v="0.58209999999999995"/>
    <n v="11"/>
    <n v="67"/>
    <n v="78"/>
    <x v="1"/>
    <x v="0"/>
    <x v="2"/>
    <x v="0"/>
    <x v="0"/>
    <n v="0.22929155386993369"/>
    <n v="-0.25435329828790432"/>
  </r>
  <r>
    <n v="469"/>
    <d v="2011-01-21T00:00:00"/>
    <n v="1"/>
    <n v="0"/>
    <x v="0"/>
    <x v="13"/>
    <b v="0"/>
    <n v="5"/>
    <n v="1"/>
    <x v="2"/>
    <n v="0.1515"/>
    <n v="0.21"/>
    <n v="0.58209999999999995"/>
    <n v="8"/>
    <n v="65"/>
    <n v="73"/>
    <x v="1"/>
    <x v="0"/>
    <x v="2"/>
    <x v="0"/>
    <x v="0"/>
    <n v="0.22929155386993369"/>
    <n v="-0.25435329828790432"/>
  </r>
  <r>
    <n v="470"/>
    <d v="2011-01-21T00:00:00"/>
    <n v="1"/>
    <n v="0"/>
    <x v="0"/>
    <x v="14"/>
    <b v="0"/>
    <n v="5"/>
    <n v="1"/>
    <x v="2"/>
    <n v="0.1515"/>
    <n v="0.25"/>
    <n v="0.52239999999999998"/>
    <n v="6"/>
    <n v="56"/>
    <n v="62"/>
    <x v="1"/>
    <x v="0"/>
    <x v="2"/>
    <x v="0"/>
    <x v="0"/>
    <n v="0.22929155386993369"/>
    <n v="-0.25435329828790432"/>
  </r>
  <r>
    <n v="471"/>
    <d v="2011-01-21T00:00:00"/>
    <n v="1"/>
    <n v="0"/>
    <x v="0"/>
    <x v="15"/>
    <b v="0"/>
    <n v="5"/>
    <n v="1"/>
    <x v="13"/>
    <n v="0.1212"/>
    <n v="0.26"/>
    <n v="0.44779999999999998"/>
    <n v="4"/>
    <n v="61"/>
    <n v="65"/>
    <x v="1"/>
    <x v="0"/>
    <x v="2"/>
    <x v="0"/>
    <x v="0"/>
    <n v="0.22929155386993369"/>
    <n v="-0.25435329828790432"/>
  </r>
  <r>
    <n v="472"/>
    <d v="2011-01-21T00:00:00"/>
    <n v="1"/>
    <n v="0"/>
    <x v="0"/>
    <x v="16"/>
    <b v="0"/>
    <n v="5"/>
    <n v="1"/>
    <x v="13"/>
    <n v="0.13639999999999999"/>
    <n v="0.26"/>
    <n v="0.35820000000000002"/>
    <n v="0"/>
    <n v="97"/>
    <n v="97"/>
    <x v="1"/>
    <x v="0"/>
    <x v="2"/>
    <x v="0"/>
    <x v="0"/>
    <n v="0.22929155386993369"/>
    <n v="-0.25435329828790432"/>
  </r>
  <r>
    <n v="473"/>
    <d v="2011-01-21T00:00:00"/>
    <n v="1"/>
    <n v="0"/>
    <x v="0"/>
    <x v="17"/>
    <b v="0"/>
    <n v="5"/>
    <n v="1"/>
    <x v="14"/>
    <n v="0.1212"/>
    <n v="0.28000000000000003"/>
    <n v="0.35820000000000002"/>
    <n v="10"/>
    <n v="151"/>
    <n v="161"/>
    <x v="1"/>
    <x v="0"/>
    <x v="3"/>
    <x v="0"/>
    <x v="0"/>
    <n v="0.22929155386993369"/>
    <n v="-0.25435329828790432"/>
  </r>
  <r>
    <n v="474"/>
    <d v="2011-01-21T00:00:00"/>
    <n v="1"/>
    <n v="0"/>
    <x v="0"/>
    <x v="18"/>
    <b v="0"/>
    <n v="5"/>
    <n v="1"/>
    <x v="16"/>
    <n v="0.1212"/>
    <n v="0.3"/>
    <n v="0.25369999999999998"/>
    <n v="1"/>
    <n v="119"/>
    <n v="120"/>
    <x v="1"/>
    <x v="0"/>
    <x v="3"/>
    <x v="0"/>
    <x v="0"/>
    <n v="0.22929155386993369"/>
    <n v="-0.25435329828790432"/>
  </r>
  <r>
    <n v="475"/>
    <d v="2011-01-21T00:00:00"/>
    <n v="1"/>
    <n v="0"/>
    <x v="0"/>
    <x v="19"/>
    <b v="0"/>
    <n v="5"/>
    <n v="1"/>
    <x v="16"/>
    <n v="0.1061"/>
    <n v="0.3"/>
    <n v="0.32840000000000003"/>
    <n v="3"/>
    <n v="93"/>
    <n v="96"/>
    <x v="1"/>
    <x v="0"/>
    <x v="3"/>
    <x v="0"/>
    <x v="0"/>
    <n v="0.22929155386993369"/>
    <n v="-0.25435329828790432"/>
  </r>
  <r>
    <n v="476"/>
    <d v="2011-01-21T00:00:00"/>
    <n v="1"/>
    <n v="0"/>
    <x v="0"/>
    <x v="20"/>
    <b v="0"/>
    <n v="5"/>
    <n v="1"/>
    <x v="18"/>
    <n v="7.5800000000000006E-2"/>
    <n v="0.33"/>
    <n v="0.41789999999999999"/>
    <n v="1"/>
    <n v="52"/>
    <n v="53"/>
    <x v="1"/>
    <x v="0"/>
    <x v="3"/>
    <x v="0"/>
    <x v="0"/>
    <n v="0.22929155386993369"/>
    <n v="-0.25435329828790432"/>
  </r>
  <r>
    <n v="477"/>
    <d v="2011-01-21T00:00:00"/>
    <n v="1"/>
    <n v="0"/>
    <x v="0"/>
    <x v="21"/>
    <b v="0"/>
    <n v="5"/>
    <n v="1"/>
    <x v="19"/>
    <n v="7.5800000000000006E-2"/>
    <n v="0.38"/>
    <n v="0.28360000000000002"/>
    <n v="0"/>
    <n v="41"/>
    <n v="41"/>
    <x v="1"/>
    <x v="0"/>
    <x v="0"/>
    <x v="0"/>
    <x v="0"/>
    <n v="0.22929155386993369"/>
    <n v="-0.25435329828790432"/>
  </r>
  <r>
    <n v="478"/>
    <d v="2011-01-21T00:00:00"/>
    <n v="1"/>
    <n v="0"/>
    <x v="0"/>
    <x v="22"/>
    <b v="0"/>
    <n v="5"/>
    <n v="1"/>
    <x v="20"/>
    <n v="3.0300000000000001E-2"/>
    <n v="0.41"/>
    <n v="0.3881"/>
    <n v="1"/>
    <n v="33"/>
    <n v="34"/>
    <x v="1"/>
    <x v="0"/>
    <x v="0"/>
    <x v="0"/>
    <x v="0"/>
    <n v="0.22929155386993369"/>
    <n v="-0.25435329828790432"/>
  </r>
  <r>
    <n v="479"/>
    <d v="2011-01-21T00:00:00"/>
    <n v="1"/>
    <n v="0"/>
    <x v="0"/>
    <x v="23"/>
    <b v="0"/>
    <n v="5"/>
    <n v="1"/>
    <x v="20"/>
    <n v="4.5499999999999999E-2"/>
    <n v="0.38"/>
    <n v="0.32840000000000003"/>
    <n v="0"/>
    <n v="27"/>
    <n v="27"/>
    <x v="1"/>
    <x v="0"/>
    <x v="0"/>
    <x v="0"/>
    <x v="0"/>
    <n v="0.22929155386993369"/>
    <n v="-0.25435329828790432"/>
  </r>
  <r>
    <n v="480"/>
    <d v="2011-01-22T00:00:00"/>
    <n v="1"/>
    <n v="0"/>
    <x v="0"/>
    <x v="0"/>
    <b v="0"/>
    <n v="6"/>
    <n v="1"/>
    <x v="21"/>
    <n v="3.0300000000000001E-2"/>
    <n v="0.45"/>
    <n v="0.25369999999999998"/>
    <n v="0"/>
    <n v="13"/>
    <n v="13"/>
    <x v="0"/>
    <x v="0"/>
    <x v="0"/>
    <x v="0"/>
    <x v="0"/>
    <n v="0.22929155386993369"/>
    <n v="-0.25435329828790432"/>
  </r>
  <r>
    <n v="481"/>
    <d v="2011-01-22T00:00:00"/>
    <n v="1"/>
    <n v="0"/>
    <x v="0"/>
    <x v="1"/>
    <b v="0"/>
    <n v="6"/>
    <n v="2"/>
    <x v="21"/>
    <n v="0"/>
    <n v="0.41"/>
    <n v="0.3881"/>
    <n v="3"/>
    <n v="9"/>
    <n v="12"/>
    <x v="0"/>
    <x v="1"/>
    <x v="0"/>
    <x v="0"/>
    <x v="0"/>
    <n v="0.22929155386993369"/>
    <n v="-0.25435329828790432"/>
  </r>
  <r>
    <n v="482"/>
    <d v="2011-01-22T00:00:00"/>
    <n v="1"/>
    <n v="0"/>
    <x v="0"/>
    <x v="2"/>
    <b v="0"/>
    <n v="6"/>
    <n v="2"/>
    <x v="21"/>
    <n v="3.0300000000000001E-2"/>
    <n v="0.41"/>
    <n v="0.25369999999999998"/>
    <n v="0"/>
    <n v="11"/>
    <n v="11"/>
    <x v="0"/>
    <x v="1"/>
    <x v="0"/>
    <x v="0"/>
    <x v="0"/>
    <n v="0.22929155386993369"/>
    <n v="-0.25435329828790432"/>
  </r>
  <r>
    <n v="483"/>
    <d v="2011-01-22T00:00:00"/>
    <n v="1"/>
    <n v="0"/>
    <x v="0"/>
    <x v="3"/>
    <b v="0"/>
    <n v="6"/>
    <n v="2"/>
    <x v="21"/>
    <n v="3.0300000000000001E-2"/>
    <n v="0.41"/>
    <n v="0.28360000000000002"/>
    <n v="1"/>
    <n v="6"/>
    <n v="7"/>
    <x v="0"/>
    <x v="1"/>
    <x v="0"/>
    <x v="0"/>
    <x v="0"/>
    <n v="0.22929155386993369"/>
    <n v="-0.25435329828790432"/>
  </r>
  <r>
    <n v="484"/>
    <d v="2011-01-22T00:00:00"/>
    <n v="1"/>
    <n v="0"/>
    <x v="0"/>
    <x v="4"/>
    <b v="0"/>
    <n v="6"/>
    <n v="2"/>
    <x v="22"/>
    <n v="1.52E-2"/>
    <n v="0.48"/>
    <n v="0.29849999999999999"/>
    <n v="0"/>
    <n v="3"/>
    <n v="3"/>
    <x v="0"/>
    <x v="1"/>
    <x v="0"/>
    <x v="0"/>
    <x v="0"/>
    <n v="0.22929155386993369"/>
    <n v="-0.25435329828790432"/>
  </r>
  <r>
    <n v="485"/>
    <d v="2011-01-22T00:00:00"/>
    <n v="1"/>
    <n v="0"/>
    <x v="0"/>
    <x v="6"/>
    <b v="0"/>
    <n v="6"/>
    <n v="2"/>
    <x v="22"/>
    <n v="3.0300000000000001E-2"/>
    <n v="0.44"/>
    <n v="0.22389999999999999"/>
    <n v="0"/>
    <n v="2"/>
    <n v="2"/>
    <x v="0"/>
    <x v="1"/>
    <x v="1"/>
    <x v="0"/>
    <x v="0"/>
    <n v="0.22929155386993369"/>
    <n v="-0.25435329828790432"/>
  </r>
  <r>
    <n v="486"/>
    <d v="2011-01-22T00:00:00"/>
    <n v="1"/>
    <n v="0"/>
    <x v="0"/>
    <x v="7"/>
    <b v="0"/>
    <n v="6"/>
    <n v="1"/>
    <x v="22"/>
    <n v="1.52E-2"/>
    <n v="0.44"/>
    <n v="0.28360000000000002"/>
    <n v="0"/>
    <n v="8"/>
    <n v="8"/>
    <x v="0"/>
    <x v="0"/>
    <x v="1"/>
    <x v="0"/>
    <x v="0"/>
    <n v="0.22929155386993369"/>
    <n v="-0.25435329828790432"/>
  </r>
  <r>
    <n v="487"/>
    <d v="2011-01-22T00:00:00"/>
    <n v="1"/>
    <n v="0"/>
    <x v="0"/>
    <x v="8"/>
    <b v="0"/>
    <n v="6"/>
    <n v="1"/>
    <x v="22"/>
    <n v="0"/>
    <n v="0.44"/>
    <n v="0.32840000000000003"/>
    <n v="1"/>
    <n v="26"/>
    <n v="27"/>
    <x v="0"/>
    <x v="0"/>
    <x v="1"/>
    <x v="0"/>
    <x v="0"/>
    <n v="0.22929155386993369"/>
    <n v="-0.25435329828790432"/>
  </r>
  <r>
    <n v="488"/>
    <d v="2011-01-22T00:00:00"/>
    <n v="1"/>
    <n v="0"/>
    <x v="0"/>
    <x v="9"/>
    <b v="0"/>
    <n v="6"/>
    <n v="1"/>
    <x v="21"/>
    <n v="3.0300000000000001E-2"/>
    <n v="0.41"/>
    <n v="0.25369999999999998"/>
    <n v="3"/>
    <n v="37"/>
    <n v="40"/>
    <x v="0"/>
    <x v="0"/>
    <x v="1"/>
    <x v="0"/>
    <x v="0"/>
    <n v="0.22929155386993369"/>
    <n v="-0.25435329828790432"/>
  </r>
  <r>
    <n v="489"/>
    <d v="2011-01-22T00:00:00"/>
    <n v="1"/>
    <n v="0"/>
    <x v="0"/>
    <x v="10"/>
    <b v="0"/>
    <n v="6"/>
    <n v="2"/>
    <x v="21"/>
    <n v="6.0600000000000001E-2"/>
    <n v="0.41"/>
    <n v="0.16420000000000001"/>
    <n v="3"/>
    <n v="50"/>
    <n v="53"/>
    <x v="0"/>
    <x v="1"/>
    <x v="1"/>
    <x v="0"/>
    <x v="0"/>
    <n v="0.22929155386993369"/>
    <n v="-0.25435329828790432"/>
  </r>
  <r>
    <n v="490"/>
    <d v="2011-01-22T00:00:00"/>
    <n v="1"/>
    <n v="0"/>
    <x v="0"/>
    <x v="11"/>
    <b v="0"/>
    <n v="6"/>
    <n v="2"/>
    <x v="20"/>
    <n v="7.5800000000000006E-2"/>
    <n v="0.38"/>
    <n v="0.1343"/>
    <n v="4"/>
    <n v="59"/>
    <n v="63"/>
    <x v="0"/>
    <x v="1"/>
    <x v="1"/>
    <x v="0"/>
    <x v="0"/>
    <n v="0.22929155386993369"/>
    <n v="-0.25435329828790432"/>
  </r>
  <r>
    <n v="491"/>
    <d v="2011-01-22T00:00:00"/>
    <n v="1"/>
    <n v="0"/>
    <x v="0"/>
    <x v="12"/>
    <b v="0"/>
    <n v="6"/>
    <n v="2"/>
    <x v="20"/>
    <n v="0.1061"/>
    <n v="0.38"/>
    <n v="0.1045"/>
    <n v="10"/>
    <n v="60"/>
    <n v="70"/>
    <x v="0"/>
    <x v="1"/>
    <x v="2"/>
    <x v="0"/>
    <x v="0"/>
    <n v="0.22929155386993369"/>
    <n v="-0.25435329828790432"/>
  </r>
  <r>
    <n v="492"/>
    <d v="2011-01-22T00:00:00"/>
    <n v="1"/>
    <n v="0"/>
    <x v="0"/>
    <x v="13"/>
    <b v="0"/>
    <n v="6"/>
    <n v="1"/>
    <x v="19"/>
    <n v="0.16669999999999999"/>
    <n v="0.35"/>
    <n v="0"/>
    <n v="12"/>
    <n v="72"/>
    <n v="84"/>
    <x v="0"/>
    <x v="0"/>
    <x v="2"/>
    <x v="0"/>
    <x v="0"/>
    <n v="0.22929155386993369"/>
    <n v="-0.25435329828790432"/>
  </r>
  <r>
    <n v="493"/>
    <d v="2011-01-22T00:00:00"/>
    <n v="1"/>
    <n v="0"/>
    <x v="0"/>
    <x v="14"/>
    <b v="0"/>
    <n v="6"/>
    <n v="1"/>
    <x v="18"/>
    <n v="0.13639999999999999"/>
    <n v="0.33"/>
    <n v="0.1045"/>
    <n v="11"/>
    <n v="64"/>
    <n v="75"/>
    <x v="0"/>
    <x v="0"/>
    <x v="2"/>
    <x v="0"/>
    <x v="0"/>
    <n v="0.22929155386993369"/>
    <n v="-0.25435329828790432"/>
  </r>
  <r>
    <n v="494"/>
    <d v="2011-01-22T00:00:00"/>
    <n v="1"/>
    <n v="0"/>
    <x v="0"/>
    <x v="15"/>
    <b v="0"/>
    <n v="6"/>
    <n v="1"/>
    <x v="16"/>
    <n v="0.1515"/>
    <n v="0.28000000000000003"/>
    <n v="0"/>
    <n v="10"/>
    <n v="93"/>
    <n v="103"/>
    <x v="0"/>
    <x v="0"/>
    <x v="2"/>
    <x v="0"/>
    <x v="0"/>
    <n v="0.22929155386993369"/>
    <n v="-0.25435329828790432"/>
  </r>
  <r>
    <n v="495"/>
    <d v="2011-01-22T00:00:00"/>
    <n v="1"/>
    <n v="0"/>
    <x v="0"/>
    <x v="16"/>
    <b v="0"/>
    <n v="6"/>
    <n v="1"/>
    <x v="16"/>
    <n v="0.13639999999999999"/>
    <n v="0.28000000000000003"/>
    <n v="0.19400000000000001"/>
    <n v="11"/>
    <n v="72"/>
    <n v="83"/>
    <x v="0"/>
    <x v="0"/>
    <x v="2"/>
    <x v="0"/>
    <x v="0"/>
    <n v="0.22929155386993369"/>
    <n v="-0.25435329828790432"/>
  </r>
  <r>
    <n v="496"/>
    <d v="2011-01-22T00:00:00"/>
    <n v="1"/>
    <n v="0"/>
    <x v="0"/>
    <x v="17"/>
    <b v="0"/>
    <n v="6"/>
    <n v="1"/>
    <x v="16"/>
    <n v="0.19700000000000001"/>
    <n v="0.28000000000000003"/>
    <n v="0"/>
    <n v="8"/>
    <n v="59"/>
    <n v="67"/>
    <x v="0"/>
    <x v="0"/>
    <x v="3"/>
    <x v="0"/>
    <x v="0"/>
    <n v="0.22929155386993369"/>
    <n v="-0.25435329828790432"/>
  </r>
  <r>
    <n v="497"/>
    <d v="2011-01-22T00:00:00"/>
    <n v="1"/>
    <n v="0"/>
    <x v="0"/>
    <x v="18"/>
    <b v="0"/>
    <n v="6"/>
    <n v="1"/>
    <x v="19"/>
    <n v="9.0899999999999995E-2"/>
    <n v="0.35"/>
    <n v="0.19400000000000001"/>
    <n v="0"/>
    <n v="54"/>
    <n v="54"/>
    <x v="0"/>
    <x v="0"/>
    <x v="3"/>
    <x v="0"/>
    <x v="0"/>
    <n v="0.22929155386993369"/>
    <n v="-0.25435329828790432"/>
  </r>
  <r>
    <n v="498"/>
    <d v="2011-01-22T00:00:00"/>
    <n v="1"/>
    <n v="0"/>
    <x v="0"/>
    <x v="19"/>
    <b v="0"/>
    <n v="6"/>
    <n v="1"/>
    <x v="19"/>
    <n v="0.1061"/>
    <n v="0.35"/>
    <n v="0.1343"/>
    <n v="6"/>
    <n v="53"/>
    <n v="59"/>
    <x v="0"/>
    <x v="0"/>
    <x v="3"/>
    <x v="0"/>
    <x v="0"/>
    <n v="0.22929155386993369"/>
    <n v="-0.25435329828790432"/>
  </r>
  <r>
    <n v="499"/>
    <d v="2011-01-22T00:00:00"/>
    <n v="1"/>
    <n v="0"/>
    <x v="0"/>
    <x v="20"/>
    <b v="0"/>
    <n v="6"/>
    <n v="1"/>
    <x v="20"/>
    <n v="7.5800000000000006E-2"/>
    <n v="0.45"/>
    <n v="0.16420000000000001"/>
    <n v="1"/>
    <n v="44"/>
    <n v="45"/>
    <x v="0"/>
    <x v="0"/>
    <x v="3"/>
    <x v="0"/>
    <x v="0"/>
    <n v="0.22929155386993369"/>
    <n v="-0.25435329828790432"/>
  </r>
  <r>
    <n v="500"/>
    <d v="2011-01-22T00:00:00"/>
    <n v="1"/>
    <n v="0"/>
    <x v="0"/>
    <x v="21"/>
    <b v="0"/>
    <n v="6"/>
    <n v="1"/>
    <x v="20"/>
    <n v="0.1061"/>
    <n v="0.41"/>
    <n v="8.9599999999999999E-2"/>
    <n v="0"/>
    <n v="39"/>
    <n v="39"/>
    <x v="0"/>
    <x v="0"/>
    <x v="0"/>
    <x v="0"/>
    <x v="0"/>
    <n v="0.22929155386993369"/>
    <n v="-0.25435329828790432"/>
  </r>
  <r>
    <n v="501"/>
    <d v="2011-01-22T00:00:00"/>
    <n v="1"/>
    <n v="0"/>
    <x v="0"/>
    <x v="22"/>
    <b v="0"/>
    <n v="6"/>
    <n v="1"/>
    <x v="20"/>
    <n v="0.1515"/>
    <n v="0.49"/>
    <n v="0"/>
    <n v="7"/>
    <n v="23"/>
    <n v="30"/>
    <x v="0"/>
    <x v="0"/>
    <x v="0"/>
    <x v="0"/>
    <x v="0"/>
    <n v="0.22929155386993369"/>
    <n v="-0.25435329828790432"/>
  </r>
  <r>
    <n v="502"/>
    <d v="2011-01-22T00:00:00"/>
    <n v="1"/>
    <n v="0"/>
    <x v="0"/>
    <x v="23"/>
    <b v="0"/>
    <n v="6"/>
    <n v="1"/>
    <x v="21"/>
    <n v="7.5800000000000006E-2"/>
    <n v="0.56999999999999995"/>
    <n v="0.1045"/>
    <n v="2"/>
    <n v="31"/>
    <n v="33"/>
    <x v="0"/>
    <x v="0"/>
    <x v="0"/>
    <x v="0"/>
    <x v="0"/>
    <n v="0.22929155386993369"/>
    <n v="-0.25435329828790432"/>
  </r>
  <r>
    <n v="503"/>
    <d v="2011-01-23T00:00:00"/>
    <n v="1"/>
    <n v="0"/>
    <x v="0"/>
    <x v="0"/>
    <b v="0"/>
    <n v="0"/>
    <n v="1"/>
    <x v="21"/>
    <n v="7.5800000000000006E-2"/>
    <n v="0.56999999999999995"/>
    <n v="0.1045"/>
    <n v="2"/>
    <n v="20"/>
    <n v="22"/>
    <x v="0"/>
    <x v="0"/>
    <x v="0"/>
    <x v="0"/>
    <x v="0"/>
    <n v="0.22929155386993369"/>
    <n v="-0.25435329828790432"/>
  </r>
  <r>
    <n v="504"/>
    <d v="2011-01-23T00:00:00"/>
    <n v="1"/>
    <n v="0"/>
    <x v="0"/>
    <x v="1"/>
    <b v="0"/>
    <n v="0"/>
    <n v="1"/>
    <x v="21"/>
    <n v="7.5800000000000006E-2"/>
    <n v="0.56999999999999995"/>
    <n v="0.1045"/>
    <n v="1"/>
    <n v="12"/>
    <n v="13"/>
    <x v="0"/>
    <x v="0"/>
    <x v="0"/>
    <x v="0"/>
    <x v="0"/>
    <n v="0.22929155386993369"/>
    <n v="-0.25435329828790432"/>
  </r>
  <r>
    <n v="505"/>
    <d v="2011-01-23T00:00:00"/>
    <n v="1"/>
    <n v="0"/>
    <x v="0"/>
    <x v="2"/>
    <b v="0"/>
    <n v="0"/>
    <n v="1"/>
    <x v="22"/>
    <n v="6.0600000000000001E-2"/>
    <n v="0.62"/>
    <n v="0.1343"/>
    <n v="3"/>
    <n v="15"/>
    <n v="18"/>
    <x v="0"/>
    <x v="0"/>
    <x v="0"/>
    <x v="0"/>
    <x v="0"/>
    <n v="0.22929155386993369"/>
    <n v="-0.25435329828790432"/>
  </r>
  <r>
    <n v="506"/>
    <d v="2011-01-23T00:00:00"/>
    <n v="1"/>
    <n v="0"/>
    <x v="0"/>
    <x v="3"/>
    <b v="0"/>
    <n v="0"/>
    <n v="1"/>
    <x v="22"/>
    <n v="6.0600000000000001E-2"/>
    <n v="0.62"/>
    <n v="0.1343"/>
    <n v="1"/>
    <n v="4"/>
    <n v="5"/>
    <x v="0"/>
    <x v="0"/>
    <x v="0"/>
    <x v="0"/>
    <x v="0"/>
    <n v="0.22929155386993369"/>
    <n v="-0.25435329828790432"/>
  </r>
  <r>
    <n v="507"/>
    <d v="2011-01-23T00:00:00"/>
    <n v="1"/>
    <n v="0"/>
    <x v="0"/>
    <x v="5"/>
    <b v="0"/>
    <n v="0"/>
    <n v="2"/>
    <x v="21"/>
    <n v="7.5800000000000006E-2"/>
    <n v="0.56999999999999995"/>
    <n v="0.1045"/>
    <n v="0"/>
    <n v="3"/>
    <n v="3"/>
    <x v="0"/>
    <x v="1"/>
    <x v="0"/>
    <x v="0"/>
    <x v="0"/>
    <n v="0.22929155386993369"/>
    <n v="-0.25435329828790432"/>
  </r>
  <r>
    <n v="508"/>
    <d v="2011-01-23T00:00:00"/>
    <n v="1"/>
    <n v="0"/>
    <x v="0"/>
    <x v="6"/>
    <b v="0"/>
    <n v="0"/>
    <n v="2"/>
    <x v="21"/>
    <n v="7.5800000000000006E-2"/>
    <n v="0.56999999999999995"/>
    <n v="0.1045"/>
    <n v="0"/>
    <n v="1"/>
    <n v="1"/>
    <x v="0"/>
    <x v="1"/>
    <x v="1"/>
    <x v="0"/>
    <x v="0"/>
    <n v="0.22929155386993369"/>
    <n v="-0.25435329828790432"/>
  </r>
  <r>
    <n v="509"/>
    <d v="2011-01-23T00:00:00"/>
    <n v="1"/>
    <n v="0"/>
    <x v="0"/>
    <x v="7"/>
    <b v="0"/>
    <n v="0"/>
    <n v="1"/>
    <x v="19"/>
    <n v="0.1061"/>
    <n v="0.57999999999999996"/>
    <n v="0.16420000000000001"/>
    <n v="1"/>
    <n v="1"/>
    <n v="2"/>
    <x v="0"/>
    <x v="0"/>
    <x v="1"/>
    <x v="0"/>
    <x v="0"/>
    <n v="0.22929155386993369"/>
    <n v="-0.25435329828790432"/>
  </r>
  <r>
    <n v="510"/>
    <d v="2011-01-23T00:00:00"/>
    <n v="1"/>
    <n v="0"/>
    <x v="0"/>
    <x v="8"/>
    <b v="0"/>
    <n v="0"/>
    <n v="1"/>
    <x v="20"/>
    <n v="7.5800000000000006E-2"/>
    <n v="0.62"/>
    <n v="0.16420000000000001"/>
    <n v="2"/>
    <n v="17"/>
    <n v="19"/>
    <x v="0"/>
    <x v="0"/>
    <x v="1"/>
    <x v="0"/>
    <x v="0"/>
    <n v="0.22929155386993369"/>
    <n v="-0.25435329828790432"/>
  </r>
  <r>
    <n v="511"/>
    <d v="2011-01-23T00:00:00"/>
    <n v="1"/>
    <n v="0"/>
    <x v="0"/>
    <x v="9"/>
    <b v="0"/>
    <n v="0"/>
    <n v="1"/>
    <x v="18"/>
    <n v="7.5800000000000006E-2"/>
    <n v="0.54"/>
    <n v="0.35820000000000002"/>
    <n v="3"/>
    <n v="25"/>
    <n v="28"/>
    <x v="0"/>
    <x v="0"/>
    <x v="1"/>
    <x v="0"/>
    <x v="0"/>
    <n v="0.22929155386993369"/>
    <n v="-0.25435329828790432"/>
  </r>
  <r>
    <n v="512"/>
    <d v="2011-01-23T00:00:00"/>
    <n v="1"/>
    <n v="0"/>
    <x v="0"/>
    <x v="10"/>
    <b v="0"/>
    <n v="0"/>
    <n v="1"/>
    <x v="14"/>
    <n v="0.1061"/>
    <n v="0.46"/>
    <n v="0.3881"/>
    <n v="7"/>
    <n v="51"/>
    <n v="58"/>
    <x v="0"/>
    <x v="0"/>
    <x v="1"/>
    <x v="0"/>
    <x v="0"/>
    <n v="0.22929155386993369"/>
    <n v="-0.25435329828790432"/>
  </r>
  <r>
    <n v="513"/>
    <d v="2011-01-23T00:00:00"/>
    <n v="1"/>
    <n v="0"/>
    <x v="0"/>
    <x v="11"/>
    <b v="0"/>
    <n v="0"/>
    <n v="1"/>
    <x v="14"/>
    <n v="0.13639999999999999"/>
    <n v="0.43"/>
    <n v="0.22389999999999999"/>
    <n v="22"/>
    <n v="77"/>
    <n v="99"/>
    <x v="0"/>
    <x v="0"/>
    <x v="1"/>
    <x v="0"/>
    <x v="0"/>
    <n v="0.22929155386993369"/>
    <n v="-0.25435329828790432"/>
  </r>
  <r>
    <n v="514"/>
    <d v="2011-01-23T00:00:00"/>
    <n v="1"/>
    <n v="0"/>
    <x v="0"/>
    <x v="12"/>
    <b v="0"/>
    <n v="0"/>
    <n v="1"/>
    <x v="13"/>
    <n v="0.1212"/>
    <n v="0.37"/>
    <n v="0.4627"/>
    <n v="24"/>
    <n v="92"/>
    <n v="116"/>
    <x v="0"/>
    <x v="0"/>
    <x v="2"/>
    <x v="0"/>
    <x v="0"/>
    <n v="0.22929155386993369"/>
    <n v="-0.25435329828790432"/>
  </r>
  <r>
    <n v="515"/>
    <d v="2011-01-23T00:00:00"/>
    <n v="1"/>
    <n v="0"/>
    <x v="0"/>
    <x v="13"/>
    <b v="0"/>
    <n v="0"/>
    <n v="1"/>
    <x v="14"/>
    <n v="0.1061"/>
    <n v="0.33"/>
    <n v="0.3881"/>
    <n v="12"/>
    <n v="75"/>
    <n v="87"/>
    <x v="0"/>
    <x v="0"/>
    <x v="2"/>
    <x v="0"/>
    <x v="0"/>
    <n v="0.22929155386993369"/>
    <n v="-0.25435329828790432"/>
  </r>
  <r>
    <n v="516"/>
    <d v="2011-01-23T00:00:00"/>
    <n v="1"/>
    <n v="0"/>
    <x v="0"/>
    <x v="14"/>
    <b v="0"/>
    <n v="0"/>
    <n v="1"/>
    <x v="13"/>
    <n v="0.13639999999999999"/>
    <n v="0.28000000000000003"/>
    <n v="0.35820000000000002"/>
    <n v="17"/>
    <n v="93"/>
    <n v="110"/>
    <x v="0"/>
    <x v="0"/>
    <x v="2"/>
    <x v="0"/>
    <x v="0"/>
    <n v="0.22929155386993369"/>
    <n v="-0.25435329828790432"/>
  </r>
  <r>
    <n v="517"/>
    <d v="2011-01-23T00:00:00"/>
    <n v="1"/>
    <n v="0"/>
    <x v="0"/>
    <x v="15"/>
    <b v="0"/>
    <n v="0"/>
    <n v="1"/>
    <x v="13"/>
    <n v="0.13639999999999999"/>
    <n v="0.28000000000000003"/>
    <n v="0.35820000000000002"/>
    <n v="13"/>
    <n v="64"/>
    <n v="77"/>
    <x v="0"/>
    <x v="0"/>
    <x v="2"/>
    <x v="0"/>
    <x v="0"/>
    <n v="0.22929155386993369"/>
    <n v="-0.25435329828790432"/>
  </r>
  <r>
    <n v="518"/>
    <d v="2011-01-23T00:00:00"/>
    <n v="1"/>
    <n v="0"/>
    <x v="0"/>
    <x v="16"/>
    <b v="0"/>
    <n v="0"/>
    <n v="1"/>
    <x v="13"/>
    <n v="0.13639999999999999"/>
    <n v="0.26"/>
    <n v="0.32840000000000003"/>
    <n v="9"/>
    <n v="56"/>
    <n v="65"/>
    <x v="0"/>
    <x v="0"/>
    <x v="2"/>
    <x v="0"/>
    <x v="0"/>
    <n v="0.22929155386993369"/>
    <n v="-0.25435329828790432"/>
  </r>
  <r>
    <n v="519"/>
    <d v="2011-01-23T00:00:00"/>
    <n v="1"/>
    <n v="0"/>
    <x v="0"/>
    <x v="17"/>
    <b v="0"/>
    <n v="0"/>
    <n v="1"/>
    <x v="14"/>
    <n v="0.1061"/>
    <n v="0.26"/>
    <n v="0.3881"/>
    <n v="5"/>
    <n v="50"/>
    <n v="55"/>
    <x v="0"/>
    <x v="0"/>
    <x v="3"/>
    <x v="0"/>
    <x v="0"/>
    <n v="0.22929155386993369"/>
    <n v="-0.25435329828790432"/>
  </r>
  <r>
    <n v="520"/>
    <d v="2011-01-23T00:00:00"/>
    <n v="1"/>
    <n v="0"/>
    <x v="0"/>
    <x v="18"/>
    <b v="0"/>
    <n v="0"/>
    <n v="1"/>
    <x v="16"/>
    <n v="0.1212"/>
    <n v="0.3"/>
    <n v="0.25369999999999998"/>
    <n v="5"/>
    <n v="44"/>
    <n v="49"/>
    <x v="0"/>
    <x v="0"/>
    <x v="3"/>
    <x v="0"/>
    <x v="0"/>
    <n v="0.22929155386993369"/>
    <n v="-0.25435329828790432"/>
  </r>
  <r>
    <n v="521"/>
    <d v="2011-01-23T00:00:00"/>
    <n v="1"/>
    <n v="0"/>
    <x v="0"/>
    <x v="19"/>
    <b v="0"/>
    <n v="0"/>
    <n v="1"/>
    <x v="16"/>
    <n v="0.1212"/>
    <n v="0.3"/>
    <n v="0.28360000000000002"/>
    <n v="5"/>
    <n v="45"/>
    <n v="50"/>
    <x v="0"/>
    <x v="0"/>
    <x v="3"/>
    <x v="0"/>
    <x v="0"/>
    <n v="0.22929155386993369"/>
    <n v="-0.25435329828790432"/>
  </r>
  <r>
    <n v="522"/>
    <d v="2011-01-23T00:00:00"/>
    <n v="1"/>
    <n v="0"/>
    <x v="0"/>
    <x v="20"/>
    <b v="0"/>
    <n v="0"/>
    <n v="1"/>
    <x v="18"/>
    <n v="0.1061"/>
    <n v="0.36"/>
    <n v="0.25369999999999998"/>
    <n v="4"/>
    <n v="31"/>
    <n v="35"/>
    <x v="0"/>
    <x v="0"/>
    <x v="3"/>
    <x v="0"/>
    <x v="0"/>
    <n v="0.22929155386993369"/>
    <n v="-0.25435329828790432"/>
  </r>
  <r>
    <n v="523"/>
    <d v="2011-01-23T00:00:00"/>
    <n v="1"/>
    <n v="0"/>
    <x v="0"/>
    <x v="21"/>
    <b v="0"/>
    <n v="0"/>
    <n v="1"/>
    <x v="18"/>
    <n v="0.1061"/>
    <n v="0.36"/>
    <n v="0.19400000000000001"/>
    <n v="5"/>
    <n v="20"/>
    <n v="25"/>
    <x v="0"/>
    <x v="0"/>
    <x v="0"/>
    <x v="0"/>
    <x v="0"/>
    <n v="0.22929155386993369"/>
    <n v="-0.25435329828790432"/>
  </r>
  <r>
    <n v="524"/>
    <d v="2011-01-23T00:00:00"/>
    <n v="1"/>
    <n v="0"/>
    <x v="0"/>
    <x v="22"/>
    <b v="0"/>
    <n v="0"/>
    <n v="1"/>
    <x v="19"/>
    <n v="9.0899999999999995E-2"/>
    <n v="0.38"/>
    <n v="0.19400000000000001"/>
    <n v="5"/>
    <n v="23"/>
    <n v="28"/>
    <x v="0"/>
    <x v="0"/>
    <x v="0"/>
    <x v="0"/>
    <x v="0"/>
    <n v="0.22929155386993369"/>
    <n v="-0.25435329828790432"/>
  </r>
  <r>
    <n v="525"/>
    <d v="2011-01-23T00:00:00"/>
    <n v="1"/>
    <n v="0"/>
    <x v="0"/>
    <x v="23"/>
    <b v="0"/>
    <n v="0"/>
    <n v="1"/>
    <x v="20"/>
    <n v="6.0600000000000001E-2"/>
    <n v="0.41"/>
    <n v="0.22389999999999999"/>
    <n v="4"/>
    <n v="17"/>
    <n v="21"/>
    <x v="0"/>
    <x v="0"/>
    <x v="0"/>
    <x v="0"/>
    <x v="0"/>
    <n v="0.22929155386993369"/>
    <n v="-0.25435329828790432"/>
  </r>
  <r>
    <n v="526"/>
    <d v="2011-01-24T00:00:00"/>
    <n v="1"/>
    <n v="0"/>
    <x v="0"/>
    <x v="0"/>
    <b v="0"/>
    <n v="1"/>
    <n v="1"/>
    <x v="20"/>
    <n v="6.0600000000000001E-2"/>
    <n v="0.41"/>
    <n v="0.19400000000000001"/>
    <n v="0"/>
    <n v="7"/>
    <n v="7"/>
    <x v="1"/>
    <x v="0"/>
    <x v="0"/>
    <x v="0"/>
    <x v="0"/>
    <n v="0.22929155386993369"/>
    <n v="-0.25435329828790432"/>
  </r>
  <r>
    <n v="527"/>
    <d v="2011-01-24T00:00:00"/>
    <n v="1"/>
    <n v="0"/>
    <x v="0"/>
    <x v="1"/>
    <b v="0"/>
    <n v="1"/>
    <n v="1"/>
    <x v="21"/>
    <n v="4.5499999999999999E-2"/>
    <n v="0.45"/>
    <n v="0.19400000000000001"/>
    <n v="0"/>
    <n v="1"/>
    <n v="1"/>
    <x v="1"/>
    <x v="0"/>
    <x v="0"/>
    <x v="0"/>
    <x v="0"/>
    <n v="0.22929155386993369"/>
    <n v="-0.25435329828790432"/>
  </r>
  <r>
    <n v="528"/>
    <d v="2011-01-24T00:00:00"/>
    <n v="1"/>
    <n v="0"/>
    <x v="0"/>
    <x v="3"/>
    <b v="0"/>
    <n v="1"/>
    <n v="1"/>
    <x v="21"/>
    <n v="3.0300000000000001E-2"/>
    <n v="0.45"/>
    <n v="0.25369999999999998"/>
    <n v="0"/>
    <n v="1"/>
    <n v="1"/>
    <x v="1"/>
    <x v="0"/>
    <x v="0"/>
    <x v="0"/>
    <x v="0"/>
    <n v="0.22929155386993369"/>
    <n v="-0.25435329828790432"/>
  </r>
  <r>
    <n v="529"/>
    <d v="2011-01-24T00:00:00"/>
    <n v="1"/>
    <n v="0"/>
    <x v="0"/>
    <x v="4"/>
    <b v="0"/>
    <n v="1"/>
    <n v="1"/>
    <x v="22"/>
    <n v="6.0600000000000001E-2"/>
    <n v="0.48"/>
    <n v="0.1343"/>
    <n v="0"/>
    <n v="1"/>
    <n v="1"/>
    <x v="1"/>
    <x v="0"/>
    <x v="0"/>
    <x v="0"/>
    <x v="0"/>
    <n v="0.22929155386993369"/>
    <n v="-0.25435329828790432"/>
  </r>
  <r>
    <n v="530"/>
    <d v="2011-01-24T00:00:00"/>
    <n v="1"/>
    <n v="0"/>
    <x v="0"/>
    <x v="5"/>
    <b v="0"/>
    <n v="1"/>
    <n v="1"/>
    <x v="22"/>
    <n v="6.0600000000000001E-2"/>
    <n v="0.48"/>
    <n v="0.1343"/>
    <n v="0"/>
    <n v="5"/>
    <n v="5"/>
    <x v="1"/>
    <x v="0"/>
    <x v="0"/>
    <x v="0"/>
    <x v="0"/>
    <n v="0.22929155386993369"/>
    <n v="-0.25435329828790432"/>
  </r>
  <r>
    <n v="531"/>
    <d v="2011-01-24T00:00:00"/>
    <n v="1"/>
    <n v="0"/>
    <x v="0"/>
    <x v="6"/>
    <b v="0"/>
    <n v="1"/>
    <n v="1"/>
    <x v="22"/>
    <n v="7.5800000000000006E-2"/>
    <n v="0.48"/>
    <n v="8.9599999999999999E-2"/>
    <n v="0"/>
    <n v="15"/>
    <n v="15"/>
    <x v="1"/>
    <x v="0"/>
    <x v="1"/>
    <x v="0"/>
    <x v="0"/>
    <n v="0.22929155386993369"/>
    <n v="-0.25435329828790432"/>
  </r>
  <r>
    <n v="532"/>
    <d v="2011-01-24T00:00:00"/>
    <n v="1"/>
    <n v="0"/>
    <x v="0"/>
    <x v="7"/>
    <b v="0"/>
    <n v="1"/>
    <n v="1"/>
    <x v="22"/>
    <n v="0.1212"/>
    <n v="0.48"/>
    <n v="0"/>
    <n v="5"/>
    <n v="79"/>
    <n v="84"/>
    <x v="1"/>
    <x v="0"/>
    <x v="1"/>
    <x v="0"/>
    <x v="0"/>
    <n v="0.22929155386993369"/>
    <n v="-0.25435329828790432"/>
  </r>
  <r>
    <n v="533"/>
    <d v="2011-01-24T00:00:00"/>
    <n v="1"/>
    <n v="0"/>
    <x v="0"/>
    <x v="8"/>
    <b v="0"/>
    <n v="1"/>
    <n v="1"/>
    <x v="21"/>
    <n v="0.13639999999999999"/>
    <n v="0.49"/>
    <n v="0"/>
    <n v="6"/>
    <n v="171"/>
    <n v="177"/>
    <x v="1"/>
    <x v="0"/>
    <x v="1"/>
    <x v="0"/>
    <x v="0"/>
    <n v="0.22929155386993369"/>
    <n v="-0.25435329828790432"/>
  </r>
  <r>
    <n v="534"/>
    <d v="2011-01-24T00:00:00"/>
    <n v="1"/>
    <n v="0"/>
    <x v="0"/>
    <x v="9"/>
    <b v="0"/>
    <n v="1"/>
    <n v="1"/>
    <x v="20"/>
    <n v="0.1515"/>
    <n v="0.41"/>
    <n v="0"/>
    <n v="4"/>
    <n v="98"/>
    <n v="102"/>
    <x v="1"/>
    <x v="0"/>
    <x v="1"/>
    <x v="0"/>
    <x v="0"/>
    <n v="0.22929155386993369"/>
    <n v="-0.25435329828790432"/>
  </r>
  <r>
    <n v="535"/>
    <d v="2011-01-24T00:00:00"/>
    <n v="1"/>
    <n v="0"/>
    <x v="0"/>
    <x v="10"/>
    <b v="0"/>
    <n v="1"/>
    <n v="1"/>
    <x v="18"/>
    <n v="0.13639999999999999"/>
    <n v="0.42"/>
    <n v="0"/>
    <n v="6"/>
    <n v="34"/>
    <n v="40"/>
    <x v="1"/>
    <x v="0"/>
    <x v="1"/>
    <x v="0"/>
    <x v="0"/>
    <n v="0.22929155386993369"/>
    <n v="-0.25435329828790432"/>
  </r>
  <r>
    <n v="536"/>
    <d v="2011-01-24T00:00:00"/>
    <n v="1"/>
    <n v="0"/>
    <x v="0"/>
    <x v="11"/>
    <b v="0"/>
    <n v="1"/>
    <n v="1"/>
    <x v="18"/>
    <n v="0.1212"/>
    <n v="0.46"/>
    <n v="0.1343"/>
    <n v="3"/>
    <n v="43"/>
    <n v="46"/>
    <x v="1"/>
    <x v="0"/>
    <x v="1"/>
    <x v="0"/>
    <x v="0"/>
    <n v="0.22929155386993369"/>
    <n v="-0.25435329828790432"/>
  </r>
  <r>
    <n v="537"/>
    <d v="2011-01-24T00:00:00"/>
    <n v="1"/>
    <n v="0"/>
    <x v="0"/>
    <x v="12"/>
    <b v="0"/>
    <n v="1"/>
    <n v="2"/>
    <x v="16"/>
    <n v="0.13639999999999999"/>
    <n v="0.42"/>
    <n v="0.19400000000000001"/>
    <n v="11"/>
    <n v="52"/>
    <n v="63"/>
    <x v="1"/>
    <x v="1"/>
    <x v="2"/>
    <x v="0"/>
    <x v="0"/>
    <n v="0.22929155386993369"/>
    <n v="-0.25435329828790432"/>
  </r>
  <r>
    <n v="538"/>
    <d v="2011-01-24T00:00:00"/>
    <n v="1"/>
    <n v="0"/>
    <x v="0"/>
    <x v="13"/>
    <b v="0"/>
    <n v="1"/>
    <n v="2"/>
    <x v="14"/>
    <n v="0.13639999999999999"/>
    <n v="0.43"/>
    <n v="0.22389999999999999"/>
    <n v="6"/>
    <n v="54"/>
    <n v="60"/>
    <x v="1"/>
    <x v="1"/>
    <x v="2"/>
    <x v="0"/>
    <x v="0"/>
    <n v="0.22929155386993369"/>
    <n v="-0.25435329828790432"/>
  </r>
  <r>
    <n v="539"/>
    <d v="2011-01-24T00:00:00"/>
    <n v="1"/>
    <n v="0"/>
    <x v="0"/>
    <x v="14"/>
    <b v="0"/>
    <n v="1"/>
    <n v="2"/>
    <x v="14"/>
    <n v="0.13639999999999999"/>
    <n v="0.46"/>
    <n v="0.22389999999999999"/>
    <n v="2"/>
    <n v="43"/>
    <n v="45"/>
    <x v="1"/>
    <x v="1"/>
    <x v="2"/>
    <x v="0"/>
    <x v="0"/>
    <n v="0.22929155386993369"/>
    <n v="-0.25435329828790432"/>
  </r>
  <r>
    <n v="540"/>
    <d v="2011-01-24T00:00:00"/>
    <n v="1"/>
    <n v="0"/>
    <x v="0"/>
    <x v="15"/>
    <b v="0"/>
    <n v="1"/>
    <n v="1"/>
    <x v="13"/>
    <n v="0.16669999999999999"/>
    <n v="0.4"/>
    <n v="0.16420000000000001"/>
    <n v="7"/>
    <n v="50"/>
    <n v="57"/>
    <x v="1"/>
    <x v="0"/>
    <x v="2"/>
    <x v="0"/>
    <x v="0"/>
    <n v="0.22929155386993369"/>
    <n v="-0.25435329828790432"/>
  </r>
  <r>
    <n v="541"/>
    <d v="2011-01-24T00:00:00"/>
    <n v="1"/>
    <n v="0"/>
    <x v="0"/>
    <x v="16"/>
    <b v="0"/>
    <n v="1"/>
    <n v="1"/>
    <x v="13"/>
    <n v="0.1515"/>
    <n v="0.47"/>
    <n v="0.25369999999999998"/>
    <n v="4"/>
    <n v="66"/>
    <n v="70"/>
    <x v="1"/>
    <x v="0"/>
    <x v="2"/>
    <x v="0"/>
    <x v="0"/>
    <n v="0.22929155386993369"/>
    <n v="-0.25435329828790432"/>
  </r>
  <r>
    <n v="542"/>
    <d v="2011-01-24T00:00:00"/>
    <n v="1"/>
    <n v="0"/>
    <x v="0"/>
    <x v="17"/>
    <b v="0"/>
    <n v="1"/>
    <n v="1"/>
    <x v="14"/>
    <n v="0.1212"/>
    <n v="0.5"/>
    <n v="0.25369999999999998"/>
    <n v="6"/>
    <n v="178"/>
    <n v="184"/>
    <x v="1"/>
    <x v="0"/>
    <x v="3"/>
    <x v="0"/>
    <x v="0"/>
    <n v="0.22929155386993369"/>
    <n v="-0.25435329828790432"/>
  </r>
  <r>
    <n v="543"/>
    <d v="2011-01-24T00:00:00"/>
    <n v="1"/>
    <n v="0"/>
    <x v="0"/>
    <x v="18"/>
    <b v="0"/>
    <n v="1"/>
    <n v="1"/>
    <x v="14"/>
    <n v="0.13639999999999999"/>
    <n v="0.59"/>
    <n v="0.19400000000000001"/>
    <n v="8"/>
    <n v="145"/>
    <n v="153"/>
    <x v="1"/>
    <x v="0"/>
    <x v="3"/>
    <x v="0"/>
    <x v="0"/>
    <n v="0.22929155386993369"/>
    <n v="-0.25435329828790432"/>
  </r>
  <r>
    <n v="544"/>
    <d v="2011-01-24T00:00:00"/>
    <n v="1"/>
    <n v="0"/>
    <x v="0"/>
    <x v="19"/>
    <b v="0"/>
    <n v="1"/>
    <n v="1"/>
    <x v="14"/>
    <n v="0.1515"/>
    <n v="0.54"/>
    <n v="0.16420000000000001"/>
    <n v="5"/>
    <n v="101"/>
    <n v="106"/>
    <x v="1"/>
    <x v="0"/>
    <x v="3"/>
    <x v="0"/>
    <x v="0"/>
    <n v="0.22929155386993369"/>
    <n v="-0.25435329828790432"/>
  </r>
  <r>
    <n v="545"/>
    <d v="2011-01-24T00:00:00"/>
    <n v="1"/>
    <n v="0"/>
    <x v="0"/>
    <x v="20"/>
    <b v="0"/>
    <n v="1"/>
    <n v="1"/>
    <x v="14"/>
    <n v="0.13639999999999999"/>
    <n v="0.59"/>
    <n v="0.19400000000000001"/>
    <n v="1"/>
    <n v="80"/>
    <n v="81"/>
    <x v="1"/>
    <x v="0"/>
    <x v="3"/>
    <x v="0"/>
    <x v="0"/>
    <n v="0.22929155386993369"/>
    <n v="-0.25435329828790432"/>
  </r>
  <r>
    <n v="546"/>
    <d v="2011-01-24T00:00:00"/>
    <n v="1"/>
    <n v="0"/>
    <x v="0"/>
    <x v="21"/>
    <b v="0"/>
    <n v="1"/>
    <n v="1"/>
    <x v="14"/>
    <n v="0.1515"/>
    <n v="0.63"/>
    <n v="0.16420000000000001"/>
    <n v="6"/>
    <n v="53"/>
    <n v="59"/>
    <x v="1"/>
    <x v="0"/>
    <x v="0"/>
    <x v="0"/>
    <x v="0"/>
    <n v="0.22929155386993369"/>
    <n v="-0.25435329828790432"/>
  </r>
  <r>
    <n v="547"/>
    <d v="2011-01-24T00:00:00"/>
    <n v="1"/>
    <n v="0"/>
    <x v="0"/>
    <x v="22"/>
    <b v="0"/>
    <n v="1"/>
    <n v="2"/>
    <x v="14"/>
    <n v="0.13639999999999999"/>
    <n v="0.63"/>
    <n v="0.22389999999999999"/>
    <n v="3"/>
    <n v="32"/>
    <n v="35"/>
    <x v="1"/>
    <x v="1"/>
    <x v="0"/>
    <x v="0"/>
    <x v="0"/>
    <n v="0.22929155386993369"/>
    <n v="-0.25435329828790432"/>
  </r>
  <r>
    <n v="548"/>
    <d v="2011-01-24T00:00:00"/>
    <n v="1"/>
    <n v="0"/>
    <x v="0"/>
    <x v="23"/>
    <b v="0"/>
    <n v="1"/>
    <n v="2"/>
    <x v="13"/>
    <n v="0.1515"/>
    <n v="0.64"/>
    <n v="0.25369999999999998"/>
    <n v="3"/>
    <n v="21"/>
    <n v="24"/>
    <x v="1"/>
    <x v="1"/>
    <x v="0"/>
    <x v="0"/>
    <x v="0"/>
    <n v="0.22929155386993369"/>
    <n v="-0.25435329828790432"/>
  </r>
  <r>
    <n v="549"/>
    <d v="2011-01-25T00:00:00"/>
    <n v="1"/>
    <n v="0"/>
    <x v="0"/>
    <x v="0"/>
    <b v="0"/>
    <n v="2"/>
    <n v="2"/>
    <x v="13"/>
    <n v="0.13639999999999999"/>
    <n v="0.69"/>
    <n v="0.28360000000000002"/>
    <n v="3"/>
    <n v="6"/>
    <n v="9"/>
    <x v="1"/>
    <x v="1"/>
    <x v="0"/>
    <x v="0"/>
    <x v="0"/>
    <n v="0.22929155386993369"/>
    <n v="-0.25435329828790432"/>
  </r>
  <r>
    <n v="550"/>
    <d v="2011-01-25T00:00:00"/>
    <n v="1"/>
    <n v="0"/>
    <x v="0"/>
    <x v="1"/>
    <b v="0"/>
    <n v="2"/>
    <n v="2"/>
    <x v="13"/>
    <n v="0.16669999999999999"/>
    <n v="0.69"/>
    <n v="0.16420000000000001"/>
    <n v="0"/>
    <n v="5"/>
    <n v="5"/>
    <x v="1"/>
    <x v="1"/>
    <x v="0"/>
    <x v="0"/>
    <x v="0"/>
    <n v="0.22929155386993369"/>
    <n v="-0.25435329828790432"/>
  </r>
  <r>
    <n v="551"/>
    <d v="2011-01-25T00:00:00"/>
    <n v="1"/>
    <n v="0"/>
    <x v="0"/>
    <x v="2"/>
    <b v="0"/>
    <n v="2"/>
    <n v="1"/>
    <x v="13"/>
    <n v="0.1515"/>
    <n v="0.69"/>
    <n v="0.22389999999999999"/>
    <n v="0"/>
    <n v="2"/>
    <n v="2"/>
    <x v="1"/>
    <x v="0"/>
    <x v="0"/>
    <x v="0"/>
    <x v="0"/>
    <n v="0.22929155386993369"/>
    <n v="-0.25435329828790432"/>
  </r>
  <r>
    <n v="552"/>
    <d v="2011-01-25T00:00:00"/>
    <n v="1"/>
    <n v="0"/>
    <x v="0"/>
    <x v="4"/>
    <b v="0"/>
    <n v="2"/>
    <n v="1"/>
    <x v="14"/>
    <n v="0.16669999999999999"/>
    <n v="0.74"/>
    <n v="0.1045"/>
    <n v="0"/>
    <n v="1"/>
    <n v="1"/>
    <x v="1"/>
    <x v="0"/>
    <x v="0"/>
    <x v="0"/>
    <x v="0"/>
    <n v="0.22929155386993369"/>
    <n v="-0.25435329828790432"/>
  </r>
  <r>
    <n v="553"/>
    <d v="2011-01-25T00:00:00"/>
    <n v="1"/>
    <n v="0"/>
    <x v="0"/>
    <x v="5"/>
    <b v="0"/>
    <n v="2"/>
    <n v="1"/>
    <x v="14"/>
    <n v="0.13639999999999999"/>
    <n v="0.74"/>
    <n v="0.22389999999999999"/>
    <n v="0"/>
    <n v="9"/>
    <n v="9"/>
    <x v="1"/>
    <x v="0"/>
    <x v="0"/>
    <x v="0"/>
    <x v="0"/>
    <n v="0.22929155386993369"/>
    <n v="-0.25435329828790432"/>
  </r>
  <r>
    <n v="554"/>
    <d v="2011-01-25T00:00:00"/>
    <n v="1"/>
    <n v="0"/>
    <x v="0"/>
    <x v="6"/>
    <b v="0"/>
    <n v="2"/>
    <n v="1"/>
    <x v="13"/>
    <n v="0.18179999999999999"/>
    <n v="0.74"/>
    <n v="0.1045"/>
    <n v="1"/>
    <n v="35"/>
    <n v="36"/>
    <x v="1"/>
    <x v="0"/>
    <x v="1"/>
    <x v="0"/>
    <x v="0"/>
    <n v="0.22929155386993369"/>
    <n v="-0.25435329828790432"/>
  </r>
  <r>
    <n v="555"/>
    <d v="2011-01-25T00:00:00"/>
    <n v="1"/>
    <n v="0"/>
    <x v="0"/>
    <x v="7"/>
    <b v="0"/>
    <n v="2"/>
    <n v="1"/>
    <x v="13"/>
    <n v="0.1515"/>
    <n v="0.74"/>
    <n v="0.22389999999999999"/>
    <n v="5"/>
    <n v="103"/>
    <n v="108"/>
    <x v="1"/>
    <x v="0"/>
    <x v="1"/>
    <x v="0"/>
    <x v="0"/>
    <n v="0.22929155386993369"/>
    <n v="-0.25435329828790432"/>
  </r>
  <r>
    <n v="556"/>
    <d v="2011-01-25T00:00:00"/>
    <n v="1"/>
    <n v="0"/>
    <x v="0"/>
    <x v="8"/>
    <b v="0"/>
    <n v="2"/>
    <n v="2"/>
    <x v="13"/>
    <n v="0.18179999999999999"/>
    <n v="0.74"/>
    <n v="0.1343"/>
    <n v="5"/>
    <n v="233"/>
    <n v="238"/>
    <x v="1"/>
    <x v="1"/>
    <x v="1"/>
    <x v="0"/>
    <x v="0"/>
    <n v="0.22929155386993369"/>
    <n v="-0.25435329828790432"/>
  </r>
  <r>
    <n v="557"/>
    <d v="2011-01-25T00:00:00"/>
    <n v="1"/>
    <n v="0"/>
    <x v="0"/>
    <x v="9"/>
    <b v="0"/>
    <n v="2"/>
    <n v="2"/>
    <x v="2"/>
    <n v="0.2273"/>
    <n v="0.64"/>
    <n v="8.9599999999999999E-2"/>
    <n v="10"/>
    <n v="134"/>
    <n v="144"/>
    <x v="1"/>
    <x v="1"/>
    <x v="1"/>
    <x v="0"/>
    <x v="0"/>
    <n v="0.22929155386993369"/>
    <n v="-0.25435329828790432"/>
  </r>
  <r>
    <n v="558"/>
    <d v="2011-01-25T00:00:00"/>
    <n v="1"/>
    <n v="0"/>
    <x v="0"/>
    <x v="10"/>
    <b v="0"/>
    <n v="2"/>
    <n v="2"/>
    <x v="1"/>
    <n v="0.2424"/>
    <n v="0.6"/>
    <n v="0.1045"/>
    <n v="6"/>
    <n v="49"/>
    <n v="55"/>
    <x v="1"/>
    <x v="1"/>
    <x v="1"/>
    <x v="0"/>
    <x v="0"/>
    <n v="0.22929155386993369"/>
    <n v="-0.25435329828790432"/>
  </r>
  <r>
    <n v="559"/>
    <d v="2011-01-25T00:00:00"/>
    <n v="1"/>
    <n v="0"/>
    <x v="0"/>
    <x v="11"/>
    <b v="0"/>
    <n v="2"/>
    <n v="2"/>
    <x v="0"/>
    <n v="0.2424"/>
    <n v="0.6"/>
    <n v="0.1343"/>
    <n v="6"/>
    <n v="55"/>
    <n v="61"/>
    <x v="1"/>
    <x v="1"/>
    <x v="1"/>
    <x v="0"/>
    <x v="0"/>
    <n v="0.22929155386993369"/>
    <n v="-0.25435329828790432"/>
  </r>
  <r>
    <n v="560"/>
    <d v="2011-01-25T00:00:00"/>
    <n v="1"/>
    <n v="0"/>
    <x v="0"/>
    <x v="12"/>
    <b v="0"/>
    <n v="2"/>
    <n v="2"/>
    <x v="12"/>
    <n v="0.28789999999999999"/>
    <n v="0.56000000000000005"/>
    <n v="8.9599999999999999E-2"/>
    <n v="21"/>
    <n v="85"/>
    <n v="106"/>
    <x v="1"/>
    <x v="1"/>
    <x v="2"/>
    <x v="0"/>
    <x v="0"/>
    <n v="0.22929155386993369"/>
    <n v="-0.25435329828790432"/>
  </r>
  <r>
    <n v="561"/>
    <d v="2011-01-25T00:00:00"/>
    <n v="1"/>
    <n v="0"/>
    <x v="0"/>
    <x v="13"/>
    <b v="0"/>
    <n v="2"/>
    <n v="2"/>
    <x v="12"/>
    <n v="0.2727"/>
    <n v="0.56000000000000005"/>
    <n v="0.1343"/>
    <n v="21"/>
    <n v="72"/>
    <n v="93"/>
    <x v="1"/>
    <x v="1"/>
    <x v="2"/>
    <x v="0"/>
    <x v="0"/>
    <n v="0.22929155386993369"/>
    <n v="-0.25435329828790432"/>
  </r>
  <r>
    <n v="562"/>
    <d v="2011-01-25T00:00:00"/>
    <n v="1"/>
    <n v="0"/>
    <x v="0"/>
    <x v="14"/>
    <b v="0"/>
    <n v="2"/>
    <n v="2"/>
    <x v="11"/>
    <n v="0.33329999999999999"/>
    <n v="0.45"/>
    <n v="0"/>
    <n v="11"/>
    <n v="57"/>
    <n v="68"/>
    <x v="1"/>
    <x v="1"/>
    <x v="2"/>
    <x v="0"/>
    <x v="0"/>
    <n v="0.22929155386993369"/>
    <n v="-0.25435329828790432"/>
  </r>
  <r>
    <n v="563"/>
    <d v="2011-01-25T00:00:00"/>
    <n v="1"/>
    <n v="0"/>
    <x v="0"/>
    <x v="15"/>
    <b v="0"/>
    <n v="2"/>
    <n v="2"/>
    <x v="3"/>
    <n v="0.34849999999999998"/>
    <n v="0.42"/>
    <n v="0"/>
    <n v="21"/>
    <n v="63"/>
    <n v="84"/>
    <x v="1"/>
    <x v="1"/>
    <x v="2"/>
    <x v="0"/>
    <x v="0"/>
    <n v="0.22929155386993369"/>
    <n v="-0.25435329828790432"/>
  </r>
  <r>
    <n v="564"/>
    <d v="2011-01-25T00:00:00"/>
    <n v="1"/>
    <n v="0"/>
    <x v="0"/>
    <x v="16"/>
    <b v="0"/>
    <n v="2"/>
    <n v="2"/>
    <x v="3"/>
    <n v="0.34849999999999998"/>
    <n v="0.42"/>
    <n v="0"/>
    <n v="14"/>
    <n v="102"/>
    <n v="116"/>
    <x v="1"/>
    <x v="1"/>
    <x v="2"/>
    <x v="0"/>
    <x v="0"/>
    <n v="0.22929155386993369"/>
    <n v="-0.25435329828790432"/>
  </r>
  <r>
    <n v="565"/>
    <d v="2011-01-25T00:00:00"/>
    <n v="1"/>
    <n v="0"/>
    <x v="0"/>
    <x v="17"/>
    <b v="0"/>
    <n v="2"/>
    <n v="1"/>
    <x v="11"/>
    <n v="0.33329999999999999"/>
    <n v="0.45"/>
    <n v="0"/>
    <n v="14"/>
    <n v="208"/>
    <n v="222"/>
    <x v="1"/>
    <x v="0"/>
    <x v="3"/>
    <x v="0"/>
    <x v="0"/>
    <n v="0.22929155386993369"/>
    <n v="-0.25435329828790432"/>
  </r>
  <r>
    <n v="566"/>
    <d v="2011-01-25T00:00:00"/>
    <n v="1"/>
    <n v="0"/>
    <x v="0"/>
    <x v="18"/>
    <b v="0"/>
    <n v="2"/>
    <n v="2"/>
    <x v="11"/>
    <n v="0.31819999999999998"/>
    <n v="0.49"/>
    <n v="8.9599999999999999E-2"/>
    <n v="7"/>
    <n v="218"/>
    <n v="225"/>
    <x v="1"/>
    <x v="1"/>
    <x v="3"/>
    <x v="0"/>
    <x v="0"/>
    <n v="0.22929155386993369"/>
    <n v="-0.25435329828790432"/>
  </r>
  <r>
    <n v="567"/>
    <d v="2011-01-25T00:00:00"/>
    <n v="1"/>
    <n v="0"/>
    <x v="0"/>
    <x v="19"/>
    <b v="0"/>
    <n v="2"/>
    <n v="2"/>
    <x v="12"/>
    <n v="0.2576"/>
    <n v="0.65"/>
    <n v="0.16420000000000001"/>
    <n v="13"/>
    <n v="133"/>
    <n v="146"/>
    <x v="1"/>
    <x v="1"/>
    <x v="3"/>
    <x v="0"/>
    <x v="0"/>
    <n v="0.22929155386993369"/>
    <n v="-0.25435329828790432"/>
  </r>
  <r>
    <n v="568"/>
    <d v="2011-01-25T00:00:00"/>
    <n v="1"/>
    <n v="0"/>
    <x v="0"/>
    <x v="20"/>
    <b v="0"/>
    <n v="2"/>
    <n v="1"/>
    <x v="0"/>
    <n v="0.2273"/>
    <n v="0.65"/>
    <n v="0.19400000000000001"/>
    <n v="16"/>
    <n v="103"/>
    <n v="119"/>
    <x v="1"/>
    <x v="0"/>
    <x v="3"/>
    <x v="0"/>
    <x v="0"/>
    <n v="0.22929155386993369"/>
    <n v="-0.25435329828790432"/>
  </r>
  <r>
    <n v="569"/>
    <d v="2011-01-25T00:00:00"/>
    <n v="1"/>
    <n v="0"/>
    <x v="0"/>
    <x v="21"/>
    <b v="0"/>
    <n v="2"/>
    <n v="1"/>
    <x v="0"/>
    <n v="0.2273"/>
    <n v="0.65"/>
    <n v="0.19400000000000001"/>
    <n v="5"/>
    <n v="40"/>
    <n v="45"/>
    <x v="1"/>
    <x v="0"/>
    <x v="0"/>
    <x v="0"/>
    <x v="0"/>
    <n v="0.22929155386993369"/>
    <n v="-0.25435329828790432"/>
  </r>
  <r>
    <n v="570"/>
    <d v="2011-01-25T00:00:00"/>
    <n v="1"/>
    <n v="0"/>
    <x v="0"/>
    <x v="22"/>
    <b v="0"/>
    <n v="2"/>
    <n v="1"/>
    <x v="1"/>
    <n v="0.2273"/>
    <n v="0.64"/>
    <n v="0.16420000000000001"/>
    <n v="4"/>
    <n v="49"/>
    <n v="53"/>
    <x v="1"/>
    <x v="0"/>
    <x v="0"/>
    <x v="0"/>
    <x v="0"/>
    <n v="0.22929155386993369"/>
    <n v="-0.25435329828790432"/>
  </r>
  <r>
    <n v="571"/>
    <d v="2011-01-25T00:00:00"/>
    <n v="1"/>
    <n v="0"/>
    <x v="0"/>
    <x v="23"/>
    <b v="0"/>
    <n v="2"/>
    <n v="2"/>
    <x v="1"/>
    <n v="0.2273"/>
    <n v="0.64"/>
    <n v="0.16420000000000001"/>
    <n v="3"/>
    <n v="37"/>
    <n v="40"/>
    <x v="1"/>
    <x v="1"/>
    <x v="0"/>
    <x v="0"/>
    <x v="0"/>
    <n v="0.22929155386993369"/>
    <n v="-0.25435329828790432"/>
  </r>
  <r>
    <n v="572"/>
    <d v="2011-01-26T00:00:00"/>
    <n v="1"/>
    <n v="0"/>
    <x v="0"/>
    <x v="0"/>
    <b v="0"/>
    <n v="3"/>
    <n v="2"/>
    <x v="1"/>
    <n v="0.2273"/>
    <n v="0.69"/>
    <n v="0.1343"/>
    <n v="3"/>
    <n v="14"/>
    <n v="17"/>
    <x v="1"/>
    <x v="1"/>
    <x v="0"/>
    <x v="0"/>
    <x v="0"/>
    <n v="0.22929155386993369"/>
    <n v="-0.25435329828790432"/>
  </r>
  <r>
    <n v="573"/>
    <d v="2011-01-26T00:00:00"/>
    <n v="1"/>
    <n v="0"/>
    <x v="0"/>
    <x v="1"/>
    <b v="0"/>
    <n v="3"/>
    <n v="2"/>
    <x v="0"/>
    <n v="0.2424"/>
    <n v="0.65"/>
    <n v="0.1343"/>
    <n v="0"/>
    <n v="5"/>
    <n v="5"/>
    <x v="1"/>
    <x v="1"/>
    <x v="0"/>
    <x v="0"/>
    <x v="0"/>
    <n v="0.22929155386993369"/>
    <n v="-0.25435329828790432"/>
  </r>
  <r>
    <n v="574"/>
    <d v="2011-01-26T00:00:00"/>
    <n v="1"/>
    <n v="0"/>
    <x v="0"/>
    <x v="2"/>
    <b v="0"/>
    <n v="3"/>
    <n v="3"/>
    <x v="1"/>
    <n v="0.2273"/>
    <n v="0.69"/>
    <n v="0.19400000000000001"/>
    <n v="3"/>
    <n v="7"/>
    <n v="10"/>
    <x v="1"/>
    <x v="2"/>
    <x v="0"/>
    <x v="0"/>
    <x v="0"/>
    <n v="0.22929155386993369"/>
    <n v="-0.25435329828790432"/>
  </r>
  <r>
    <n v="575"/>
    <d v="2011-01-26T00:00:00"/>
    <n v="1"/>
    <n v="0"/>
    <x v="0"/>
    <x v="5"/>
    <b v="0"/>
    <n v="3"/>
    <n v="3"/>
    <x v="2"/>
    <n v="0.18179999999999999"/>
    <n v="0.86"/>
    <n v="0.28360000000000002"/>
    <n v="0"/>
    <n v="1"/>
    <n v="1"/>
    <x v="1"/>
    <x v="2"/>
    <x v="0"/>
    <x v="0"/>
    <x v="0"/>
    <n v="0.22929155386993369"/>
    <n v="-0.25435329828790432"/>
  </r>
  <r>
    <n v="576"/>
    <d v="2011-01-26T00:00:00"/>
    <n v="1"/>
    <n v="0"/>
    <x v="0"/>
    <x v="6"/>
    <b v="0"/>
    <n v="3"/>
    <n v="3"/>
    <x v="2"/>
    <n v="0.18179999999999999"/>
    <n v="0.86"/>
    <n v="0.28360000000000002"/>
    <n v="0"/>
    <n v="8"/>
    <n v="8"/>
    <x v="1"/>
    <x v="2"/>
    <x v="1"/>
    <x v="0"/>
    <x v="0"/>
    <n v="0.22929155386993369"/>
    <n v="-0.25435329828790432"/>
  </r>
  <r>
    <n v="577"/>
    <d v="2011-01-26T00:00:00"/>
    <n v="1"/>
    <n v="0"/>
    <x v="0"/>
    <x v="7"/>
    <b v="0"/>
    <n v="3"/>
    <n v="3"/>
    <x v="1"/>
    <n v="0.21210000000000001"/>
    <n v="0.87"/>
    <n v="0.29849999999999999"/>
    <n v="1"/>
    <n v="29"/>
    <n v="30"/>
    <x v="1"/>
    <x v="2"/>
    <x v="1"/>
    <x v="0"/>
    <x v="0"/>
    <n v="0.22929155386993369"/>
    <n v="-0.25435329828790432"/>
  </r>
  <r>
    <n v="578"/>
    <d v="2011-01-26T00:00:00"/>
    <n v="1"/>
    <n v="0"/>
    <x v="0"/>
    <x v="8"/>
    <b v="0"/>
    <n v="3"/>
    <n v="3"/>
    <x v="1"/>
    <n v="0.21210000000000001"/>
    <n v="0.87"/>
    <n v="0.29849999999999999"/>
    <n v="3"/>
    <n v="69"/>
    <n v="72"/>
    <x v="1"/>
    <x v="2"/>
    <x v="1"/>
    <x v="0"/>
    <x v="0"/>
    <n v="0.22929155386993369"/>
    <n v="-0.25435329828790432"/>
  </r>
  <r>
    <n v="579"/>
    <d v="2011-01-26T00:00:00"/>
    <n v="1"/>
    <n v="0"/>
    <x v="0"/>
    <x v="9"/>
    <b v="0"/>
    <n v="3"/>
    <n v="3"/>
    <x v="1"/>
    <n v="0.21210000000000001"/>
    <n v="0.87"/>
    <n v="0.29849999999999999"/>
    <n v="3"/>
    <n v="55"/>
    <n v="58"/>
    <x v="1"/>
    <x v="2"/>
    <x v="1"/>
    <x v="0"/>
    <x v="0"/>
    <n v="0.22929155386993369"/>
    <n v="-0.25435329828790432"/>
  </r>
  <r>
    <n v="580"/>
    <d v="2011-01-26T00:00:00"/>
    <n v="1"/>
    <n v="0"/>
    <x v="0"/>
    <x v="10"/>
    <b v="0"/>
    <n v="3"/>
    <n v="3"/>
    <x v="1"/>
    <n v="0.21210000000000001"/>
    <n v="0.93"/>
    <n v="0.28360000000000002"/>
    <n v="2"/>
    <n v="26"/>
    <n v="28"/>
    <x v="1"/>
    <x v="2"/>
    <x v="1"/>
    <x v="0"/>
    <x v="0"/>
    <n v="0.22929155386993369"/>
    <n v="-0.25435329828790432"/>
  </r>
  <r>
    <n v="581"/>
    <d v="2011-01-26T00:00:00"/>
    <n v="1"/>
    <n v="0"/>
    <x v="0"/>
    <x v="11"/>
    <b v="0"/>
    <n v="3"/>
    <n v="3"/>
    <x v="1"/>
    <n v="0.19700000000000001"/>
    <n v="0.93"/>
    <n v="0.32840000000000003"/>
    <n v="6"/>
    <n v="35"/>
    <n v="41"/>
    <x v="1"/>
    <x v="2"/>
    <x v="1"/>
    <x v="0"/>
    <x v="0"/>
    <n v="0.22929155386993369"/>
    <n v="-0.25435329828790432"/>
  </r>
  <r>
    <n v="582"/>
    <d v="2011-01-26T00:00:00"/>
    <n v="1"/>
    <n v="0"/>
    <x v="0"/>
    <x v="12"/>
    <b v="0"/>
    <n v="3"/>
    <n v="3"/>
    <x v="1"/>
    <n v="0.19700000000000001"/>
    <n v="0.93"/>
    <n v="0.32840000000000003"/>
    <n v="7"/>
    <n v="41"/>
    <n v="48"/>
    <x v="1"/>
    <x v="2"/>
    <x v="2"/>
    <x v="0"/>
    <x v="0"/>
    <n v="0.22929155386993369"/>
    <n v="-0.25435329828790432"/>
  </r>
  <r>
    <n v="583"/>
    <d v="2011-01-26T00:00:00"/>
    <n v="1"/>
    <n v="0"/>
    <x v="0"/>
    <x v="13"/>
    <b v="0"/>
    <n v="3"/>
    <n v="3"/>
    <x v="1"/>
    <n v="0.19700000000000001"/>
    <n v="0.93"/>
    <n v="0.32840000000000003"/>
    <n v="4"/>
    <n v="43"/>
    <n v="47"/>
    <x v="1"/>
    <x v="2"/>
    <x v="2"/>
    <x v="0"/>
    <x v="0"/>
    <n v="0.22929155386993369"/>
    <n v="-0.25435329828790432"/>
  </r>
  <r>
    <n v="584"/>
    <d v="2011-01-26T00:00:00"/>
    <n v="1"/>
    <n v="0"/>
    <x v="0"/>
    <x v="14"/>
    <b v="0"/>
    <n v="3"/>
    <n v="3"/>
    <x v="1"/>
    <n v="0.19700000000000001"/>
    <n v="0.93"/>
    <n v="0.35820000000000002"/>
    <n v="0"/>
    <n v="36"/>
    <n v="36"/>
    <x v="1"/>
    <x v="2"/>
    <x v="2"/>
    <x v="0"/>
    <x v="0"/>
    <n v="0.22929155386993369"/>
    <n v="-0.25435329828790432"/>
  </r>
  <r>
    <n v="585"/>
    <d v="2011-01-26T00:00:00"/>
    <n v="1"/>
    <n v="0"/>
    <x v="0"/>
    <x v="15"/>
    <b v="0"/>
    <n v="3"/>
    <n v="3"/>
    <x v="1"/>
    <n v="0.18179999999999999"/>
    <n v="0.93"/>
    <n v="0.4627"/>
    <n v="1"/>
    <n v="42"/>
    <n v="43"/>
    <x v="1"/>
    <x v="2"/>
    <x v="2"/>
    <x v="0"/>
    <x v="0"/>
    <n v="0.22929155386993369"/>
    <n v="-0.25435329828790432"/>
  </r>
  <r>
    <n v="586"/>
    <d v="2011-01-26T00:00:00"/>
    <n v="1"/>
    <n v="0"/>
    <x v="0"/>
    <x v="16"/>
    <b v="0"/>
    <n v="3"/>
    <n v="4"/>
    <x v="1"/>
    <n v="0.19700000000000001"/>
    <n v="0.93"/>
    <n v="0.32840000000000003"/>
    <n v="1"/>
    <n v="35"/>
    <n v="36"/>
    <x v="1"/>
    <x v="3"/>
    <x v="2"/>
    <x v="0"/>
    <x v="0"/>
    <n v="0.22929155386993369"/>
    <n v="-0.25435329828790432"/>
  </r>
  <r>
    <n v="587"/>
    <d v="2011-01-26T00:00:00"/>
    <n v="1"/>
    <n v="0"/>
    <x v="0"/>
    <x v="17"/>
    <b v="0"/>
    <n v="3"/>
    <n v="3"/>
    <x v="2"/>
    <n v="0.18179999999999999"/>
    <n v="0.93"/>
    <n v="0.35820000000000002"/>
    <n v="0"/>
    <n v="26"/>
    <n v="26"/>
    <x v="1"/>
    <x v="2"/>
    <x v="3"/>
    <x v="0"/>
    <x v="0"/>
    <n v="0.22929155386993369"/>
    <n v="-0.25435329828790432"/>
  </r>
  <r>
    <n v="588"/>
    <d v="2011-01-27T00:00:00"/>
    <n v="1"/>
    <n v="0"/>
    <x v="0"/>
    <x v="16"/>
    <b v="0"/>
    <n v="4"/>
    <n v="1"/>
    <x v="1"/>
    <n v="0.2273"/>
    <n v="0.55000000000000004"/>
    <n v="0.19400000000000001"/>
    <n v="1"/>
    <n v="23"/>
    <n v="24"/>
    <x v="1"/>
    <x v="0"/>
    <x v="2"/>
    <x v="0"/>
    <x v="0"/>
    <n v="0.22929155386993369"/>
    <n v="-0.25435329828790432"/>
  </r>
  <r>
    <n v="589"/>
    <d v="2011-01-27T00:00:00"/>
    <n v="1"/>
    <n v="0"/>
    <x v="0"/>
    <x v="17"/>
    <b v="0"/>
    <n v="4"/>
    <n v="1"/>
    <x v="1"/>
    <n v="0.2424"/>
    <n v="0.55000000000000004"/>
    <n v="0.1045"/>
    <n v="2"/>
    <n v="82"/>
    <n v="84"/>
    <x v="1"/>
    <x v="0"/>
    <x v="3"/>
    <x v="0"/>
    <x v="0"/>
    <n v="0.22929155386993369"/>
    <n v="-0.25435329828790432"/>
  </r>
  <r>
    <n v="590"/>
    <d v="2011-01-27T00:00:00"/>
    <n v="1"/>
    <n v="0"/>
    <x v="0"/>
    <x v="18"/>
    <b v="0"/>
    <n v="4"/>
    <n v="1"/>
    <x v="2"/>
    <n v="0.2273"/>
    <n v="0.69"/>
    <n v="8.9599999999999999E-2"/>
    <n v="3"/>
    <n v="101"/>
    <n v="104"/>
    <x v="1"/>
    <x v="0"/>
    <x v="3"/>
    <x v="0"/>
    <x v="0"/>
    <n v="0.22929155386993369"/>
    <n v="-0.25435329828790432"/>
  </r>
  <r>
    <n v="591"/>
    <d v="2011-01-27T00:00:00"/>
    <n v="1"/>
    <n v="0"/>
    <x v="0"/>
    <x v="19"/>
    <b v="0"/>
    <n v="4"/>
    <n v="1"/>
    <x v="2"/>
    <n v="0.2273"/>
    <n v="0.69"/>
    <n v="8.9599999999999999E-2"/>
    <n v="3"/>
    <n v="76"/>
    <n v="79"/>
    <x v="1"/>
    <x v="0"/>
    <x v="3"/>
    <x v="0"/>
    <x v="0"/>
    <n v="0.22929155386993369"/>
    <n v="-0.25435329828790432"/>
  </r>
  <r>
    <n v="592"/>
    <d v="2011-01-27T00:00:00"/>
    <n v="1"/>
    <n v="0"/>
    <x v="0"/>
    <x v="20"/>
    <b v="0"/>
    <n v="4"/>
    <n v="1"/>
    <x v="15"/>
    <n v="0.21210000000000001"/>
    <n v="0.74"/>
    <n v="8.9599999999999999E-2"/>
    <n v="4"/>
    <n v="55"/>
    <n v="59"/>
    <x v="1"/>
    <x v="0"/>
    <x v="3"/>
    <x v="0"/>
    <x v="0"/>
    <n v="0.22929155386993369"/>
    <n v="-0.25435329828790432"/>
  </r>
  <r>
    <n v="593"/>
    <d v="2011-01-27T00:00:00"/>
    <n v="1"/>
    <n v="0"/>
    <x v="0"/>
    <x v="21"/>
    <b v="0"/>
    <n v="4"/>
    <n v="1"/>
    <x v="15"/>
    <n v="0.21210000000000001"/>
    <n v="0.74"/>
    <n v="8.9599999999999999E-2"/>
    <n v="2"/>
    <n v="36"/>
    <n v="38"/>
    <x v="1"/>
    <x v="0"/>
    <x v="0"/>
    <x v="0"/>
    <x v="0"/>
    <n v="0.22929155386993369"/>
    <n v="-0.25435329828790432"/>
  </r>
  <r>
    <n v="594"/>
    <d v="2011-01-27T00:00:00"/>
    <n v="1"/>
    <n v="0"/>
    <x v="0"/>
    <x v="22"/>
    <b v="0"/>
    <n v="4"/>
    <n v="1"/>
    <x v="15"/>
    <n v="0.21210000000000001"/>
    <n v="0.74"/>
    <n v="8.9599999999999999E-2"/>
    <n v="0"/>
    <n v="27"/>
    <n v="27"/>
    <x v="1"/>
    <x v="0"/>
    <x v="0"/>
    <x v="0"/>
    <x v="0"/>
    <n v="0.22929155386993369"/>
    <n v="-0.25435329828790432"/>
  </r>
  <r>
    <n v="595"/>
    <d v="2011-01-27T00:00:00"/>
    <n v="1"/>
    <n v="0"/>
    <x v="0"/>
    <x v="23"/>
    <b v="0"/>
    <n v="4"/>
    <n v="1"/>
    <x v="15"/>
    <n v="0.19700000000000001"/>
    <n v="0.8"/>
    <n v="0.16420000000000001"/>
    <n v="0"/>
    <n v="16"/>
    <n v="16"/>
    <x v="1"/>
    <x v="0"/>
    <x v="0"/>
    <x v="0"/>
    <x v="0"/>
    <n v="0.22929155386993369"/>
    <n v="-0.25435329828790432"/>
  </r>
  <r>
    <n v="596"/>
    <d v="2011-01-28T00:00:00"/>
    <n v="1"/>
    <n v="0"/>
    <x v="0"/>
    <x v="0"/>
    <b v="0"/>
    <n v="5"/>
    <n v="2"/>
    <x v="2"/>
    <n v="0.21210000000000001"/>
    <n v="0.75"/>
    <n v="0.1343"/>
    <n v="0"/>
    <n v="9"/>
    <n v="9"/>
    <x v="1"/>
    <x v="1"/>
    <x v="0"/>
    <x v="0"/>
    <x v="0"/>
    <n v="0.22929155386993369"/>
    <n v="-0.25435329828790432"/>
  </r>
  <r>
    <n v="597"/>
    <d v="2011-01-28T00:00:00"/>
    <n v="1"/>
    <n v="0"/>
    <x v="0"/>
    <x v="1"/>
    <b v="0"/>
    <n v="5"/>
    <n v="2"/>
    <x v="2"/>
    <n v="0.21210000000000001"/>
    <n v="0.75"/>
    <n v="0.1343"/>
    <n v="1"/>
    <n v="2"/>
    <n v="3"/>
    <x v="1"/>
    <x v="1"/>
    <x v="0"/>
    <x v="0"/>
    <x v="0"/>
    <n v="0.22929155386993369"/>
    <n v="-0.25435329828790432"/>
  </r>
  <r>
    <n v="598"/>
    <d v="2011-01-28T00:00:00"/>
    <n v="1"/>
    <n v="0"/>
    <x v="0"/>
    <x v="2"/>
    <b v="0"/>
    <n v="5"/>
    <n v="2"/>
    <x v="2"/>
    <n v="0.21210000000000001"/>
    <n v="0.75"/>
    <n v="0.16420000000000001"/>
    <n v="0"/>
    <n v="2"/>
    <n v="2"/>
    <x v="1"/>
    <x v="1"/>
    <x v="0"/>
    <x v="0"/>
    <x v="0"/>
    <n v="0.22929155386993369"/>
    <n v="-0.25435329828790432"/>
  </r>
  <r>
    <n v="599"/>
    <d v="2011-01-28T00:00:00"/>
    <n v="1"/>
    <n v="0"/>
    <x v="0"/>
    <x v="3"/>
    <b v="0"/>
    <n v="5"/>
    <n v="2"/>
    <x v="2"/>
    <n v="0.2273"/>
    <n v="0.75"/>
    <n v="0.1045"/>
    <n v="1"/>
    <n v="0"/>
    <n v="1"/>
    <x v="1"/>
    <x v="1"/>
    <x v="0"/>
    <x v="0"/>
    <x v="0"/>
    <n v="0.22929155386993369"/>
    <n v="-0.25435329828790432"/>
  </r>
  <r>
    <n v="600"/>
    <d v="2011-01-28T00:00:00"/>
    <n v="1"/>
    <n v="0"/>
    <x v="0"/>
    <x v="5"/>
    <b v="0"/>
    <n v="5"/>
    <n v="2"/>
    <x v="15"/>
    <n v="0.21210000000000001"/>
    <n v="0.8"/>
    <n v="0.1045"/>
    <n v="0"/>
    <n v="4"/>
    <n v="4"/>
    <x v="1"/>
    <x v="1"/>
    <x v="0"/>
    <x v="0"/>
    <x v="0"/>
    <n v="0.22929155386993369"/>
    <n v="-0.25435329828790432"/>
  </r>
  <r>
    <n v="601"/>
    <d v="2011-01-28T00:00:00"/>
    <n v="1"/>
    <n v="0"/>
    <x v="0"/>
    <x v="6"/>
    <b v="0"/>
    <n v="5"/>
    <n v="2"/>
    <x v="15"/>
    <n v="0.19700000000000001"/>
    <n v="0.8"/>
    <n v="0.1343"/>
    <n v="0"/>
    <n v="16"/>
    <n v="16"/>
    <x v="1"/>
    <x v="1"/>
    <x v="1"/>
    <x v="0"/>
    <x v="0"/>
    <n v="0.22929155386993369"/>
    <n v="-0.25435329828790432"/>
  </r>
  <r>
    <n v="602"/>
    <d v="2011-01-28T00:00:00"/>
    <n v="1"/>
    <n v="0"/>
    <x v="0"/>
    <x v="7"/>
    <b v="0"/>
    <n v="5"/>
    <n v="2"/>
    <x v="13"/>
    <n v="0.19700000000000001"/>
    <n v="0.86"/>
    <n v="8.9599999999999999E-2"/>
    <n v="2"/>
    <n v="58"/>
    <n v="60"/>
    <x v="1"/>
    <x v="1"/>
    <x v="1"/>
    <x v="0"/>
    <x v="0"/>
    <n v="0.22929155386993369"/>
    <n v="-0.25435329828790432"/>
  </r>
  <r>
    <n v="603"/>
    <d v="2011-01-28T00:00:00"/>
    <n v="1"/>
    <n v="0"/>
    <x v="0"/>
    <x v="8"/>
    <b v="0"/>
    <n v="5"/>
    <n v="2"/>
    <x v="13"/>
    <n v="0.19700000000000001"/>
    <n v="0.86"/>
    <n v="8.9599999999999999E-2"/>
    <n v="2"/>
    <n v="155"/>
    <n v="157"/>
    <x v="1"/>
    <x v="1"/>
    <x v="1"/>
    <x v="0"/>
    <x v="0"/>
    <n v="0.22929155386993369"/>
    <n v="-0.25435329828790432"/>
  </r>
  <r>
    <n v="604"/>
    <d v="2011-01-28T00:00:00"/>
    <n v="1"/>
    <n v="0"/>
    <x v="0"/>
    <x v="9"/>
    <b v="0"/>
    <n v="5"/>
    <n v="3"/>
    <x v="15"/>
    <n v="0.21210000000000001"/>
    <n v="0.86"/>
    <n v="8.9599999999999999E-2"/>
    <n v="6"/>
    <n v="95"/>
    <n v="101"/>
    <x v="1"/>
    <x v="2"/>
    <x v="1"/>
    <x v="0"/>
    <x v="0"/>
    <n v="0.22929155386993369"/>
    <n v="-0.25435329828790432"/>
  </r>
  <r>
    <n v="605"/>
    <d v="2011-01-28T00:00:00"/>
    <n v="1"/>
    <n v="0"/>
    <x v="0"/>
    <x v="10"/>
    <b v="0"/>
    <n v="5"/>
    <n v="3"/>
    <x v="15"/>
    <n v="0.21210000000000001"/>
    <n v="0.86"/>
    <n v="0.1045"/>
    <n v="0"/>
    <n v="49"/>
    <n v="49"/>
    <x v="1"/>
    <x v="2"/>
    <x v="1"/>
    <x v="0"/>
    <x v="0"/>
    <n v="0.22929155386993369"/>
    <n v="-0.25435329828790432"/>
  </r>
  <r>
    <n v="606"/>
    <d v="2011-01-28T00:00:00"/>
    <n v="1"/>
    <n v="0"/>
    <x v="0"/>
    <x v="11"/>
    <b v="0"/>
    <n v="5"/>
    <n v="3"/>
    <x v="15"/>
    <n v="0.21210000000000001"/>
    <n v="0.93"/>
    <n v="0.1045"/>
    <n v="0"/>
    <n v="30"/>
    <n v="30"/>
    <x v="1"/>
    <x v="2"/>
    <x v="1"/>
    <x v="0"/>
    <x v="0"/>
    <n v="0.22929155386993369"/>
    <n v="-0.25435329828790432"/>
  </r>
  <r>
    <n v="607"/>
    <d v="2011-01-28T00:00:00"/>
    <n v="1"/>
    <n v="0"/>
    <x v="0"/>
    <x v="12"/>
    <b v="0"/>
    <n v="5"/>
    <n v="3"/>
    <x v="15"/>
    <n v="0.21210000000000001"/>
    <n v="0.93"/>
    <n v="0.1045"/>
    <n v="1"/>
    <n v="28"/>
    <n v="29"/>
    <x v="1"/>
    <x v="2"/>
    <x v="2"/>
    <x v="0"/>
    <x v="0"/>
    <n v="0.22929155386993369"/>
    <n v="-0.25435329828790432"/>
  </r>
  <r>
    <n v="608"/>
    <d v="2011-01-28T00:00:00"/>
    <n v="1"/>
    <n v="0"/>
    <x v="0"/>
    <x v="13"/>
    <b v="0"/>
    <n v="5"/>
    <n v="3"/>
    <x v="15"/>
    <n v="0.21210000000000001"/>
    <n v="0.93"/>
    <n v="0.1045"/>
    <n v="0"/>
    <n v="31"/>
    <n v="31"/>
    <x v="1"/>
    <x v="2"/>
    <x v="2"/>
    <x v="0"/>
    <x v="0"/>
    <n v="0.22929155386993369"/>
    <n v="-0.25435329828790432"/>
  </r>
  <r>
    <n v="609"/>
    <d v="2011-01-28T00:00:00"/>
    <n v="1"/>
    <n v="0"/>
    <x v="0"/>
    <x v="14"/>
    <b v="0"/>
    <n v="5"/>
    <n v="3"/>
    <x v="1"/>
    <n v="0.2727"/>
    <n v="0.8"/>
    <n v="0"/>
    <n v="2"/>
    <n v="36"/>
    <n v="38"/>
    <x v="1"/>
    <x v="2"/>
    <x v="2"/>
    <x v="0"/>
    <x v="0"/>
    <n v="0.22929155386993369"/>
    <n v="-0.25435329828790432"/>
  </r>
  <r>
    <n v="610"/>
    <d v="2011-01-28T00:00:00"/>
    <n v="1"/>
    <n v="0"/>
    <x v="0"/>
    <x v="15"/>
    <b v="0"/>
    <n v="5"/>
    <n v="2"/>
    <x v="2"/>
    <n v="0.2576"/>
    <n v="0.86"/>
    <n v="0"/>
    <n v="1"/>
    <n v="40"/>
    <n v="41"/>
    <x v="1"/>
    <x v="1"/>
    <x v="2"/>
    <x v="0"/>
    <x v="0"/>
    <n v="0.22929155386993369"/>
    <n v="-0.25435329828790432"/>
  </r>
  <r>
    <n v="611"/>
    <d v="2011-01-28T00:00:00"/>
    <n v="1"/>
    <n v="0"/>
    <x v="0"/>
    <x v="16"/>
    <b v="0"/>
    <n v="5"/>
    <n v="1"/>
    <x v="1"/>
    <n v="0.2727"/>
    <n v="0.8"/>
    <n v="0"/>
    <n v="10"/>
    <n v="70"/>
    <n v="80"/>
    <x v="1"/>
    <x v="0"/>
    <x v="2"/>
    <x v="0"/>
    <x v="0"/>
    <n v="0.22929155386993369"/>
    <n v="-0.25435329828790432"/>
  </r>
  <r>
    <n v="612"/>
    <d v="2011-01-28T00:00:00"/>
    <n v="1"/>
    <n v="0"/>
    <x v="0"/>
    <x v="17"/>
    <b v="0"/>
    <n v="5"/>
    <n v="1"/>
    <x v="0"/>
    <n v="0.2424"/>
    <n v="0.75"/>
    <n v="0.1343"/>
    <n v="2"/>
    <n v="147"/>
    <n v="149"/>
    <x v="1"/>
    <x v="0"/>
    <x v="3"/>
    <x v="0"/>
    <x v="0"/>
    <n v="0.22929155386993369"/>
    <n v="-0.25435329828790432"/>
  </r>
  <r>
    <n v="613"/>
    <d v="2011-01-28T00:00:00"/>
    <n v="1"/>
    <n v="0"/>
    <x v="0"/>
    <x v="18"/>
    <b v="0"/>
    <n v="5"/>
    <n v="1"/>
    <x v="0"/>
    <n v="0.2273"/>
    <n v="0.75"/>
    <n v="0.19400000000000001"/>
    <n v="2"/>
    <n v="107"/>
    <n v="109"/>
    <x v="1"/>
    <x v="0"/>
    <x v="3"/>
    <x v="0"/>
    <x v="0"/>
    <n v="0.22929155386993369"/>
    <n v="-0.25435329828790432"/>
  </r>
  <r>
    <n v="614"/>
    <d v="2011-01-28T00:00:00"/>
    <n v="1"/>
    <n v="0"/>
    <x v="0"/>
    <x v="19"/>
    <b v="0"/>
    <n v="5"/>
    <n v="2"/>
    <x v="0"/>
    <n v="0.2424"/>
    <n v="0.75"/>
    <n v="0.1343"/>
    <n v="5"/>
    <n v="84"/>
    <n v="89"/>
    <x v="1"/>
    <x v="1"/>
    <x v="3"/>
    <x v="0"/>
    <x v="0"/>
    <n v="0.22929155386993369"/>
    <n v="-0.25435329828790432"/>
  </r>
  <r>
    <n v="615"/>
    <d v="2011-01-28T00:00:00"/>
    <n v="1"/>
    <n v="0"/>
    <x v="0"/>
    <x v="20"/>
    <b v="0"/>
    <n v="5"/>
    <n v="2"/>
    <x v="0"/>
    <n v="0.2273"/>
    <n v="0.7"/>
    <n v="0.19400000000000001"/>
    <n v="1"/>
    <n v="61"/>
    <n v="62"/>
    <x v="1"/>
    <x v="1"/>
    <x v="3"/>
    <x v="0"/>
    <x v="0"/>
    <n v="0.22929155386993369"/>
    <n v="-0.25435329828790432"/>
  </r>
  <r>
    <n v="616"/>
    <d v="2011-01-28T00:00:00"/>
    <n v="1"/>
    <n v="0"/>
    <x v="0"/>
    <x v="21"/>
    <b v="0"/>
    <n v="5"/>
    <n v="2"/>
    <x v="1"/>
    <n v="0.2273"/>
    <n v="0.75"/>
    <n v="0.1343"/>
    <n v="1"/>
    <n v="57"/>
    <n v="58"/>
    <x v="1"/>
    <x v="1"/>
    <x v="0"/>
    <x v="0"/>
    <x v="0"/>
    <n v="0.22929155386993369"/>
    <n v="-0.25435329828790432"/>
  </r>
  <r>
    <n v="617"/>
    <d v="2011-01-28T00:00:00"/>
    <n v="1"/>
    <n v="0"/>
    <x v="0"/>
    <x v="22"/>
    <b v="0"/>
    <n v="5"/>
    <n v="1"/>
    <x v="0"/>
    <n v="0.21210000000000001"/>
    <n v="0.65"/>
    <n v="0.35820000000000002"/>
    <n v="0"/>
    <n v="26"/>
    <n v="26"/>
    <x v="1"/>
    <x v="0"/>
    <x v="0"/>
    <x v="0"/>
    <x v="0"/>
    <n v="0.22929155386993369"/>
    <n v="-0.25435329828790432"/>
  </r>
  <r>
    <n v="618"/>
    <d v="2011-01-28T00:00:00"/>
    <n v="1"/>
    <n v="0"/>
    <x v="0"/>
    <x v="23"/>
    <b v="0"/>
    <n v="5"/>
    <n v="1"/>
    <x v="0"/>
    <n v="0.2273"/>
    <n v="0.6"/>
    <n v="0.22389999999999999"/>
    <n v="1"/>
    <n v="22"/>
    <n v="23"/>
    <x v="1"/>
    <x v="0"/>
    <x v="0"/>
    <x v="0"/>
    <x v="0"/>
    <n v="0.22929155386993369"/>
    <n v="-0.25435329828790432"/>
  </r>
  <r>
    <n v="619"/>
    <d v="2011-01-29T00:00:00"/>
    <n v="1"/>
    <n v="0"/>
    <x v="0"/>
    <x v="0"/>
    <b v="0"/>
    <n v="6"/>
    <n v="1"/>
    <x v="1"/>
    <n v="0.19700000000000001"/>
    <n v="0.64"/>
    <n v="0.35820000000000002"/>
    <n v="2"/>
    <n v="26"/>
    <n v="28"/>
    <x v="0"/>
    <x v="0"/>
    <x v="0"/>
    <x v="0"/>
    <x v="0"/>
    <n v="0.22929155386993369"/>
    <n v="-0.25435329828790432"/>
  </r>
  <r>
    <n v="620"/>
    <d v="2011-01-29T00:00:00"/>
    <n v="1"/>
    <n v="0"/>
    <x v="0"/>
    <x v="1"/>
    <b v="0"/>
    <n v="6"/>
    <n v="1"/>
    <x v="1"/>
    <n v="0.2273"/>
    <n v="0.64"/>
    <n v="0.19400000000000001"/>
    <n v="0"/>
    <n v="20"/>
    <n v="20"/>
    <x v="0"/>
    <x v="0"/>
    <x v="0"/>
    <x v="0"/>
    <x v="0"/>
    <n v="0.22929155386993369"/>
    <n v="-0.25435329828790432"/>
  </r>
  <r>
    <n v="621"/>
    <d v="2011-01-29T00:00:00"/>
    <n v="1"/>
    <n v="0"/>
    <x v="0"/>
    <x v="2"/>
    <b v="0"/>
    <n v="6"/>
    <n v="1"/>
    <x v="1"/>
    <n v="0.2273"/>
    <n v="0.64"/>
    <n v="0.16420000000000001"/>
    <n v="0"/>
    <n v="15"/>
    <n v="15"/>
    <x v="0"/>
    <x v="0"/>
    <x v="0"/>
    <x v="0"/>
    <x v="0"/>
    <n v="0.22929155386993369"/>
    <n v="-0.25435329828790432"/>
  </r>
  <r>
    <n v="622"/>
    <d v="2011-01-29T00:00:00"/>
    <n v="1"/>
    <n v="0"/>
    <x v="0"/>
    <x v="3"/>
    <b v="0"/>
    <n v="6"/>
    <n v="1"/>
    <x v="2"/>
    <n v="0.21210000000000001"/>
    <n v="0.64"/>
    <n v="0.1343"/>
    <n v="3"/>
    <n v="5"/>
    <n v="8"/>
    <x v="0"/>
    <x v="0"/>
    <x v="0"/>
    <x v="0"/>
    <x v="0"/>
    <n v="0.22929155386993369"/>
    <n v="-0.25435329828790432"/>
  </r>
  <r>
    <n v="623"/>
    <d v="2011-01-29T00:00:00"/>
    <n v="1"/>
    <n v="0"/>
    <x v="0"/>
    <x v="4"/>
    <b v="0"/>
    <n v="6"/>
    <n v="1"/>
    <x v="13"/>
    <n v="0.18179999999999999"/>
    <n v="0.69"/>
    <n v="0.1045"/>
    <n v="1"/>
    <n v="2"/>
    <n v="3"/>
    <x v="0"/>
    <x v="0"/>
    <x v="0"/>
    <x v="0"/>
    <x v="0"/>
    <n v="0.22929155386993369"/>
    <n v="-0.25435329828790432"/>
  </r>
  <r>
    <n v="624"/>
    <d v="2011-01-29T00:00:00"/>
    <n v="1"/>
    <n v="0"/>
    <x v="0"/>
    <x v="6"/>
    <b v="0"/>
    <n v="6"/>
    <n v="1"/>
    <x v="13"/>
    <n v="0.18179999999999999"/>
    <n v="0.64"/>
    <n v="0.1343"/>
    <n v="0"/>
    <n v="2"/>
    <n v="2"/>
    <x v="0"/>
    <x v="0"/>
    <x v="1"/>
    <x v="0"/>
    <x v="0"/>
    <n v="0.22929155386993369"/>
    <n v="-0.25435329828790432"/>
  </r>
  <r>
    <n v="625"/>
    <d v="2011-01-29T00:00:00"/>
    <n v="1"/>
    <n v="0"/>
    <x v="0"/>
    <x v="7"/>
    <b v="0"/>
    <n v="6"/>
    <n v="1"/>
    <x v="13"/>
    <n v="0.18179999999999999"/>
    <n v="0.59"/>
    <n v="0.1045"/>
    <n v="1"/>
    <n v="4"/>
    <n v="5"/>
    <x v="0"/>
    <x v="0"/>
    <x v="1"/>
    <x v="0"/>
    <x v="0"/>
    <n v="0.22929155386993369"/>
    <n v="-0.25435329828790432"/>
  </r>
  <r>
    <n v="626"/>
    <d v="2011-01-29T00:00:00"/>
    <n v="1"/>
    <n v="0"/>
    <x v="0"/>
    <x v="8"/>
    <b v="0"/>
    <n v="6"/>
    <n v="1"/>
    <x v="15"/>
    <n v="0.19700000000000001"/>
    <n v="0.55000000000000004"/>
    <n v="0.16420000000000001"/>
    <n v="3"/>
    <n v="31"/>
    <n v="34"/>
    <x v="0"/>
    <x v="0"/>
    <x v="1"/>
    <x v="0"/>
    <x v="0"/>
    <n v="0.22929155386993369"/>
    <n v="-0.25435329828790432"/>
  </r>
  <r>
    <n v="627"/>
    <d v="2011-01-29T00:00:00"/>
    <n v="1"/>
    <n v="0"/>
    <x v="0"/>
    <x v="9"/>
    <b v="0"/>
    <n v="6"/>
    <n v="1"/>
    <x v="15"/>
    <n v="0.21210000000000001"/>
    <n v="0.59"/>
    <n v="8.9599999999999999E-2"/>
    <n v="0"/>
    <n v="34"/>
    <n v="34"/>
    <x v="0"/>
    <x v="0"/>
    <x v="1"/>
    <x v="0"/>
    <x v="0"/>
    <n v="0.22929155386993369"/>
    <n v="-0.25435329828790432"/>
  </r>
  <r>
    <n v="628"/>
    <d v="2011-01-29T00:00:00"/>
    <n v="1"/>
    <n v="0"/>
    <x v="0"/>
    <x v="10"/>
    <b v="0"/>
    <n v="6"/>
    <n v="2"/>
    <x v="15"/>
    <n v="0.21210000000000001"/>
    <n v="0.64"/>
    <n v="0.1045"/>
    <n v="4"/>
    <n v="51"/>
    <n v="55"/>
    <x v="0"/>
    <x v="1"/>
    <x v="1"/>
    <x v="0"/>
    <x v="0"/>
    <n v="0.22929155386993369"/>
    <n v="-0.25435329828790432"/>
  </r>
  <r>
    <n v="629"/>
    <d v="2011-01-29T00:00:00"/>
    <n v="1"/>
    <n v="0"/>
    <x v="0"/>
    <x v="11"/>
    <b v="0"/>
    <n v="6"/>
    <n v="2"/>
    <x v="15"/>
    <n v="0.19700000000000001"/>
    <n v="0.64"/>
    <n v="0.1343"/>
    <n v="4"/>
    <n v="60"/>
    <n v="64"/>
    <x v="0"/>
    <x v="1"/>
    <x v="1"/>
    <x v="0"/>
    <x v="0"/>
    <n v="0.22929155386993369"/>
    <n v="-0.25435329828790432"/>
  </r>
  <r>
    <n v="630"/>
    <d v="2011-01-29T00:00:00"/>
    <n v="1"/>
    <n v="0"/>
    <x v="0"/>
    <x v="12"/>
    <b v="0"/>
    <n v="6"/>
    <n v="2"/>
    <x v="2"/>
    <n v="0.19700000000000001"/>
    <n v="0.59"/>
    <n v="0.19400000000000001"/>
    <n v="12"/>
    <n v="66"/>
    <n v="78"/>
    <x v="0"/>
    <x v="1"/>
    <x v="2"/>
    <x v="0"/>
    <x v="0"/>
    <n v="0.22929155386993369"/>
    <n v="-0.25435329828790432"/>
  </r>
  <r>
    <n v="631"/>
    <d v="2011-01-29T00:00:00"/>
    <n v="1"/>
    <n v="0"/>
    <x v="0"/>
    <x v="13"/>
    <b v="0"/>
    <n v="6"/>
    <n v="2"/>
    <x v="1"/>
    <n v="0.2273"/>
    <n v="0.55000000000000004"/>
    <n v="0.16420000000000001"/>
    <n v="9"/>
    <n v="56"/>
    <n v="65"/>
    <x v="0"/>
    <x v="1"/>
    <x v="2"/>
    <x v="0"/>
    <x v="0"/>
    <n v="0.22929155386993369"/>
    <n v="-0.25435329828790432"/>
  </r>
  <r>
    <n v="632"/>
    <d v="2011-01-29T00:00:00"/>
    <n v="1"/>
    <n v="0"/>
    <x v="0"/>
    <x v="14"/>
    <b v="0"/>
    <n v="6"/>
    <n v="2"/>
    <x v="1"/>
    <n v="0.2273"/>
    <n v="0.6"/>
    <n v="0.1343"/>
    <n v="10"/>
    <n v="89"/>
    <n v="99"/>
    <x v="0"/>
    <x v="1"/>
    <x v="2"/>
    <x v="0"/>
    <x v="0"/>
    <n v="0.22929155386993369"/>
    <n v="-0.25435329828790432"/>
  </r>
  <r>
    <n v="633"/>
    <d v="2011-01-29T00:00:00"/>
    <n v="1"/>
    <n v="0"/>
    <x v="0"/>
    <x v="15"/>
    <b v="0"/>
    <n v="6"/>
    <n v="1"/>
    <x v="1"/>
    <n v="0.21210000000000001"/>
    <n v="0.69"/>
    <n v="0.25369999999999998"/>
    <n v="22"/>
    <n v="98"/>
    <n v="120"/>
    <x v="0"/>
    <x v="0"/>
    <x v="2"/>
    <x v="0"/>
    <x v="0"/>
    <n v="0.22929155386993369"/>
    <n v="-0.25435329828790432"/>
  </r>
  <r>
    <n v="634"/>
    <d v="2011-01-29T00:00:00"/>
    <n v="1"/>
    <n v="0"/>
    <x v="0"/>
    <x v="16"/>
    <b v="0"/>
    <n v="6"/>
    <n v="1"/>
    <x v="0"/>
    <n v="0.2424"/>
    <n v="0.6"/>
    <n v="0.16420000000000001"/>
    <n v="19"/>
    <n v="88"/>
    <n v="107"/>
    <x v="0"/>
    <x v="0"/>
    <x v="2"/>
    <x v="0"/>
    <x v="0"/>
    <n v="0.22929155386993369"/>
    <n v="-0.25435329828790432"/>
  </r>
  <r>
    <n v="635"/>
    <d v="2011-01-29T00:00:00"/>
    <n v="1"/>
    <n v="0"/>
    <x v="0"/>
    <x v="17"/>
    <b v="0"/>
    <n v="6"/>
    <n v="1"/>
    <x v="0"/>
    <n v="0.28789999999999999"/>
    <n v="0.6"/>
    <n v="0"/>
    <n v="9"/>
    <n v="82"/>
    <n v="91"/>
    <x v="0"/>
    <x v="0"/>
    <x v="3"/>
    <x v="0"/>
    <x v="0"/>
    <n v="0.22929155386993369"/>
    <n v="-0.25435329828790432"/>
  </r>
  <r>
    <n v="636"/>
    <d v="2011-01-29T00:00:00"/>
    <n v="1"/>
    <n v="0"/>
    <x v="0"/>
    <x v="18"/>
    <b v="0"/>
    <n v="6"/>
    <n v="1"/>
    <x v="1"/>
    <n v="0.2273"/>
    <n v="0.69"/>
    <n v="0.1343"/>
    <n v="9"/>
    <n v="59"/>
    <n v="68"/>
    <x v="0"/>
    <x v="0"/>
    <x v="3"/>
    <x v="0"/>
    <x v="0"/>
    <n v="0.22929155386993369"/>
    <n v="-0.25435329828790432"/>
  </r>
  <r>
    <n v="637"/>
    <d v="2011-01-29T00:00:00"/>
    <n v="1"/>
    <n v="0"/>
    <x v="0"/>
    <x v="19"/>
    <b v="0"/>
    <n v="6"/>
    <n v="2"/>
    <x v="1"/>
    <n v="0.21210000000000001"/>
    <n v="0.69"/>
    <n v="0.25369999999999998"/>
    <n v="6"/>
    <n v="52"/>
    <n v="58"/>
    <x v="0"/>
    <x v="1"/>
    <x v="3"/>
    <x v="0"/>
    <x v="0"/>
    <n v="0.22929155386993369"/>
    <n v="-0.25435329828790432"/>
  </r>
  <r>
    <n v="638"/>
    <d v="2011-01-29T00:00:00"/>
    <n v="1"/>
    <n v="0"/>
    <x v="0"/>
    <x v="20"/>
    <b v="0"/>
    <n v="6"/>
    <n v="1"/>
    <x v="15"/>
    <n v="0.21210000000000001"/>
    <n v="0.74"/>
    <n v="8.9599999999999999E-2"/>
    <n v="1"/>
    <n v="42"/>
    <n v="43"/>
    <x v="0"/>
    <x v="0"/>
    <x v="3"/>
    <x v="0"/>
    <x v="0"/>
    <n v="0.22929155386993369"/>
    <n v="-0.25435329828790432"/>
  </r>
  <r>
    <n v="639"/>
    <d v="2011-01-29T00:00:00"/>
    <n v="1"/>
    <n v="0"/>
    <x v="0"/>
    <x v="21"/>
    <b v="0"/>
    <n v="6"/>
    <n v="1"/>
    <x v="15"/>
    <n v="0.21210000000000001"/>
    <n v="0.74"/>
    <n v="8.9599999999999999E-2"/>
    <n v="1"/>
    <n v="35"/>
    <n v="36"/>
    <x v="0"/>
    <x v="0"/>
    <x v="0"/>
    <x v="0"/>
    <x v="0"/>
    <n v="0.22929155386993369"/>
    <n v="-0.25435329828790432"/>
  </r>
  <r>
    <n v="640"/>
    <d v="2011-01-29T00:00:00"/>
    <n v="1"/>
    <n v="0"/>
    <x v="0"/>
    <x v="22"/>
    <b v="0"/>
    <n v="6"/>
    <n v="1"/>
    <x v="13"/>
    <n v="0.19700000000000001"/>
    <n v="0.8"/>
    <n v="8.9599999999999999E-2"/>
    <n v="4"/>
    <n v="28"/>
    <n v="32"/>
    <x v="0"/>
    <x v="0"/>
    <x v="0"/>
    <x v="0"/>
    <x v="0"/>
    <n v="0.22929155386993369"/>
    <n v="-0.25435329828790432"/>
  </r>
  <r>
    <n v="641"/>
    <d v="2011-01-29T00:00:00"/>
    <n v="1"/>
    <n v="0"/>
    <x v="0"/>
    <x v="23"/>
    <b v="0"/>
    <n v="6"/>
    <n v="1"/>
    <x v="13"/>
    <n v="0.19700000000000001"/>
    <n v="0.8"/>
    <n v="8.9599999999999999E-2"/>
    <n v="3"/>
    <n v="30"/>
    <n v="33"/>
    <x v="0"/>
    <x v="0"/>
    <x v="0"/>
    <x v="0"/>
    <x v="0"/>
    <n v="0.22929155386993369"/>
    <n v="-0.25435329828790432"/>
  </r>
  <r>
    <n v="642"/>
    <d v="2011-01-30T00:00:00"/>
    <n v="1"/>
    <n v="0"/>
    <x v="0"/>
    <x v="0"/>
    <b v="0"/>
    <n v="0"/>
    <n v="1"/>
    <x v="13"/>
    <n v="0.18179999999999999"/>
    <n v="0.8"/>
    <n v="0.1045"/>
    <n v="0"/>
    <n v="33"/>
    <n v="33"/>
    <x v="0"/>
    <x v="0"/>
    <x v="0"/>
    <x v="0"/>
    <x v="0"/>
    <n v="0.22929155386993369"/>
    <n v="-0.25435329828790432"/>
  </r>
  <r>
    <n v="643"/>
    <d v="2011-01-30T00:00:00"/>
    <n v="1"/>
    <n v="0"/>
    <x v="0"/>
    <x v="1"/>
    <b v="0"/>
    <n v="0"/>
    <n v="1"/>
    <x v="14"/>
    <n v="0.21210000000000001"/>
    <n v="0.8"/>
    <n v="0"/>
    <n v="7"/>
    <n v="22"/>
    <n v="29"/>
    <x v="0"/>
    <x v="0"/>
    <x v="0"/>
    <x v="0"/>
    <x v="0"/>
    <n v="0.22929155386993369"/>
    <n v="-0.25435329828790432"/>
  </r>
  <r>
    <n v="644"/>
    <d v="2011-01-30T00:00:00"/>
    <n v="1"/>
    <n v="0"/>
    <x v="0"/>
    <x v="2"/>
    <b v="0"/>
    <n v="0"/>
    <n v="1"/>
    <x v="13"/>
    <n v="0.2273"/>
    <n v="0.8"/>
    <n v="0"/>
    <n v="1"/>
    <n v="10"/>
    <n v="11"/>
    <x v="0"/>
    <x v="0"/>
    <x v="0"/>
    <x v="0"/>
    <x v="0"/>
    <n v="0.22929155386993369"/>
    <n v="-0.25435329828790432"/>
  </r>
  <r>
    <n v="645"/>
    <d v="2011-01-30T00:00:00"/>
    <n v="1"/>
    <n v="0"/>
    <x v="0"/>
    <x v="3"/>
    <b v="0"/>
    <n v="0"/>
    <n v="1"/>
    <x v="14"/>
    <n v="0.21210000000000001"/>
    <n v="0.93"/>
    <n v="0"/>
    <n v="1"/>
    <n v="7"/>
    <n v="8"/>
    <x v="0"/>
    <x v="0"/>
    <x v="0"/>
    <x v="0"/>
    <x v="0"/>
    <n v="0.22929155386993369"/>
    <n v="-0.25435329828790432"/>
  </r>
  <r>
    <n v="646"/>
    <d v="2011-01-30T00:00:00"/>
    <n v="1"/>
    <n v="0"/>
    <x v="0"/>
    <x v="4"/>
    <b v="0"/>
    <n v="0"/>
    <n v="1"/>
    <x v="14"/>
    <n v="0.21210000000000001"/>
    <n v="0.93"/>
    <n v="0"/>
    <n v="0"/>
    <n v="1"/>
    <n v="1"/>
    <x v="0"/>
    <x v="0"/>
    <x v="0"/>
    <x v="0"/>
    <x v="0"/>
    <n v="0.22929155386993369"/>
    <n v="-0.25435329828790432"/>
  </r>
  <r>
    <n v="647"/>
    <d v="2011-01-30T00:00:00"/>
    <n v="1"/>
    <n v="0"/>
    <x v="0"/>
    <x v="5"/>
    <b v="0"/>
    <n v="0"/>
    <n v="1"/>
    <x v="14"/>
    <n v="0.21210000000000001"/>
    <n v="0.86"/>
    <n v="0"/>
    <n v="0"/>
    <n v="3"/>
    <n v="3"/>
    <x v="0"/>
    <x v="0"/>
    <x v="0"/>
    <x v="0"/>
    <x v="0"/>
    <n v="0.22929155386993369"/>
    <n v="-0.25435329828790432"/>
  </r>
  <r>
    <n v="648"/>
    <d v="2011-01-30T00:00:00"/>
    <n v="1"/>
    <n v="0"/>
    <x v="0"/>
    <x v="7"/>
    <b v="0"/>
    <n v="0"/>
    <n v="1"/>
    <x v="14"/>
    <n v="0.21210000000000001"/>
    <n v="0.86"/>
    <n v="0"/>
    <n v="0"/>
    <n v="3"/>
    <n v="3"/>
    <x v="0"/>
    <x v="0"/>
    <x v="1"/>
    <x v="0"/>
    <x v="0"/>
    <n v="0.22929155386993369"/>
    <n v="-0.25435329828790432"/>
  </r>
  <r>
    <n v="649"/>
    <d v="2011-01-30T00:00:00"/>
    <n v="1"/>
    <n v="0"/>
    <x v="0"/>
    <x v="8"/>
    <b v="0"/>
    <n v="0"/>
    <n v="2"/>
    <x v="14"/>
    <n v="0.21210000000000001"/>
    <n v="0.86"/>
    <n v="0"/>
    <n v="1"/>
    <n v="11"/>
    <n v="12"/>
    <x v="0"/>
    <x v="1"/>
    <x v="1"/>
    <x v="0"/>
    <x v="0"/>
    <n v="0.22929155386993369"/>
    <n v="-0.25435329828790432"/>
  </r>
  <r>
    <n v="650"/>
    <d v="2011-01-30T00:00:00"/>
    <n v="1"/>
    <n v="0"/>
    <x v="0"/>
    <x v="9"/>
    <b v="0"/>
    <n v="0"/>
    <n v="2"/>
    <x v="13"/>
    <n v="0.2273"/>
    <n v="0.8"/>
    <n v="0"/>
    <n v="4"/>
    <n v="34"/>
    <n v="38"/>
    <x v="0"/>
    <x v="1"/>
    <x v="1"/>
    <x v="0"/>
    <x v="0"/>
    <n v="0.22929155386993369"/>
    <n v="-0.25435329828790432"/>
  </r>
  <r>
    <n v="651"/>
    <d v="2011-01-30T00:00:00"/>
    <n v="1"/>
    <n v="0"/>
    <x v="0"/>
    <x v="10"/>
    <b v="0"/>
    <n v="0"/>
    <n v="2"/>
    <x v="15"/>
    <n v="0.2424"/>
    <n v="0.8"/>
    <n v="0"/>
    <n v="7"/>
    <n v="57"/>
    <n v="64"/>
    <x v="0"/>
    <x v="1"/>
    <x v="1"/>
    <x v="0"/>
    <x v="0"/>
    <n v="0.22929155386993369"/>
    <n v="-0.25435329828790432"/>
  </r>
  <r>
    <n v="652"/>
    <d v="2011-01-30T00:00:00"/>
    <n v="1"/>
    <n v="0"/>
    <x v="0"/>
    <x v="11"/>
    <b v="0"/>
    <n v="0"/>
    <n v="1"/>
    <x v="1"/>
    <n v="0.2727"/>
    <n v="0.75"/>
    <n v="0"/>
    <n v="9"/>
    <n v="50"/>
    <n v="59"/>
    <x v="0"/>
    <x v="0"/>
    <x v="1"/>
    <x v="0"/>
    <x v="0"/>
    <n v="0.22929155386993369"/>
    <n v="-0.25435329828790432"/>
  </r>
  <r>
    <n v="653"/>
    <d v="2011-01-30T00:00:00"/>
    <n v="1"/>
    <n v="0"/>
    <x v="0"/>
    <x v="12"/>
    <b v="0"/>
    <n v="0"/>
    <n v="1"/>
    <x v="11"/>
    <n v="0.31819999999999998"/>
    <n v="0.52"/>
    <n v="0.1045"/>
    <n v="10"/>
    <n v="87"/>
    <n v="97"/>
    <x v="0"/>
    <x v="0"/>
    <x v="2"/>
    <x v="0"/>
    <x v="0"/>
    <n v="0.22929155386993369"/>
    <n v="-0.25435329828790432"/>
  </r>
  <r>
    <n v="654"/>
    <d v="2011-01-30T00:00:00"/>
    <n v="1"/>
    <n v="0"/>
    <x v="0"/>
    <x v="13"/>
    <b v="0"/>
    <n v="0"/>
    <n v="1"/>
    <x v="17"/>
    <n v="0.28789999999999999"/>
    <n v="0.61"/>
    <n v="0.1045"/>
    <n v="13"/>
    <n v="71"/>
    <n v="84"/>
    <x v="0"/>
    <x v="0"/>
    <x v="2"/>
    <x v="0"/>
    <x v="0"/>
    <n v="0.22929155386993369"/>
    <n v="-0.25435329828790432"/>
  </r>
  <r>
    <n v="655"/>
    <d v="2011-01-30T00:00:00"/>
    <n v="1"/>
    <n v="0"/>
    <x v="0"/>
    <x v="14"/>
    <b v="0"/>
    <n v="0"/>
    <n v="1"/>
    <x v="17"/>
    <n v="0.30299999999999999"/>
    <n v="0.61"/>
    <n v="8.9599999999999999E-2"/>
    <n v="18"/>
    <n v="104"/>
    <n v="122"/>
    <x v="0"/>
    <x v="0"/>
    <x v="2"/>
    <x v="0"/>
    <x v="0"/>
    <n v="0.22929155386993369"/>
    <n v="-0.25435329828790432"/>
  </r>
  <r>
    <n v="656"/>
    <d v="2011-01-30T00:00:00"/>
    <n v="1"/>
    <n v="0"/>
    <x v="0"/>
    <x v="15"/>
    <b v="0"/>
    <n v="0"/>
    <n v="1"/>
    <x v="11"/>
    <n v="0.33329999999999999"/>
    <n v="0.56000000000000005"/>
    <n v="0"/>
    <n v="14"/>
    <n v="95"/>
    <n v="109"/>
    <x v="0"/>
    <x v="0"/>
    <x v="2"/>
    <x v="0"/>
    <x v="0"/>
    <n v="0.22929155386993369"/>
    <n v="-0.25435329828790432"/>
  </r>
  <r>
    <n v="657"/>
    <d v="2011-01-30T00:00:00"/>
    <n v="1"/>
    <n v="0"/>
    <x v="0"/>
    <x v="16"/>
    <b v="0"/>
    <n v="0"/>
    <n v="1"/>
    <x v="11"/>
    <n v="0.33329999999999999"/>
    <n v="0.56000000000000005"/>
    <n v="0"/>
    <n v="19"/>
    <n v="104"/>
    <n v="123"/>
    <x v="0"/>
    <x v="0"/>
    <x v="2"/>
    <x v="0"/>
    <x v="0"/>
    <n v="0.22929155386993369"/>
    <n v="-0.25435329828790432"/>
  </r>
  <r>
    <n v="658"/>
    <d v="2011-01-30T00:00:00"/>
    <n v="1"/>
    <n v="0"/>
    <x v="0"/>
    <x v="17"/>
    <b v="0"/>
    <n v="0"/>
    <n v="1"/>
    <x v="11"/>
    <n v="0.28789999999999999"/>
    <n v="0.56000000000000005"/>
    <n v="0.19400000000000001"/>
    <n v="6"/>
    <n v="71"/>
    <n v="77"/>
    <x v="0"/>
    <x v="0"/>
    <x v="3"/>
    <x v="0"/>
    <x v="0"/>
    <n v="0.22929155386993369"/>
    <n v="-0.25435329828790432"/>
  </r>
  <r>
    <n v="659"/>
    <d v="2011-01-30T00:00:00"/>
    <n v="1"/>
    <n v="0"/>
    <x v="0"/>
    <x v="18"/>
    <b v="0"/>
    <n v="0"/>
    <n v="1"/>
    <x v="12"/>
    <n v="0.2576"/>
    <n v="0.65"/>
    <n v="0.16420000000000001"/>
    <n v="8"/>
    <n v="57"/>
    <n v="65"/>
    <x v="0"/>
    <x v="0"/>
    <x v="3"/>
    <x v="0"/>
    <x v="0"/>
    <n v="0.22929155386993369"/>
    <n v="-0.25435329828790432"/>
  </r>
  <r>
    <n v="660"/>
    <d v="2011-01-30T00:00:00"/>
    <n v="1"/>
    <n v="0"/>
    <x v="0"/>
    <x v="19"/>
    <b v="0"/>
    <n v="0"/>
    <n v="1"/>
    <x v="12"/>
    <n v="0.2576"/>
    <n v="0.65"/>
    <n v="0.19400000000000001"/>
    <n v="9"/>
    <n v="46"/>
    <n v="55"/>
    <x v="0"/>
    <x v="0"/>
    <x v="3"/>
    <x v="0"/>
    <x v="0"/>
    <n v="0.22929155386993369"/>
    <n v="-0.25435329828790432"/>
  </r>
  <r>
    <n v="661"/>
    <d v="2011-01-30T00:00:00"/>
    <n v="1"/>
    <n v="0"/>
    <x v="0"/>
    <x v="20"/>
    <b v="0"/>
    <n v="0"/>
    <n v="2"/>
    <x v="12"/>
    <n v="0.2727"/>
    <n v="0.65"/>
    <n v="0.1045"/>
    <n v="3"/>
    <n v="30"/>
    <n v="33"/>
    <x v="0"/>
    <x v="1"/>
    <x v="3"/>
    <x v="0"/>
    <x v="0"/>
    <n v="0.22929155386993369"/>
    <n v="-0.25435329828790432"/>
  </r>
  <r>
    <n v="662"/>
    <d v="2011-01-30T00:00:00"/>
    <n v="1"/>
    <n v="0"/>
    <x v="0"/>
    <x v="21"/>
    <b v="0"/>
    <n v="0"/>
    <n v="2"/>
    <x v="0"/>
    <n v="0.2424"/>
    <n v="0.7"/>
    <n v="0.16420000000000001"/>
    <n v="3"/>
    <n v="25"/>
    <n v="28"/>
    <x v="0"/>
    <x v="1"/>
    <x v="0"/>
    <x v="0"/>
    <x v="0"/>
    <n v="0.22929155386993369"/>
    <n v="-0.25435329828790432"/>
  </r>
  <r>
    <n v="663"/>
    <d v="2011-01-30T00:00:00"/>
    <n v="1"/>
    <n v="0"/>
    <x v="0"/>
    <x v="22"/>
    <b v="0"/>
    <n v="0"/>
    <n v="2"/>
    <x v="0"/>
    <n v="0.2273"/>
    <n v="0.7"/>
    <n v="0.19400000000000001"/>
    <n v="2"/>
    <n v="19"/>
    <n v="21"/>
    <x v="0"/>
    <x v="1"/>
    <x v="0"/>
    <x v="0"/>
    <x v="0"/>
    <n v="0.22929155386993369"/>
    <n v="-0.25435329828790432"/>
  </r>
  <r>
    <n v="664"/>
    <d v="2011-01-30T00:00:00"/>
    <n v="1"/>
    <n v="0"/>
    <x v="0"/>
    <x v="23"/>
    <b v="0"/>
    <n v="0"/>
    <n v="2"/>
    <x v="0"/>
    <n v="0.21210000000000001"/>
    <n v="0.65"/>
    <n v="0.28360000000000002"/>
    <n v="5"/>
    <n v="16"/>
    <n v="21"/>
    <x v="0"/>
    <x v="1"/>
    <x v="0"/>
    <x v="0"/>
    <x v="0"/>
    <n v="0.22929155386993369"/>
    <n v="-0.25435329828790432"/>
  </r>
  <r>
    <n v="665"/>
    <d v="2011-01-31T00:00:00"/>
    <n v="1"/>
    <n v="0"/>
    <x v="0"/>
    <x v="0"/>
    <b v="0"/>
    <n v="1"/>
    <n v="2"/>
    <x v="0"/>
    <n v="0.2273"/>
    <n v="0.65"/>
    <n v="0.22389999999999999"/>
    <n v="1"/>
    <n v="6"/>
    <n v="7"/>
    <x v="1"/>
    <x v="1"/>
    <x v="0"/>
    <x v="0"/>
    <x v="0"/>
    <n v="0.22929155386993369"/>
    <n v="-0.25435329828790432"/>
  </r>
  <r>
    <n v="666"/>
    <d v="2011-01-31T00:00:00"/>
    <n v="1"/>
    <n v="0"/>
    <x v="0"/>
    <x v="1"/>
    <b v="0"/>
    <n v="1"/>
    <n v="1"/>
    <x v="1"/>
    <n v="0.21210000000000001"/>
    <n v="0.64"/>
    <n v="0.25369999999999998"/>
    <n v="2"/>
    <n v="5"/>
    <n v="7"/>
    <x v="1"/>
    <x v="0"/>
    <x v="0"/>
    <x v="0"/>
    <x v="0"/>
    <n v="0.22929155386993369"/>
    <n v="-0.25435329828790432"/>
  </r>
  <r>
    <n v="667"/>
    <d v="2011-01-31T00:00:00"/>
    <n v="1"/>
    <n v="0"/>
    <x v="0"/>
    <x v="2"/>
    <b v="0"/>
    <n v="1"/>
    <n v="1"/>
    <x v="1"/>
    <n v="0.2273"/>
    <n v="0.64"/>
    <n v="0.19400000000000001"/>
    <n v="0"/>
    <n v="1"/>
    <n v="1"/>
    <x v="1"/>
    <x v="0"/>
    <x v="0"/>
    <x v="0"/>
    <x v="0"/>
    <n v="0.22929155386993369"/>
    <n v="-0.25435329828790432"/>
  </r>
  <r>
    <n v="668"/>
    <d v="2011-01-31T00:00:00"/>
    <n v="1"/>
    <n v="0"/>
    <x v="0"/>
    <x v="3"/>
    <b v="0"/>
    <n v="1"/>
    <n v="1"/>
    <x v="1"/>
    <n v="0.2273"/>
    <n v="0.64"/>
    <n v="0.19400000000000001"/>
    <n v="0"/>
    <n v="2"/>
    <n v="2"/>
    <x v="1"/>
    <x v="0"/>
    <x v="0"/>
    <x v="0"/>
    <x v="0"/>
    <n v="0.22929155386993369"/>
    <n v="-0.25435329828790432"/>
  </r>
  <r>
    <n v="669"/>
    <d v="2011-01-31T00:00:00"/>
    <n v="1"/>
    <n v="0"/>
    <x v="0"/>
    <x v="4"/>
    <b v="0"/>
    <n v="1"/>
    <n v="1"/>
    <x v="2"/>
    <n v="0.19700000000000001"/>
    <n v="0.59"/>
    <n v="0.22389999999999999"/>
    <n v="0"/>
    <n v="2"/>
    <n v="2"/>
    <x v="1"/>
    <x v="0"/>
    <x v="0"/>
    <x v="0"/>
    <x v="0"/>
    <n v="0.22929155386993369"/>
    <n v="-0.25435329828790432"/>
  </r>
  <r>
    <n v="670"/>
    <d v="2011-01-31T00:00:00"/>
    <n v="1"/>
    <n v="0"/>
    <x v="0"/>
    <x v="5"/>
    <b v="0"/>
    <n v="1"/>
    <n v="1"/>
    <x v="15"/>
    <n v="0.16669999999999999"/>
    <n v="0.64"/>
    <n v="0.28360000000000002"/>
    <n v="0"/>
    <n v="8"/>
    <n v="8"/>
    <x v="1"/>
    <x v="0"/>
    <x v="0"/>
    <x v="0"/>
    <x v="0"/>
    <n v="0.22929155386993369"/>
    <n v="-0.25435329828790432"/>
  </r>
  <r>
    <n v="671"/>
    <d v="2011-01-31T00:00:00"/>
    <n v="1"/>
    <n v="0"/>
    <x v="0"/>
    <x v="6"/>
    <b v="0"/>
    <n v="1"/>
    <n v="1"/>
    <x v="13"/>
    <n v="0.13639999999999999"/>
    <n v="0.69"/>
    <n v="0.32840000000000003"/>
    <n v="0"/>
    <n v="37"/>
    <n v="37"/>
    <x v="1"/>
    <x v="0"/>
    <x v="1"/>
    <x v="0"/>
    <x v="0"/>
    <n v="0.22929155386993369"/>
    <n v="-0.25435329828790432"/>
  </r>
  <r>
    <n v="672"/>
    <d v="2011-01-31T00:00:00"/>
    <n v="1"/>
    <n v="0"/>
    <x v="0"/>
    <x v="7"/>
    <b v="0"/>
    <n v="1"/>
    <n v="2"/>
    <x v="13"/>
    <n v="0.13639999999999999"/>
    <n v="0.64"/>
    <n v="0.28360000000000002"/>
    <n v="1"/>
    <n v="71"/>
    <n v="72"/>
    <x v="1"/>
    <x v="1"/>
    <x v="1"/>
    <x v="0"/>
    <x v="0"/>
    <n v="0.22929155386993369"/>
    <n v="-0.25435329828790432"/>
  </r>
  <r>
    <n v="673"/>
    <d v="2011-01-31T00:00:00"/>
    <n v="1"/>
    <n v="0"/>
    <x v="0"/>
    <x v="8"/>
    <b v="0"/>
    <n v="1"/>
    <n v="2"/>
    <x v="13"/>
    <n v="0.13639999999999999"/>
    <n v="0.59"/>
    <n v="0.28360000000000002"/>
    <n v="3"/>
    <n v="182"/>
    <n v="185"/>
    <x v="1"/>
    <x v="1"/>
    <x v="1"/>
    <x v="0"/>
    <x v="0"/>
    <n v="0.22929155386993369"/>
    <n v="-0.25435329828790432"/>
  </r>
  <r>
    <n v="674"/>
    <d v="2011-01-31T00:00:00"/>
    <n v="1"/>
    <n v="0"/>
    <x v="0"/>
    <x v="9"/>
    <b v="0"/>
    <n v="1"/>
    <n v="2"/>
    <x v="13"/>
    <n v="0.13639999999999999"/>
    <n v="0.59"/>
    <n v="0.29849999999999999"/>
    <n v="0"/>
    <n v="112"/>
    <n v="112"/>
    <x v="1"/>
    <x v="1"/>
    <x v="1"/>
    <x v="0"/>
    <x v="0"/>
    <n v="0.22929155386993369"/>
    <n v="-0.25435329828790432"/>
  </r>
  <r>
    <n v="675"/>
    <d v="2011-01-31T00:00:00"/>
    <n v="1"/>
    <n v="0"/>
    <x v="0"/>
    <x v="10"/>
    <b v="0"/>
    <n v="1"/>
    <n v="2"/>
    <x v="13"/>
    <n v="0.1515"/>
    <n v="0.59"/>
    <n v="0.19400000000000001"/>
    <n v="1"/>
    <n v="68"/>
    <n v="69"/>
    <x v="1"/>
    <x v="1"/>
    <x v="1"/>
    <x v="0"/>
    <x v="0"/>
    <n v="0.22929155386993369"/>
    <n v="-0.25435329828790432"/>
  </r>
  <r>
    <n v="676"/>
    <d v="2011-01-31T00:00:00"/>
    <n v="1"/>
    <n v="0"/>
    <x v="0"/>
    <x v="11"/>
    <b v="0"/>
    <n v="1"/>
    <n v="2"/>
    <x v="13"/>
    <n v="0.1515"/>
    <n v="0.59"/>
    <n v="0.19400000000000001"/>
    <n v="2"/>
    <n v="46"/>
    <n v="48"/>
    <x v="1"/>
    <x v="1"/>
    <x v="1"/>
    <x v="0"/>
    <x v="0"/>
    <n v="0.22929155386993369"/>
    <n v="-0.25435329828790432"/>
  </r>
  <r>
    <n v="677"/>
    <d v="2011-01-31T00:00:00"/>
    <n v="1"/>
    <n v="0"/>
    <x v="0"/>
    <x v="12"/>
    <b v="0"/>
    <n v="1"/>
    <n v="2"/>
    <x v="15"/>
    <n v="0.21210000000000001"/>
    <n v="0.55000000000000004"/>
    <n v="0.1045"/>
    <n v="6"/>
    <n v="62"/>
    <n v="68"/>
    <x v="1"/>
    <x v="1"/>
    <x v="2"/>
    <x v="0"/>
    <x v="0"/>
    <n v="0.22929155386993369"/>
    <n v="-0.25435329828790432"/>
  </r>
  <r>
    <n v="678"/>
    <d v="2011-01-31T00:00:00"/>
    <n v="1"/>
    <n v="0"/>
    <x v="0"/>
    <x v="13"/>
    <b v="0"/>
    <n v="1"/>
    <n v="2"/>
    <x v="13"/>
    <n v="0.2273"/>
    <n v="0.59"/>
    <n v="0"/>
    <n v="2"/>
    <n v="52"/>
    <n v="54"/>
    <x v="1"/>
    <x v="1"/>
    <x v="2"/>
    <x v="0"/>
    <x v="0"/>
    <n v="0.22929155386993369"/>
    <n v="-0.25435329828790432"/>
  </r>
  <r>
    <n v="679"/>
    <d v="2011-01-31T00:00:00"/>
    <n v="1"/>
    <n v="0"/>
    <x v="0"/>
    <x v="14"/>
    <b v="0"/>
    <n v="1"/>
    <n v="2"/>
    <x v="15"/>
    <n v="0.19700000000000001"/>
    <n v="0.55000000000000004"/>
    <n v="0.1343"/>
    <n v="1"/>
    <n v="85"/>
    <n v="86"/>
    <x v="1"/>
    <x v="1"/>
    <x v="2"/>
    <x v="0"/>
    <x v="0"/>
    <n v="0.22929155386993369"/>
    <n v="-0.25435329828790432"/>
  </r>
  <r>
    <n v="680"/>
    <d v="2011-01-31T00:00:00"/>
    <n v="1"/>
    <n v="0"/>
    <x v="0"/>
    <x v="15"/>
    <b v="0"/>
    <n v="1"/>
    <n v="2"/>
    <x v="13"/>
    <n v="0.18179999999999999"/>
    <n v="0.59"/>
    <n v="0.1343"/>
    <n v="3"/>
    <n v="41"/>
    <n v="44"/>
    <x v="1"/>
    <x v="1"/>
    <x v="2"/>
    <x v="0"/>
    <x v="0"/>
    <n v="0.22929155386993369"/>
    <n v="-0.25435329828790432"/>
  </r>
  <r>
    <n v="681"/>
    <d v="2011-01-31T00:00:00"/>
    <n v="1"/>
    <n v="0"/>
    <x v="0"/>
    <x v="16"/>
    <b v="0"/>
    <n v="1"/>
    <n v="2"/>
    <x v="13"/>
    <n v="0.18179999999999999"/>
    <n v="0.56000000000000005"/>
    <n v="0.19400000000000001"/>
    <n v="3"/>
    <n v="83"/>
    <n v="86"/>
    <x v="1"/>
    <x v="1"/>
    <x v="2"/>
    <x v="0"/>
    <x v="0"/>
    <n v="0.22929155386993369"/>
    <n v="-0.25435329828790432"/>
  </r>
  <r>
    <n v="682"/>
    <d v="2011-01-31T00:00:00"/>
    <n v="1"/>
    <n v="0"/>
    <x v="0"/>
    <x v="17"/>
    <b v="0"/>
    <n v="1"/>
    <n v="2"/>
    <x v="13"/>
    <n v="0.1515"/>
    <n v="0.59"/>
    <n v="0.19400000000000001"/>
    <n v="6"/>
    <n v="155"/>
    <n v="161"/>
    <x v="1"/>
    <x v="1"/>
    <x v="3"/>
    <x v="0"/>
    <x v="0"/>
    <n v="0.22929155386993369"/>
    <n v="-0.25435329828790432"/>
  </r>
  <r>
    <n v="683"/>
    <d v="2011-01-31T00:00:00"/>
    <n v="1"/>
    <n v="0"/>
    <x v="0"/>
    <x v="18"/>
    <b v="0"/>
    <n v="1"/>
    <n v="2"/>
    <x v="13"/>
    <n v="0.1515"/>
    <n v="0.55000000000000004"/>
    <n v="0.22389999999999999"/>
    <n v="3"/>
    <n v="153"/>
    <n v="156"/>
    <x v="1"/>
    <x v="1"/>
    <x v="3"/>
    <x v="0"/>
    <x v="0"/>
    <n v="0.22929155386993369"/>
    <n v="-0.25435329828790432"/>
  </r>
  <r>
    <n v="684"/>
    <d v="2011-01-31T00:00:00"/>
    <n v="1"/>
    <n v="0"/>
    <x v="0"/>
    <x v="19"/>
    <b v="0"/>
    <n v="1"/>
    <n v="1"/>
    <x v="11"/>
    <n v="0.31819999999999998"/>
    <n v="0.61"/>
    <n v="0.1045"/>
    <n v="3"/>
    <n v="108"/>
    <n v="111"/>
    <x v="1"/>
    <x v="0"/>
    <x v="3"/>
    <x v="0"/>
    <x v="0"/>
    <n v="0.22929155386993369"/>
    <n v="-0.25435329828790432"/>
  </r>
  <r>
    <n v="685"/>
    <d v="2011-01-31T00:00:00"/>
    <n v="1"/>
    <n v="0"/>
    <x v="0"/>
    <x v="20"/>
    <b v="0"/>
    <n v="1"/>
    <n v="3"/>
    <x v="13"/>
    <n v="0.16669999999999999"/>
    <n v="0.59"/>
    <n v="0.16420000000000001"/>
    <n v="0"/>
    <n v="78"/>
    <n v="78"/>
    <x v="1"/>
    <x v="2"/>
    <x v="3"/>
    <x v="0"/>
    <x v="0"/>
    <n v="0.22929155386993369"/>
    <n v="-0.25435329828790432"/>
  </r>
  <r>
    <n v="686"/>
    <d v="2011-01-31T00:00:00"/>
    <n v="1"/>
    <n v="0"/>
    <x v="0"/>
    <x v="21"/>
    <b v="0"/>
    <n v="1"/>
    <n v="3"/>
    <x v="13"/>
    <n v="0.19700000000000001"/>
    <n v="0.59"/>
    <n v="8.9599999999999999E-2"/>
    <n v="3"/>
    <n v="53"/>
    <n v="56"/>
    <x v="1"/>
    <x v="2"/>
    <x v="0"/>
    <x v="0"/>
    <x v="0"/>
    <n v="0.22929155386993369"/>
    <n v="-0.25435329828790432"/>
  </r>
  <r>
    <n v="687"/>
    <d v="2011-01-31T00:00:00"/>
    <n v="1"/>
    <n v="0"/>
    <x v="0"/>
    <x v="22"/>
    <b v="0"/>
    <n v="1"/>
    <n v="2"/>
    <x v="13"/>
    <n v="0.18179999999999999"/>
    <n v="0.59"/>
    <n v="0.1045"/>
    <n v="0"/>
    <n v="34"/>
    <n v="34"/>
    <x v="1"/>
    <x v="1"/>
    <x v="0"/>
    <x v="0"/>
    <x v="0"/>
    <n v="0.22929155386993369"/>
    <n v="-0.25435329828790432"/>
  </r>
  <r>
    <n v="688"/>
    <d v="2011-01-31T00:00:00"/>
    <n v="1"/>
    <n v="0"/>
    <x v="0"/>
    <x v="23"/>
    <b v="0"/>
    <n v="1"/>
    <n v="2"/>
    <x v="13"/>
    <n v="0.19700000000000001"/>
    <n v="0.64"/>
    <n v="8.9599999999999999E-2"/>
    <n v="2"/>
    <n v="15"/>
    <n v="17"/>
    <x v="1"/>
    <x v="1"/>
    <x v="0"/>
    <x v="0"/>
    <x v="0"/>
    <n v="0.22929155386993369"/>
    <n v="-0.25435329828790432"/>
  </r>
  <r>
    <n v="689"/>
    <d v="2011-02-01T00:00:00"/>
    <n v="1"/>
    <n v="0"/>
    <x v="1"/>
    <x v="0"/>
    <b v="0"/>
    <n v="2"/>
    <n v="2"/>
    <x v="13"/>
    <n v="0.18179999999999999"/>
    <n v="0.64"/>
    <n v="0.1045"/>
    <n v="2"/>
    <n v="6"/>
    <n v="8"/>
    <x v="1"/>
    <x v="1"/>
    <x v="0"/>
    <x v="1"/>
    <x v="0"/>
    <n v="0.22929155386993369"/>
    <n v="-0.25435329828790432"/>
  </r>
  <r>
    <n v="690"/>
    <d v="2011-02-01T00:00:00"/>
    <n v="1"/>
    <n v="0"/>
    <x v="1"/>
    <x v="1"/>
    <b v="0"/>
    <n v="2"/>
    <n v="2"/>
    <x v="13"/>
    <n v="0.18179999999999999"/>
    <n v="0.69"/>
    <n v="0.1045"/>
    <n v="0"/>
    <n v="3"/>
    <n v="3"/>
    <x v="1"/>
    <x v="1"/>
    <x v="0"/>
    <x v="1"/>
    <x v="0"/>
    <n v="0.22929155386993369"/>
    <n v="-0.25435329828790432"/>
  </r>
  <r>
    <n v="691"/>
    <d v="2011-02-01T00:00:00"/>
    <n v="1"/>
    <n v="0"/>
    <x v="1"/>
    <x v="2"/>
    <b v="0"/>
    <n v="2"/>
    <n v="2"/>
    <x v="13"/>
    <n v="0.2273"/>
    <n v="0.69"/>
    <n v="0"/>
    <n v="0"/>
    <n v="2"/>
    <n v="2"/>
    <x v="1"/>
    <x v="1"/>
    <x v="0"/>
    <x v="1"/>
    <x v="0"/>
    <n v="0.22929155386993369"/>
    <n v="-0.25435329828790432"/>
  </r>
  <r>
    <n v="692"/>
    <d v="2011-02-01T00:00:00"/>
    <n v="1"/>
    <n v="0"/>
    <x v="1"/>
    <x v="3"/>
    <b v="0"/>
    <n v="2"/>
    <n v="2"/>
    <x v="13"/>
    <n v="0.2273"/>
    <n v="0.69"/>
    <n v="0"/>
    <n v="0"/>
    <n v="2"/>
    <n v="2"/>
    <x v="1"/>
    <x v="1"/>
    <x v="0"/>
    <x v="1"/>
    <x v="0"/>
    <n v="0.22929155386993369"/>
    <n v="-0.25435329828790432"/>
  </r>
  <r>
    <n v="693"/>
    <d v="2011-02-01T00:00:00"/>
    <n v="1"/>
    <n v="0"/>
    <x v="1"/>
    <x v="5"/>
    <b v="0"/>
    <n v="2"/>
    <n v="3"/>
    <x v="14"/>
    <n v="0.21210000000000001"/>
    <n v="0.93"/>
    <n v="0"/>
    <n v="0"/>
    <n v="3"/>
    <n v="3"/>
    <x v="1"/>
    <x v="2"/>
    <x v="0"/>
    <x v="1"/>
    <x v="0"/>
    <n v="0.22929155386993369"/>
    <n v="-0.25435329828790432"/>
  </r>
  <r>
    <n v="694"/>
    <d v="2011-02-01T00:00:00"/>
    <n v="1"/>
    <n v="0"/>
    <x v="1"/>
    <x v="6"/>
    <b v="0"/>
    <n v="2"/>
    <n v="3"/>
    <x v="14"/>
    <n v="0.21210000000000001"/>
    <n v="0.93"/>
    <n v="0"/>
    <n v="0"/>
    <n v="22"/>
    <n v="22"/>
    <x v="1"/>
    <x v="2"/>
    <x v="1"/>
    <x v="1"/>
    <x v="0"/>
    <n v="0.22929155386993369"/>
    <n v="-0.25435329828790432"/>
  </r>
  <r>
    <n v="695"/>
    <d v="2011-02-01T00:00:00"/>
    <n v="1"/>
    <n v="0"/>
    <x v="1"/>
    <x v="7"/>
    <b v="0"/>
    <n v="2"/>
    <n v="3"/>
    <x v="13"/>
    <n v="0.2273"/>
    <n v="0.93"/>
    <n v="0"/>
    <n v="0"/>
    <n v="52"/>
    <n v="52"/>
    <x v="1"/>
    <x v="2"/>
    <x v="1"/>
    <x v="1"/>
    <x v="0"/>
    <n v="0.22929155386993369"/>
    <n v="-0.25435329828790432"/>
  </r>
  <r>
    <n v="696"/>
    <d v="2011-02-01T00:00:00"/>
    <n v="1"/>
    <n v="0"/>
    <x v="1"/>
    <x v="8"/>
    <b v="0"/>
    <n v="2"/>
    <n v="3"/>
    <x v="13"/>
    <n v="0.2273"/>
    <n v="0.93"/>
    <n v="0"/>
    <n v="3"/>
    <n v="132"/>
    <n v="135"/>
    <x v="1"/>
    <x v="2"/>
    <x v="1"/>
    <x v="1"/>
    <x v="0"/>
    <n v="0.22929155386993369"/>
    <n v="-0.25435329828790432"/>
  </r>
  <r>
    <n v="697"/>
    <d v="2011-02-01T00:00:00"/>
    <n v="1"/>
    <n v="0"/>
    <x v="1"/>
    <x v="9"/>
    <b v="0"/>
    <n v="2"/>
    <n v="2"/>
    <x v="13"/>
    <n v="0.2273"/>
    <n v="0.93"/>
    <n v="0"/>
    <n v="2"/>
    <n v="114"/>
    <n v="116"/>
    <x v="1"/>
    <x v="1"/>
    <x v="1"/>
    <x v="1"/>
    <x v="0"/>
    <n v="0.22929155386993369"/>
    <n v="-0.25435329828790432"/>
  </r>
  <r>
    <n v="698"/>
    <d v="2011-02-01T00:00:00"/>
    <n v="1"/>
    <n v="0"/>
    <x v="1"/>
    <x v="10"/>
    <b v="0"/>
    <n v="2"/>
    <n v="2"/>
    <x v="13"/>
    <n v="0.2273"/>
    <n v="0.93"/>
    <n v="0"/>
    <n v="0"/>
    <n v="47"/>
    <n v="47"/>
    <x v="1"/>
    <x v="1"/>
    <x v="1"/>
    <x v="1"/>
    <x v="0"/>
    <n v="0.22929155386993369"/>
    <n v="-0.25435329828790432"/>
  </r>
  <r>
    <n v="699"/>
    <d v="2011-02-01T00:00:00"/>
    <n v="1"/>
    <n v="0"/>
    <x v="1"/>
    <x v="11"/>
    <b v="0"/>
    <n v="2"/>
    <n v="2"/>
    <x v="15"/>
    <n v="0.2424"/>
    <n v="0.86"/>
    <n v="0"/>
    <n v="2"/>
    <n v="49"/>
    <n v="51"/>
    <x v="1"/>
    <x v="1"/>
    <x v="1"/>
    <x v="1"/>
    <x v="0"/>
    <n v="0.22929155386993369"/>
    <n v="-0.25435329828790432"/>
  </r>
  <r>
    <n v="700"/>
    <d v="2011-02-01T00:00:00"/>
    <n v="1"/>
    <n v="0"/>
    <x v="1"/>
    <x v="12"/>
    <b v="0"/>
    <n v="2"/>
    <n v="2"/>
    <x v="2"/>
    <n v="0.2576"/>
    <n v="0.86"/>
    <n v="0"/>
    <n v="2"/>
    <n v="53"/>
    <n v="55"/>
    <x v="1"/>
    <x v="1"/>
    <x v="2"/>
    <x v="1"/>
    <x v="0"/>
    <n v="0.22929155386993369"/>
    <n v="-0.25435329828790432"/>
  </r>
  <r>
    <n v="701"/>
    <d v="2011-02-01T00:00:00"/>
    <n v="1"/>
    <n v="0"/>
    <x v="1"/>
    <x v="13"/>
    <b v="0"/>
    <n v="2"/>
    <n v="2"/>
    <x v="2"/>
    <n v="0.2576"/>
    <n v="0.86"/>
    <n v="0"/>
    <n v="3"/>
    <n v="49"/>
    <n v="52"/>
    <x v="1"/>
    <x v="1"/>
    <x v="2"/>
    <x v="1"/>
    <x v="0"/>
    <n v="0.22929155386993369"/>
    <n v="-0.25435329828790432"/>
  </r>
  <r>
    <n v="702"/>
    <d v="2011-02-01T00:00:00"/>
    <n v="1"/>
    <n v="0"/>
    <x v="1"/>
    <x v="14"/>
    <b v="0"/>
    <n v="2"/>
    <n v="2"/>
    <x v="1"/>
    <n v="0.2576"/>
    <n v="0.8"/>
    <n v="8.9599999999999999E-2"/>
    <n v="5"/>
    <n v="49"/>
    <n v="54"/>
    <x v="1"/>
    <x v="1"/>
    <x v="2"/>
    <x v="1"/>
    <x v="0"/>
    <n v="0.22929155386993369"/>
    <n v="-0.25435329828790432"/>
  </r>
  <r>
    <n v="703"/>
    <d v="2011-02-01T00:00:00"/>
    <n v="1"/>
    <n v="0"/>
    <x v="1"/>
    <x v="15"/>
    <b v="0"/>
    <n v="2"/>
    <n v="2"/>
    <x v="0"/>
    <n v="0.28789999999999999"/>
    <n v="0.75"/>
    <n v="0"/>
    <n v="7"/>
    <n v="45"/>
    <n v="52"/>
    <x v="1"/>
    <x v="1"/>
    <x v="2"/>
    <x v="1"/>
    <x v="0"/>
    <n v="0.22929155386993369"/>
    <n v="-0.25435329828790432"/>
  </r>
  <r>
    <n v="704"/>
    <d v="2011-02-01T00:00:00"/>
    <n v="1"/>
    <n v="0"/>
    <x v="1"/>
    <x v="16"/>
    <b v="0"/>
    <n v="2"/>
    <n v="2"/>
    <x v="0"/>
    <n v="0.2424"/>
    <n v="0.75"/>
    <n v="0.1343"/>
    <n v="3"/>
    <n v="61"/>
    <n v="64"/>
    <x v="1"/>
    <x v="1"/>
    <x v="2"/>
    <x v="1"/>
    <x v="0"/>
    <n v="0.22929155386993369"/>
    <n v="-0.25435329828790432"/>
  </r>
  <r>
    <n v="705"/>
    <d v="2011-02-01T00:00:00"/>
    <n v="1"/>
    <n v="0"/>
    <x v="1"/>
    <x v="17"/>
    <b v="0"/>
    <n v="2"/>
    <n v="2"/>
    <x v="0"/>
    <n v="0.28789999999999999"/>
    <n v="0.75"/>
    <n v="0"/>
    <n v="4"/>
    <n v="172"/>
    <n v="176"/>
    <x v="1"/>
    <x v="1"/>
    <x v="3"/>
    <x v="1"/>
    <x v="0"/>
    <n v="0.22929155386993369"/>
    <n v="-0.25435329828790432"/>
  </r>
  <r>
    <n v="706"/>
    <d v="2011-02-01T00:00:00"/>
    <n v="1"/>
    <n v="0"/>
    <x v="1"/>
    <x v="18"/>
    <b v="0"/>
    <n v="2"/>
    <n v="2"/>
    <x v="0"/>
    <n v="0.2576"/>
    <n v="0.81"/>
    <n v="0.1045"/>
    <n v="3"/>
    <n v="165"/>
    <n v="168"/>
    <x v="1"/>
    <x v="1"/>
    <x v="3"/>
    <x v="1"/>
    <x v="0"/>
    <n v="0.22929155386993369"/>
    <n v="-0.25435329828790432"/>
  </r>
  <r>
    <n v="707"/>
    <d v="2011-02-01T00:00:00"/>
    <n v="1"/>
    <n v="0"/>
    <x v="1"/>
    <x v="19"/>
    <b v="0"/>
    <n v="2"/>
    <n v="2"/>
    <x v="0"/>
    <n v="0.2424"/>
    <n v="0.81"/>
    <n v="0.1343"/>
    <n v="3"/>
    <n v="105"/>
    <n v="108"/>
    <x v="1"/>
    <x v="1"/>
    <x v="3"/>
    <x v="1"/>
    <x v="0"/>
    <n v="0.22929155386993369"/>
    <n v="-0.25435329828790432"/>
  </r>
  <r>
    <n v="708"/>
    <d v="2011-02-01T00:00:00"/>
    <n v="1"/>
    <n v="0"/>
    <x v="1"/>
    <x v="20"/>
    <b v="0"/>
    <n v="2"/>
    <n v="2"/>
    <x v="1"/>
    <n v="0.2273"/>
    <n v="0.87"/>
    <n v="0.1343"/>
    <n v="5"/>
    <n v="69"/>
    <n v="74"/>
    <x v="1"/>
    <x v="1"/>
    <x v="3"/>
    <x v="1"/>
    <x v="0"/>
    <n v="0.22929155386993369"/>
    <n v="-0.25435329828790432"/>
  </r>
  <r>
    <n v="709"/>
    <d v="2011-02-01T00:00:00"/>
    <n v="1"/>
    <n v="0"/>
    <x v="1"/>
    <x v="21"/>
    <b v="0"/>
    <n v="2"/>
    <n v="2"/>
    <x v="1"/>
    <n v="0.2273"/>
    <n v="0.87"/>
    <n v="0.1343"/>
    <n v="0"/>
    <n v="64"/>
    <n v="64"/>
    <x v="1"/>
    <x v="1"/>
    <x v="0"/>
    <x v="1"/>
    <x v="0"/>
    <n v="0.22929155386993369"/>
    <n v="-0.25435329828790432"/>
  </r>
  <r>
    <n v="710"/>
    <d v="2011-02-01T00:00:00"/>
    <n v="1"/>
    <n v="0"/>
    <x v="1"/>
    <x v="22"/>
    <b v="0"/>
    <n v="2"/>
    <n v="2"/>
    <x v="1"/>
    <n v="0.2576"/>
    <n v="0.87"/>
    <n v="8.9599999999999999E-2"/>
    <n v="2"/>
    <n v="34"/>
    <n v="36"/>
    <x v="1"/>
    <x v="1"/>
    <x v="0"/>
    <x v="1"/>
    <x v="0"/>
    <n v="0.22929155386993369"/>
    <n v="-0.25435329828790432"/>
  </r>
  <r>
    <n v="711"/>
    <d v="2011-02-01T00:00:00"/>
    <n v="1"/>
    <n v="0"/>
    <x v="1"/>
    <x v="23"/>
    <b v="0"/>
    <n v="2"/>
    <n v="3"/>
    <x v="2"/>
    <n v="0.19700000000000001"/>
    <n v="0.93"/>
    <n v="0.19400000000000001"/>
    <n v="1"/>
    <n v="15"/>
    <n v="16"/>
    <x v="1"/>
    <x v="2"/>
    <x v="0"/>
    <x v="1"/>
    <x v="0"/>
    <n v="0.22929155386993369"/>
    <n v="-0.25435329828790432"/>
  </r>
  <r>
    <n v="712"/>
    <d v="2011-02-02T00:00:00"/>
    <n v="1"/>
    <n v="0"/>
    <x v="1"/>
    <x v="0"/>
    <b v="0"/>
    <n v="3"/>
    <n v="3"/>
    <x v="1"/>
    <n v="0.2424"/>
    <n v="0.93"/>
    <n v="0.1045"/>
    <n v="0"/>
    <n v="2"/>
    <n v="2"/>
    <x v="1"/>
    <x v="2"/>
    <x v="0"/>
    <x v="1"/>
    <x v="0"/>
    <n v="0.22929155386993369"/>
    <n v="-0.25435329828790432"/>
  </r>
  <r>
    <n v="713"/>
    <d v="2011-02-02T00:00:00"/>
    <n v="1"/>
    <n v="0"/>
    <x v="1"/>
    <x v="1"/>
    <b v="0"/>
    <n v="3"/>
    <n v="3"/>
    <x v="1"/>
    <n v="0.2273"/>
    <n v="0.93"/>
    <n v="0.19400000000000001"/>
    <n v="0"/>
    <n v="3"/>
    <n v="3"/>
    <x v="1"/>
    <x v="2"/>
    <x v="0"/>
    <x v="1"/>
    <x v="0"/>
    <n v="0.22929155386993369"/>
    <n v="-0.25435329828790432"/>
  </r>
  <r>
    <n v="714"/>
    <d v="2011-02-02T00:00:00"/>
    <n v="1"/>
    <n v="0"/>
    <x v="1"/>
    <x v="2"/>
    <b v="0"/>
    <n v="3"/>
    <n v="3"/>
    <x v="1"/>
    <n v="0.2273"/>
    <n v="0.93"/>
    <n v="0.1343"/>
    <n v="4"/>
    <n v="0"/>
    <n v="4"/>
    <x v="1"/>
    <x v="2"/>
    <x v="0"/>
    <x v="1"/>
    <x v="0"/>
    <n v="0.22929155386993369"/>
    <n v="-0.25435329828790432"/>
  </r>
  <r>
    <n v="715"/>
    <d v="2011-02-02T00:00:00"/>
    <n v="1"/>
    <n v="0"/>
    <x v="1"/>
    <x v="3"/>
    <b v="0"/>
    <n v="3"/>
    <n v="3"/>
    <x v="1"/>
    <n v="0.2273"/>
    <n v="0.93"/>
    <n v="0.1343"/>
    <n v="0"/>
    <n v="1"/>
    <n v="1"/>
    <x v="1"/>
    <x v="2"/>
    <x v="0"/>
    <x v="1"/>
    <x v="0"/>
    <n v="0.22929155386993369"/>
    <n v="-0.25435329828790432"/>
  </r>
  <r>
    <n v="716"/>
    <d v="2011-02-02T00:00:00"/>
    <n v="1"/>
    <n v="0"/>
    <x v="1"/>
    <x v="4"/>
    <b v="0"/>
    <n v="3"/>
    <n v="3"/>
    <x v="1"/>
    <n v="0.21210000000000001"/>
    <n v="0.93"/>
    <n v="0.28360000000000002"/>
    <n v="0"/>
    <n v="1"/>
    <n v="1"/>
    <x v="1"/>
    <x v="2"/>
    <x v="0"/>
    <x v="1"/>
    <x v="0"/>
    <n v="0.22929155386993369"/>
    <n v="-0.25435329828790432"/>
  </r>
  <r>
    <n v="717"/>
    <d v="2011-02-02T00:00:00"/>
    <n v="1"/>
    <n v="0"/>
    <x v="1"/>
    <x v="5"/>
    <b v="0"/>
    <n v="3"/>
    <n v="3"/>
    <x v="1"/>
    <n v="0.2424"/>
    <n v="0.93"/>
    <n v="0.1045"/>
    <n v="0"/>
    <n v="3"/>
    <n v="3"/>
    <x v="1"/>
    <x v="2"/>
    <x v="0"/>
    <x v="1"/>
    <x v="0"/>
    <n v="0.22929155386993369"/>
    <n v="-0.25435329828790432"/>
  </r>
  <r>
    <n v="718"/>
    <d v="2011-02-02T00:00:00"/>
    <n v="1"/>
    <n v="0"/>
    <x v="1"/>
    <x v="6"/>
    <b v="0"/>
    <n v="3"/>
    <n v="3"/>
    <x v="1"/>
    <n v="0.2424"/>
    <n v="0.93"/>
    <n v="0.1045"/>
    <n v="1"/>
    <n v="17"/>
    <n v="18"/>
    <x v="1"/>
    <x v="2"/>
    <x v="1"/>
    <x v="1"/>
    <x v="0"/>
    <n v="0.22929155386993369"/>
    <n v="-0.25435329828790432"/>
  </r>
  <r>
    <n v="719"/>
    <d v="2011-02-02T00:00:00"/>
    <n v="1"/>
    <n v="0"/>
    <x v="1"/>
    <x v="7"/>
    <b v="0"/>
    <n v="3"/>
    <n v="3"/>
    <x v="1"/>
    <n v="0.21210000000000001"/>
    <n v="0.93"/>
    <n v="0.22389999999999999"/>
    <n v="1"/>
    <n v="48"/>
    <n v="49"/>
    <x v="1"/>
    <x v="2"/>
    <x v="1"/>
    <x v="1"/>
    <x v="0"/>
    <n v="0.22929155386993369"/>
    <n v="-0.25435329828790432"/>
  </r>
  <r>
    <n v="720"/>
    <d v="2011-02-02T00:00:00"/>
    <n v="1"/>
    <n v="0"/>
    <x v="1"/>
    <x v="8"/>
    <b v="0"/>
    <n v="3"/>
    <n v="3"/>
    <x v="1"/>
    <n v="0.21210000000000001"/>
    <n v="0.93"/>
    <n v="0.22389999999999999"/>
    <n v="1"/>
    <n v="154"/>
    <n v="155"/>
    <x v="1"/>
    <x v="2"/>
    <x v="1"/>
    <x v="1"/>
    <x v="0"/>
    <n v="0.22929155386993369"/>
    <n v="-0.25435329828790432"/>
  </r>
  <r>
    <n v="721"/>
    <d v="2011-02-02T00:00:00"/>
    <n v="1"/>
    <n v="0"/>
    <x v="1"/>
    <x v="9"/>
    <b v="0"/>
    <n v="3"/>
    <n v="2"/>
    <x v="0"/>
    <n v="0.2576"/>
    <n v="0.93"/>
    <n v="8.9599999999999999E-2"/>
    <n v="4"/>
    <n v="119"/>
    <n v="123"/>
    <x v="1"/>
    <x v="1"/>
    <x v="1"/>
    <x v="1"/>
    <x v="0"/>
    <n v="0.22929155386993369"/>
    <n v="-0.25435329828790432"/>
  </r>
  <r>
    <n v="722"/>
    <d v="2011-02-02T00:00:00"/>
    <n v="1"/>
    <n v="0"/>
    <x v="1"/>
    <x v="10"/>
    <b v="0"/>
    <n v="3"/>
    <n v="2"/>
    <x v="1"/>
    <n v="0.2727"/>
    <n v="1"/>
    <n v="0"/>
    <n v="2"/>
    <n v="59"/>
    <n v="61"/>
    <x v="1"/>
    <x v="1"/>
    <x v="1"/>
    <x v="1"/>
    <x v="0"/>
    <n v="0.22929155386993369"/>
    <n v="-0.25435329828790432"/>
  </r>
  <r>
    <n v="723"/>
    <d v="2011-02-02T00:00:00"/>
    <n v="1"/>
    <n v="0"/>
    <x v="1"/>
    <x v="11"/>
    <b v="0"/>
    <n v="3"/>
    <n v="2"/>
    <x v="0"/>
    <n v="0.2273"/>
    <n v="0.93"/>
    <n v="0.19400000000000001"/>
    <n v="5"/>
    <n v="47"/>
    <n v="52"/>
    <x v="1"/>
    <x v="1"/>
    <x v="1"/>
    <x v="1"/>
    <x v="0"/>
    <n v="0.22929155386993369"/>
    <n v="-0.25435329828790432"/>
  </r>
  <r>
    <n v="724"/>
    <d v="2011-02-02T00:00:00"/>
    <n v="1"/>
    <n v="0"/>
    <x v="1"/>
    <x v="12"/>
    <b v="0"/>
    <n v="3"/>
    <n v="2"/>
    <x v="0"/>
    <n v="0.2273"/>
    <n v="0.93"/>
    <n v="0.22389999999999999"/>
    <n v="3"/>
    <n v="61"/>
    <n v="64"/>
    <x v="1"/>
    <x v="1"/>
    <x v="2"/>
    <x v="1"/>
    <x v="0"/>
    <n v="0.22929155386993369"/>
    <n v="-0.25435329828790432"/>
  </r>
  <r>
    <n v="725"/>
    <d v="2011-02-02T00:00:00"/>
    <n v="1"/>
    <n v="0"/>
    <x v="1"/>
    <x v="13"/>
    <b v="0"/>
    <n v="3"/>
    <n v="1"/>
    <x v="10"/>
    <n v="0.33329999999999999"/>
    <n v="0.93"/>
    <n v="0.16420000000000001"/>
    <n v="1"/>
    <n v="74"/>
    <n v="75"/>
    <x v="1"/>
    <x v="0"/>
    <x v="2"/>
    <x v="1"/>
    <x v="0"/>
    <n v="0.22929155386993369"/>
    <n v="-0.25435329828790432"/>
  </r>
  <r>
    <n v="726"/>
    <d v="2011-02-02T00:00:00"/>
    <n v="1"/>
    <n v="0"/>
    <x v="1"/>
    <x v="14"/>
    <b v="0"/>
    <n v="3"/>
    <n v="1"/>
    <x v="4"/>
    <n v="0.39389999999999997"/>
    <n v="0.82"/>
    <n v="0.3881"/>
    <n v="2"/>
    <n v="61"/>
    <n v="63"/>
    <x v="1"/>
    <x v="0"/>
    <x v="2"/>
    <x v="1"/>
    <x v="0"/>
    <n v="0.22929155386993369"/>
    <n v="-0.25435329828790432"/>
  </r>
  <r>
    <n v="727"/>
    <d v="2011-02-02T00:00:00"/>
    <n v="1"/>
    <n v="0"/>
    <x v="1"/>
    <x v="15"/>
    <b v="0"/>
    <n v="3"/>
    <n v="1"/>
    <x v="4"/>
    <n v="0.39389999999999997"/>
    <n v="0.76"/>
    <n v="0.32840000000000003"/>
    <n v="10"/>
    <n v="66"/>
    <n v="76"/>
    <x v="1"/>
    <x v="0"/>
    <x v="2"/>
    <x v="1"/>
    <x v="0"/>
    <n v="0.22929155386993369"/>
    <n v="-0.25435329828790432"/>
  </r>
  <r>
    <n v="728"/>
    <d v="2011-02-02T00:00:00"/>
    <n v="1"/>
    <n v="0"/>
    <x v="1"/>
    <x v="16"/>
    <b v="0"/>
    <n v="3"/>
    <n v="1"/>
    <x v="5"/>
    <n v="0.33329999999999999"/>
    <n v="0.71"/>
    <n v="0.29849999999999999"/>
    <n v="8"/>
    <n v="95"/>
    <n v="103"/>
    <x v="1"/>
    <x v="0"/>
    <x v="2"/>
    <x v="1"/>
    <x v="0"/>
    <n v="0.22929155386993369"/>
    <n v="-0.25435329828790432"/>
  </r>
  <r>
    <n v="729"/>
    <d v="2011-02-02T00:00:00"/>
    <n v="1"/>
    <n v="0"/>
    <x v="1"/>
    <x v="17"/>
    <b v="0"/>
    <n v="3"/>
    <n v="1"/>
    <x v="5"/>
    <n v="0.31819999999999998"/>
    <n v="0.53"/>
    <n v="0.52239999999999998"/>
    <n v="7"/>
    <n v="183"/>
    <n v="190"/>
    <x v="1"/>
    <x v="0"/>
    <x v="3"/>
    <x v="1"/>
    <x v="0"/>
    <n v="0.22929155386993369"/>
    <n v="-0.25435329828790432"/>
  </r>
  <r>
    <n v="730"/>
    <d v="2011-02-02T00:00:00"/>
    <n v="1"/>
    <n v="0"/>
    <x v="1"/>
    <x v="18"/>
    <b v="0"/>
    <n v="3"/>
    <n v="1"/>
    <x v="10"/>
    <n v="0.28789999999999999"/>
    <n v="0.42"/>
    <n v="0.55220000000000002"/>
    <n v="7"/>
    <n v="175"/>
    <n v="182"/>
    <x v="1"/>
    <x v="0"/>
    <x v="3"/>
    <x v="1"/>
    <x v="0"/>
    <n v="0.22929155386993369"/>
    <n v="-0.25435329828790432"/>
  </r>
  <r>
    <n v="731"/>
    <d v="2011-02-02T00:00:00"/>
    <n v="1"/>
    <n v="0"/>
    <x v="1"/>
    <x v="19"/>
    <b v="0"/>
    <n v="3"/>
    <n v="1"/>
    <x v="17"/>
    <n v="0.2424"/>
    <n v="0.45"/>
    <n v="0.49249999999999999"/>
    <n v="3"/>
    <n v="88"/>
    <n v="91"/>
    <x v="1"/>
    <x v="0"/>
    <x v="3"/>
    <x v="1"/>
    <x v="0"/>
    <n v="0.22929155386993369"/>
    <n v="-0.25435329828790432"/>
  </r>
  <r>
    <n v="732"/>
    <d v="2011-02-02T00:00:00"/>
    <n v="1"/>
    <n v="0"/>
    <x v="1"/>
    <x v="20"/>
    <b v="0"/>
    <n v="3"/>
    <n v="1"/>
    <x v="0"/>
    <n v="0.19700000000000001"/>
    <n v="0.48"/>
    <n v="0.55220000000000002"/>
    <n v="4"/>
    <n v="71"/>
    <n v="75"/>
    <x v="1"/>
    <x v="0"/>
    <x v="3"/>
    <x v="1"/>
    <x v="0"/>
    <n v="0.22929155386993369"/>
    <n v="-0.25435329828790432"/>
  </r>
  <r>
    <n v="733"/>
    <d v="2011-02-02T00:00:00"/>
    <n v="1"/>
    <n v="0"/>
    <x v="1"/>
    <x v="21"/>
    <b v="0"/>
    <n v="3"/>
    <n v="1"/>
    <x v="1"/>
    <n v="0.19700000000000001"/>
    <n v="0.47"/>
    <n v="0.32840000000000003"/>
    <n v="1"/>
    <n v="62"/>
    <n v="63"/>
    <x v="1"/>
    <x v="0"/>
    <x v="0"/>
    <x v="1"/>
    <x v="0"/>
    <n v="0.22929155386993369"/>
    <n v="-0.25435329828790432"/>
  </r>
  <r>
    <n v="734"/>
    <d v="2011-02-02T00:00:00"/>
    <n v="1"/>
    <n v="0"/>
    <x v="1"/>
    <x v="22"/>
    <b v="0"/>
    <n v="3"/>
    <n v="1"/>
    <x v="1"/>
    <n v="0.21210000000000001"/>
    <n v="0.44"/>
    <n v="0.25369999999999998"/>
    <n v="5"/>
    <n v="35"/>
    <n v="40"/>
    <x v="1"/>
    <x v="0"/>
    <x v="0"/>
    <x v="1"/>
    <x v="0"/>
    <n v="0.22929155386993369"/>
    <n v="-0.25435329828790432"/>
  </r>
  <r>
    <n v="735"/>
    <d v="2011-02-02T00:00:00"/>
    <n v="1"/>
    <n v="0"/>
    <x v="1"/>
    <x v="23"/>
    <b v="0"/>
    <n v="3"/>
    <n v="1"/>
    <x v="2"/>
    <n v="0.16669999999999999"/>
    <n v="0.44"/>
    <n v="0.44779999999999998"/>
    <n v="3"/>
    <n v="29"/>
    <n v="32"/>
    <x v="1"/>
    <x v="0"/>
    <x v="0"/>
    <x v="1"/>
    <x v="0"/>
    <n v="0.22929155386993369"/>
    <n v="-0.25435329828790432"/>
  </r>
  <r>
    <n v="736"/>
    <d v="2011-02-03T00:00:00"/>
    <n v="1"/>
    <n v="0"/>
    <x v="1"/>
    <x v="0"/>
    <b v="0"/>
    <n v="4"/>
    <n v="1"/>
    <x v="2"/>
    <n v="0.16669999999999999"/>
    <n v="0.4"/>
    <n v="0.44779999999999998"/>
    <n v="1"/>
    <n v="11"/>
    <n v="12"/>
    <x v="1"/>
    <x v="0"/>
    <x v="0"/>
    <x v="1"/>
    <x v="0"/>
    <n v="0.22929155386993369"/>
    <n v="-0.25435329828790432"/>
  </r>
  <r>
    <n v="737"/>
    <d v="2011-02-03T00:00:00"/>
    <n v="1"/>
    <n v="0"/>
    <x v="1"/>
    <x v="1"/>
    <b v="0"/>
    <n v="4"/>
    <n v="1"/>
    <x v="2"/>
    <n v="0.1515"/>
    <n v="0.44"/>
    <n v="0.52239999999999998"/>
    <n v="0"/>
    <n v="5"/>
    <n v="5"/>
    <x v="1"/>
    <x v="0"/>
    <x v="0"/>
    <x v="1"/>
    <x v="0"/>
    <n v="0.22929155386993369"/>
    <n v="-0.25435329828790432"/>
  </r>
  <r>
    <n v="738"/>
    <d v="2011-02-03T00:00:00"/>
    <n v="1"/>
    <n v="0"/>
    <x v="1"/>
    <x v="2"/>
    <b v="0"/>
    <n v="4"/>
    <n v="1"/>
    <x v="15"/>
    <n v="0.16669999999999999"/>
    <n v="0.43"/>
    <n v="0.25369999999999998"/>
    <n v="0"/>
    <n v="2"/>
    <n v="2"/>
    <x v="1"/>
    <x v="0"/>
    <x v="0"/>
    <x v="1"/>
    <x v="0"/>
    <n v="0.22929155386993369"/>
    <n v="-0.25435329828790432"/>
  </r>
  <r>
    <n v="739"/>
    <d v="2011-02-03T00:00:00"/>
    <n v="1"/>
    <n v="0"/>
    <x v="1"/>
    <x v="3"/>
    <b v="0"/>
    <n v="4"/>
    <n v="1"/>
    <x v="15"/>
    <n v="0.16669999999999999"/>
    <n v="0.43"/>
    <n v="0.25369999999999998"/>
    <n v="0"/>
    <n v="1"/>
    <n v="1"/>
    <x v="1"/>
    <x v="0"/>
    <x v="0"/>
    <x v="1"/>
    <x v="0"/>
    <n v="0.22929155386993369"/>
    <n v="-0.25435329828790432"/>
  </r>
  <r>
    <n v="740"/>
    <d v="2011-02-03T00:00:00"/>
    <n v="1"/>
    <n v="0"/>
    <x v="1"/>
    <x v="5"/>
    <b v="0"/>
    <n v="4"/>
    <n v="1"/>
    <x v="13"/>
    <n v="0.13639999999999999"/>
    <n v="0.5"/>
    <n v="0.29849999999999999"/>
    <n v="0"/>
    <n v="2"/>
    <n v="2"/>
    <x v="1"/>
    <x v="0"/>
    <x v="0"/>
    <x v="1"/>
    <x v="0"/>
    <n v="0.22929155386993369"/>
    <n v="-0.25435329828790432"/>
  </r>
  <r>
    <n v="741"/>
    <d v="2011-02-03T00:00:00"/>
    <n v="1"/>
    <n v="0"/>
    <x v="1"/>
    <x v="6"/>
    <b v="0"/>
    <n v="4"/>
    <n v="1"/>
    <x v="13"/>
    <n v="0.13639999999999999"/>
    <n v="0.43"/>
    <n v="0.35820000000000002"/>
    <n v="0"/>
    <n v="39"/>
    <n v="39"/>
    <x v="1"/>
    <x v="0"/>
    <x v="1"/>
    <x v="1"/>
    <x v="0"/>
    <n v="0.22929155386993369"/>
    <n v="-0.25435329828790432"/>
  </r>
  <r>
    <n v="742"/>
    <d v="2011-02-03T00:00:00"/>
    <n v="1"/>
    <n v="0"/>
    <x v="1"/>
    <x v="7"/>
    <b v="0"/>
    <n v="4"/>
    <n v="1"/>
    <x v="14"/>
    <n v="0.1212"/>
    <n v="0.5"/>
    <n v="0.32840000000000003"/>
    <n v="1"/>
    <n v="86"/>
    <n v="87"/>
    <x v="1"/>
    <x v="0"/>
    <x v="1"/>
    <x v="1"/>
    <x v="0"/>
    <n v="0.22929155386993369"/>
    <n v="-0.25435329828790432"/>
  </r>
  <r>
    <n v="743"/>
    <d v="2011-02-03T00:00:00"/>
    <n v="1"/>
    <n v="0"/>
    <x v="1"/>
    <x v="8"/>
    <b v="0"/>
    <n v="4"/>
    <n v="1"/>
    <x v="14"/>
    <n v="0.1212"/>
    <n v="0.5"/>
    <n v="0.35820000000000002"/>
    <n v="4"/>
    <n v="184"/>
    <n v="188"/>
    <x v="1"/>
    <x v="0"/>
    <x v="1"/>
    <x v="1"/>
    <x v="0"/>
    <n v="0.22929155386993369"/>
    <n v="-0.25435329828790432"/>
  </r>
  <r>
    <n v="744"/>
    <d v="2011-02-03T00:00:00"/>
    <n v="1"/>
    <n v="0"/>
    <x v="1"/>
    <x v="9"/>
    <b v="0"/>
    <n v="4"/>
    <n v="1"/>
    <x v="13"/>
    <n v="0.13639999999999999"/>
    <n v="0.47"/>
    <n v="0.29849999999999999"/>
    <n v="6"/>
    <n v="127"/>
    <n v="133"/>
    <x v="1"/>
    <x v="0"/>
    <x v="1"/>
    <x v="1"/>
    <x v="0"/>
    <n v="0.22929155386993369"/>
    <n v="-0.25435329828790432"/>
  </r>
  <r>
    <n v="745"/>
    <d v="2011-02-03T00:00:00"/>
    <n v="1"/>
    <n v="0"/>
    <x v="1"/>
    <x v="10"/>
    <b v="0"/>
    <n v="4"/>
    <n v="1"/>
    <x v="15"/>
    <n v="0.1515"/>
    <n v="0.43"/>
    <n v="0.32840000000000003"/>
    <n v="2"/>
    <n v="50"/>
    <n v="52"/>
    <x v="1"/>
    <x v="0"/>
    <x v="1"/>
    <x v="1"/>
    <x v="0"/>
    <n v="0.22929155386993369"/>
    <n v="-0.25435329828790432"/>
  </r>
  <r>
    <n v="746"/>
    <d v="2011-02-03T00:00:00"/>
    <n v="1"/>
    <n v="0"/>
    <x v="1"/>
    <x v="11"/>
    <b v="0"/>
    <n v="4"/>
    <n v="1"/>
    <x v="15"/>
    <n v="0.13639999999999999"/>
    <n v="0.43"/>
    <n v="0.44779999999999998"/>
    <n v="9"/>
    <n v="55"/>
    <n v="64"/>
    <x v="1"/>
    <x v="0"/>
    <x v="1"/>
    <x v="1"/>
    <x v="0"/>
    <n v="0.22929155386993369"/>
    <n v="-0.25435329828790432"/>
  </r>
  <r>
    <n v="747"/>
    <d v="2011-02-03T00:00:00"/>
    <n v="1"/>
    <n v="0"/>
    <x v="1"/>
    <x v="12"/>
    <b v="0"/>
    <n v="4"/>
    <n v="1"/>
    <x v="2"/>
    <n v="0.18179999999999999"/>
    <n v="0.4"/>
    <n v="0.35820000000000002"/>
    <n v="2"/>
    <n v="67"/>
    <n v="69"/>
    <x v="1"/>
    <x v="0"/>
    <x v="2"/>
    <x v="1"/>
    <x v="0"/>
    <n v="0.22929155386993369"/>
    <n v="-0.25435329828790432"/>
  </r>
  <r>
    <n v="748"/>
    <d v="2011-02-03T00:00:00"/>
    <n v="1"/>
    <n v="0"/>
    <x v="1"/>
    <x v="13"/>
    <b v="0"/>
    <n v="4"/>
    <n v="1"/>
    <x v="2"/>
    <n v="0.16669999999999999"/>
    <n v="0.4"/>
    <n v="0.41789999999999999"/>
    <n v="4"/>
    <n v="47"/>
    <n v="51"/>
    <x v="1"/>
    <x v="0"/>
    <x v="2"/>
    <x v="1"/>
    <x v="0"/>
    <n v="0.22929155386993369"/>
    <n v="-0.25435329828790432"/>
  </r>
  <r>
    <n v="749"/>
    <d v="2011-02-03T00:00:00"/>
    <n v="1"/>
    <n v="0"/>
    <x v="1"/>
    <x v="14"/>
    <b v="0"/>
    <n v="4"/>
    <n v="1"/>
    <x v="1"/>
    <n v="0.19700000000000001"/>
    <n v="0.37"/>
    <n v="0.3881"/>
    <n v="4"/>
    <n v="43"/>
    <n v="47"/>
    <x v="1"/>
    <x v="0"/>
    <x v="2"/>
    <x v="1"/>
    <x v="0"/>
    <n v="0.22929155386993369"/>
    <n v="-0.25435329828790432"/>
  </r>
  <r>
    <n v="750"/>
    <d v="2011-02-03T00:00:00"/>
    <n v="1"/>
    <n v="0"/>
    <x v="1"/>
    <x v="15"/>
    <b v="0"/>
    <n v="4"/>
    <n v="1"/>
    <x v="1"/>
    <n v="0.19700000000000001"/>
    <n v="0.37"/>
    <n v="0.32840000000000003"/>
    <n v="4"/>
    <n v="56"/>
    <n v="60"/>
    <x v="1"/>
    <x v="0"/>
    <x v="2"/>
    <x v="1"/>
    <x v="0"/>
    <n v="0.22929155386993369"/>
    <n v="-0.25435329828790432"/>
  </r>
  <r>
    <n v="751"/>
    <d v="2011-02-03T00:00:00"/>
    <n v="1"/>
    <n v="0"/>
    <x v="1"/>
    <x v="16"/>
    <b v="0"/>
    <n v="4"/>
    <n v="1"/>
    <x v="1"/>
    <n v="0.21210000000000001"/>
    <n v="0.37"/>
    <n v="0.25369999999999998"/>
    <n v="5"/>
    <n v="73"/>
    <n v="78"/>
    <x v="1"/>
    <x v="0"/>
    <x v="2"/>
    <x v="1"/>
    <x v="0"/>
    <n v="0.22929155386993369"/>
    <n v="-0.25435329828790432"/>
  </r>
  <r>
    <n v="752"/>
    <d v="2011-02-03T00:00:00"/>
    <n v="1"/>
    <n v="0"/>
    <x v="1"/>
    <x v="17"/>
    <b v="0"/>
    <n v="4"/>
    <n v="1"/>
    <x v="2"/>
    <n v="0.19700000000000001"/>
    <n v="0.4"/>
    <n v="0.19400000000000001"/>
    <n v="5"/>
    <n v="170"/>
    <n v="175"/>
    <x v="1"/>
    <x v="0"/>
    <x v="3"/>
    <x v="1"/>
    <x v="0"/>
    <n v="0.22929155386993369"/>
    <n v="-0.25435329828790432"/>
  </r>
  <r>
    <n v="753"/>
    <d v="2011-02-03T00:00:00"/>
    <n v="1"/>
    <n v="0"/>
    <x v="1"/>
    <x v="18"/>
    <b v="0"/>
    <n v="4"/>
    <n v="1"/>
    <x v="2"/>
    <n v="0.21210000000000001"/>
    <n v="0.4"/>
    <n v="0.16420000000000001"/>
    <n v="2"/>
    <n v="145"/>
    <n v="147"/>
    <x v="1"/>
    <x v="0"/>
    <x v="3"/>
    <x v="1"/>
    <x v="0"/>
    <n v="0.22929155386993369"/>
    <n v="-0.25435329828790432"/>
  </r>
  <r>
    <n v="754"/>
    <d v="2011-02-03T00:00:00"/>
    <n v="1"/>
    <n v="0"/>
    <x v="1"/>
    <x v="19"/>
    <b v="0"/>
    <n v="4"/>
    <n v="1"/>
    <x v="2"/>
    <n v="0.2576"/>
    <n v="0.4"/>
    <n v="0"/>
    <n v="4"/>
    <n v="92"/>
    <n v="96"/>
    <x v="1"/>
    <x v="0"/>
    <x v="3"/>
    <x v="1"/>
    <x v="0"/>
    <n v="0.22929155386993369"/>
    <n v="-0.25435329828790432"/>
  </r>
  <r>
    <n v="755"/>
    <d v="2011-02-03T00:00:00"/>
    <n v="1"/>
    <n v="0"/>
    <x v="1"/>
    <x v="20"/>
    <b v="0"/>
    <n v="4"/>
    <n v="1"/>
    <x v="2"/>
    <n v="0.2273"/>
    <n v="0.47"/>
    <n v="8.9599999999999999E-2"/>
    <n v="1"/>
    <n v="108"/>
    <n v="109"/>
    <x v="1"/>
    <x v="0"/>
    <x v="3"/>
    <x v="1"/>
    <x v="0"/>
    <n v="0.22929155386993369"/>
    <n v="-0.25435329828790432"/>
  </r>
  <r>
    <n v="756"/>
    <d v="2011-02-03T00:00:00"/>
    <n v="1"/>
    <n v="0"/>
    <x v="1"/>
    <x v="21"/>
    <b v="0"/>
    <n v="4"/>
    <n v="1"/>
    <x v="15"/>
    <n v="0.21210000000000001"/>
    <n v="0.55000000000000004"/>
    <n v="0.1045"/>
    <n v="1"/>
    <n v="53"/>
    <n v="54"/>
    <x v="1"/>
    <x v="0"/>
    <x v="0"/>
    <x v="1"/>
    <x v="0"/>
    <n v="0.22929155386993369"/>
    <n v="-0.25435329828790432"/>
  </r>
  <r>
    <n v="757"/>
    <d v="2011-02-03T00:00:00"/>
    <n v="1"/>
    <n v="0"/>
    <x v="1"/>
    <x v="22"/>
    <b v="0"/>
    <n v="4"/>
    <n v="1"/>
    <x v="15"/>
    <n v="0.21210000000000001"/>
    <n v="0.51"/>
    <n v="8.9599999999999999E-2"/>
    <n v="2"/>
    <n v="39"/>
    <n v="41"/>
    <x v="1"/>
    <x v="0"/>
    <x v="0"/>
    <x v="1"/>
    <x v="0"/>
    <n v="0.22929155386993369"/>
    <n v="-0.25435329828790432"/>
  </r>
  <r>
    <n v="758"/>
    <d v="2011-02-03T00:00:00"/>
    <n v="1"/>
    <n v="0"/>
    <x v="1"/>
    <x v="23"/>
    <b v="0"/>
    <n v="4"/>
    <n v="1"/>
    <x v="2"/>
    <n v="0.2273"/>
    <n v="0.47"/>
    <n v="0.1045"/>
    <n v="4"/>
    <n v="34"/>
    <n v="38"/>
    <x v="1"/>
    <x v="0"/>
    <x v="0"/>
    <x v="1"/>
    <x v="0"/>
    <n v="0.22929155386993369"/>
    <n v="-0.25435329828790432"/>
  </r>
  <r>
    <n v="759"/>
    <d v="2011-02-04T00:00:00"/>
    <n v="1"/>
    <n v="0"/>
    <x v="1"/>
    <x v="0"/>
    <b v="0"/>
    <n v="5"/>
    <n v="2"/>
    <x v="2"/>
    <n v="0.2576"/>
    <n v="0.44"/>
    <n v="0"/>
    <n v="3"/>
    <n v="10"/>
    <n v="13"/>
    <x v="1"/>
    <x v="1"/>
    <x v="0"/>
    <x v="1"/>
    <x v="0"/>
    <n v="0.22929155386993369"/>
    <n v="-0.25435329828790432"/>
  </r>
  <r>
    <n v="760"/>
    <d v="2011-02-04T00:00:00"/>
    <n v="1"/>
    <n v="0"/>
    <x v="1"/>
    <x v="1"/>
    <b v="0"/>
    <n v="5"/>
    <n v="2"/>
    <x v="13"/>
    <n v="0.2273"/>
    <n v="0.59"/>
    <n v="0"/>
    <n v="0"/>
    <n v="7"/>
    <n v="7"/>
    <x v="1"/>
    <x v="1"/>
    <x v="0"/>
    <x v="1"/>
    <x v="0"/>
    <n v="0.22929155386993369"/>
    <n v="-0.25435329828790432"/>
  </r>
  <r>
    <n v="761"/>
    <d v="2011-02-04T00:00:00"/>
    <n v="1"/>
    <n v="0"/>
    <x v="1"/>
    <x v="2"/>
    <b v="0"/>
    <n v="5"/>
    <n v="2"/>
    <x v="14"/>
    <n v="0.16669999999999999"/>
    <n v="0.63"/>
    <n v="0.1045"/>
    <n v="0"/>
    <n v="1"/>
    <n v="1"/>
    <x v="1"/>
    <x v="1"/>
    <x v="0"/>
    <x v="1"/>
    <x v="0"/>
    <n v="0.22929155386993369"/>
    <n v="-0.25435329828790432"/>
  </r>
  <r>
    <n v="762"/>
    <d v="2011-02-04T00:00:00"/>
    <n v="1"/>
    <n v="0"/>
    <x v="1"/>
    <x v="3"/>
    <b v="0"/>
    <n v="5"/>
    <n v="2"/>
    <x v="14"/>
    <n v="0.16669999999999999"/>
    <n v="0.63"/>
    <n v="0.1045"/>
    <n v="0"/>
    <n v="1"/>
    <n v="1"/>
    <x v="1"/>
    <x v="1"/>
    <x v="0"/>
    <x v="1"/>
    <x v="0"/>
    <n v="0.22929155386993369"/>
    <n v="-0.25435329828790432"/>
  </r>
  <r>
    <n v="763"/>
    <d v="2011-02-04T00:00:00"/>
    <n v="1"/>
    <n v="0"/>
    <x v="1"/>
    <x v="5"/>
    <b v="0"/>
    <n v="5"/>
    <n v="2"/>
    <x v="14"/>
    <n v="0.1515"/>
    <n v="0.63"/>
    <n v="0.1343"/>
    <n v="0"/>
    <n v="7"/>
    <n v="7"/>
    <x v="1"/>
    <x v="1"/>
    <x v="0"/>
    <x v="1"/>
    <x v="0"/>
    <n v="0.22929155386993369"/>
    <n v="-0.25435329828790432"/>
  </r>
  <r>
    <n v="764"/>
    <d v="2011-02-04T00:00:00"/>
    <n v="1"/>
    <n v="0"/>
    <x v="1"/>
    <x v="6"/>
    <b v="0"/>
    <n v="5"/>
    <n v="2"/>
    <x v="13"/>
    <n v="0.2273"/>
    <n v="0.55000000000000004"/>
    <n v="0"/>
    <n v="2"/>
    <n v="26"/>
    <n v="28"/>
    <x v="1"/>
    <x v="1"/>
    <x v="1"/>
    <x v="1"/>
    <x v="0"/>
    <n v="0.22929155386993369"/>
    <n v="-0.25435329828790432"/>
  </r>
  <r>
    <n v="765"/>
    <d v="2011-02-04T00:00:00"/>
    <n v="1"/>
    <n v="0"/>
    <x v="1"/>
    <x v="7"/>
    <b v="0"/>
    <n v="5"/>
    <n v="1"/>
    <x v="14"/>
    <n v="0.21210000000000001"/>
    <n v="0.59"/>
    <n v="0"/>
    <n v="0"/>
    <n v="87"/>
    <n v="87"/>
    <x v="1"/>
    <x v="0"/>
    <x v="1"/>
    <x v="1"/>
    <x v="0"/>
    <n v="0.22929155386993369"/>
    <n v="-0.25435329828790432"/>
  </r>
  <r>
    <n v="766"/>
    <d v="2011-02-04T00:00:00"/>
    <n v="1"/>
    <n v="0"/>
    <x v="1"/>
    <x v="8"/>
    <b v="0"/>
    <n v="5"/>
    <n v="1"/>
    <x v="14"/>
    <n v="0.1515"/>
    <n v="0.74"/>
    <n v="0.1343"/>
    <n v="3"/>
    <n v="217"/>
    <n v="220"/>
    <x v="1"/>
    <x v="0"/>
    <x v="1"/>
    <x v="1"/>
    <x v="0"/>
    <n v="0.22929155386993369"/>
    <n v="-0.25435329828790432"/>
  </r>
  <r>
    <n v="767"/>
    <d v="2011-02-04T00:00:00"/>
    <n v="1"/>
    <n v="0"/>
    <x v="1"/>
    <x v="9"/>
    <b v="0"/>
    <n v="5"/>
    <n v="2"/>
    <x v="13"/>
    <n v="0.18179999999999999"/>
    <n v="0.8"/>
    <n v="0.1343"/>
    <n v="3"/>
    <n v="124"/>
    <n v="127"/>
    <x v="1"/>
    <x v="1"/>
    <x v="1"/>
    <x v="1"/>
    <x v="0"/>
    <n v="0.22929155386993369"/>
    <n v="-0.25435329828790432"/>
  </r>
  <r>
    <n v="768"/>
    <d v="2011-02-04T00:00:00"/>
    <n v="1"/>
    <n v="0"/>
    <x v="1"/>
    <x v="10"/>
    <b v="0"/>
    <n v="5"/>
    <n v="2"/>
    <x v="2"/>
    <n v="0.21210000000000001"/>
    <n v="0.51"/>
    <n v="0.1343"/>
    <n v="5"/>
    <n v="46"/>
    <n v="51"/>
    <x v="1"/>
    <x v="1"/>
    <x v="1"/>
    <x v="1"/>
    <x v="0"/>
    <n v="0.22929155386993369"/>
    <n v="-0.25435329828790432"/>
  </r>
  <r>
    <n v="769"/>
    <d v="2011-02-04T00:00:00"/>
    <n v="1"/>
    <n v="0"/>
    <x v="1"/>
    <x v="11"/>
    <b v="0"/>
    <n v="5"/>
    <n v="1"/>
    <x v="1"/>
    <n v="0.2273"/>
    <n v="0.51"/>
    <n v="0.16420000000000001"/>
    <n v="3"/>
    <n v="61"/>
    <n v="64"/>
    <x v="1"/>
    <x v="0"/>
    <x v="1"/>
    <x v="1"/>
    <x v="0"/>
    <n v="0.22929155386993369"/>
    <n v="-0.25435329828790432"/>
  </r>
  <r>
    <n v="770"/>
    <d v="2011-02-04T00:00:00"/>
    <n v="1"/>
    <n v="0"/>
    <x v="1"/>
    <x v="12"/>
    <b v="0"/>
    <n v="5"/>
    <n v="2"/>
    <x v="0"/>
    <n v="0.2424"/>
    <n v="0.48"/>
    <n v="0.16420000000000001"/>
    <n v="8"/>
    <n v="78"/>
    <n v="86"/>
    <x v="1"/>
    <x v="1"/>
    <x v="2"/>
    <x v="1"/>
    <x v="0"/>
    <n v="0.22929155386993369"/>
    <n v="-0.25435329828790432"/>
  </r>
  <r>
    <n v="771"/>
    <d v="2011-02-04T00:00:00"/>
    <n v="1"/>
    <n v="0"/>
    <x v="1"/>
    <x v="13"/>
    <b v="0"/>
    <n v="5"/>
    <n v="2"/>
    <x v="12"/>
    <n v="0.2576"/>
    <n v="0.5"/>
    <n v="0.22389999999999999"/>
    <n v="9"/>
    <n v="73"/>
    <n v="82"/>
    <x v="1"/>
    <x v="1"/>
    <x v="2"/>
    <x v="1"/>
    <x v="0"/>
    <n v="0.22929155386993369"/>
    <n v="-0.25435329828790432"/>
  </r>
  <r>
    <n v="772"/>
    <d v="2011-02-04T00:00:00"/>
    <n v="1"/>
    <n v="0"/>
    <x v="1"/>
    <x v="14"/>
    <b v="0"/>
    <n v="5"/>
    <n v="2"/>
    <x v="17"/>
    <n v="0.2727"/>
    <n v="0.45"/>
    <n v="0.16420000000000001"/>
    <n v="15"/>
    <n v="76"/>
    <n v="91"/>
    <x v="1"/>
    <x v="1"/>
    <x v="2"/>
    <x v="1"/>
    <x v="0"/>
    <n v="0.22929155386993369"/>
    <n v="-0.25435329828790432"/>
  </r>
  <r>
    <n v="773"/>
    <d v="2011-02-04T00:00:00"/>
    <n v="1"/>
    <n v="0"/>
    <x v="1"/>
    <x v="15"/>
    <b v="0"/>
    <n v="5"/>
    <n v="2"/>
    <x v="17"/>
    <n v="0.2727"/>
    <n v="0.48"/>
    <n v="0.25369999999999998"/>
    <n v="9"/>
    <n v="81"/>
    <n v="90"/>
    <x v="1"/>
    <x v="1"/>
    <x v="2"/>
    <x v="1"/>
    <x v="0"/>
    <n v="0.22929155386993369"/>
    <n v="-0.25435329828790432"/>
  </r>
  <r>
    <n v="774"/>
    <d v="2011-02-04T00:00:00"/>
    <n v="1"/>
    <n v="0"/>
    <x v="1"/>
    <x v="16"/>
    <b v="0"/>
    <n v="5"/>
    <n v="2"/>
    <x v="11"/>
    <n v="0.28789999999999999"/>
    <n v="0.42"/>
    <n v="0.22389999999999999"/>
    <n v="8"/>
    <n v="91"/>
    <n v="99"/>
    <x v="1"/>
    <x v="1"/>
    <x v="2"/>
    <x v="1"/>
    <x v="0"/>
    <n v="0.22929155386993369"/>
    <n v="-0.25435329828790432"/>
  </r>
  <r>
    <n v="775"/>
    <d v="2011-02-04T00:00:00"/>
    <n v="1"/>
    <n v="0"/>
    <x v="1"/>
    <x v="17"/>
    <b v="0"/>
    <n v="5"/>
    <n v="2"/>
    <x v="12"/>
    <n v="0.2727"/>
    <n v="0.56000000000000005"/>
    <n v="0.1343"/>
    <n v="10"/>
    <n v="195"/>
    <n v="205"/>
    <x v="1"/>
    <x v="1"/>
    <x v="3"/>
    <x v="1"/>
    <x v="0"/>
    <n v="0.22929155386993369"/>
    <n v="-0.25435329828790432"/>
  </r>
  <r>
    <n v="776"/>
    <d v="2011-02-04T00:00:00"/>
    <n v="1"/>
    <n v="0"/>
    <x v="1"/>
    <x v="18"/>
    <b v="0"/>
    <n v="5"/>
    <n v="2"/>
    <x v="0"/>
    <n v="0.2576"/>
    <n v="0.6"/>
    <n v="0.1045"/>
    <n v="3"/>
    <n v="152"/>
    <n v="155"/>
    <x v="1"/>
    <x v="1"/>
    <x v="3"/>
    <x v="1"/>
    <x v="0"/>
    <n v="0.22929155386993369"/>
    <n v="-0.25435329828790432"/>
  </r>
  <r>
    <n v="777"/>
    <d v="2011-02-04T00:00:00"/>
    <n v="1"/>
    <n v="0"/>
    <x v="1"/>
    <x v="19"/>
    <b v="0"/>
    <n v="5"/>
    <n v="2"/>
    <x v="0"/>
    <n v="0.2424"/>
    <n v="0.65"/>
    <n v="0.1343"/>
    <n v="1"/>
    <n v="102"/>
    <n v="103"/>
    <x v="1"/>
    <x v="1"/>
    <x v="3"/>
    <x v="1"/>
    <x v="0"/>
    <n v="0.22929155386993369"/>
    <n v="-0.25435329828790432"/>
  </r>
  <r>
    <n v="778"/>
    <d v="2011-02-04T00:00:00"/>
    <n v="1"/>
    <n v="0"/>
    <x v="1"/>
    <x v="20"/>
    <b v="0"/>
    <n v="5"/>
    <n v="2"/>
    <x v="0"/>
    <n v="0.2424"/>
    <n v="0.65"/>
    <n v="0.16420000000000001"/>
    <n v="2"/>
    <n v="69"/>
    <n v="71"/>
    <x v="1"/>
    <x v="1"/>
    <x v="3"/>
    <x v="1"/>
    <x v="0"/>
    <n v="0.22929155386993369"/>
    <n v="-0.25435329828790432"/>
  </r>
  <r>
    <n v="779"/>
    <d v="2011-02-04T00:00:00"/>
    <n v="1"/>
    <n v="0"/>
    <x v="1"/>
    <x v="21"/>
    <b v="0"/>
    <n v="5"/>
    <n v="2"/>
    <x v="0"/>
    <n v="0.2424"/>
    <n v="0.7"/>
    <n v="0.16420000000000001"/>
    <n v="2"/>
    <n v="41"/>
    <n v="43"/>
    <x v="1"/>
    <x v="1"/>
    <x v="0"/>
    <x v="1"/>
    <x v="0"/>
    <n v="0.22929155386993369"/>
    <n v="-0.25435329828790432"/>
  </r>
  <r>
    <n v="780"/>
    <d v="2011-02-04T00:00:00"/>
    <n v="1"/>
    <n v="0"/>
    <x v="1"/>
    <x v="22"/>
    <b v="0"/>
    <n v="5"/>
    <n v="2"/>
    <x v="0"/>
    <n v="0.2424"/>
    <n v="0.65"/>
    <n v="0.16420000000000001"/>
    <n v="1"/>
    <n v="45"/>
    <n v="46"/>
    <x v="1"/>
    <x v="1"/>
    <x v="0"/>
    <x v="1"/>
    <x v="0"/>
    <n v="0.22929155386993369"/>
    <n v="-0.25435329828790432"/>
  </r>
  <r>
    <n v="781"/>
    <d v="2011-02-04T00:00:00"/>
    <n v="1"/>
    <n v="0"/>
    <x v="1"/>
    <x v="23"/>
    <b v="0"/>
    <n v="5"/>
    <n v="2"/>
    <x v="0"/>
    <n v="0.2424"/>
    <n v="0.7"/>
    <n v="0.1343"/>
    <n v="1"/>
    <n v="30"/>
    <n v="31"/>
    <x v="1"/>
    <x v="1"/>
    <x v="0"/>
    <x v="1"/>
    <x v="0"/>
    <n v="0.22929155386993369"/>
    <n v="-0.25435329828790432"/>
  </r>
  <r>
    <n v="782"/>
    <d v="2011-02-05T00:00:00"/>
    <n v="1"/>
    <n v="0"/>
    <x v="1"/>
    <x v="0"/>
    <b v="0"/>
    <n v="6"/>
    <n v="2"/>
    <x v="0"/>
    <n v="0.2424"/>
    <n v="0.7"/>
    <n v="0.16420000000000001"/>
    <n v="3"/>
    <n v="36"/>
    <n v="39"/>
    <x v="0"/>
    <x v="1"/>
    <x v="0"/>
    <x v="1"/>
    <x v="0"/>
    <n v="0.22929155386993369"/>
    <n v="-0.25435329828790432"/>
  </r>
  <r>
    <n v="783"/>
    <d v="2011-02-05T00:00:00"/>
    <n v="1"/>
    <n v="0"/>
    <x v="1"/>
    <x v="1"/>
    <b v="0"/>
    <n v="6"/>
    <n v="2"/>
    <x v="0"/>
    <n v="0.2424"/>
    <n v="0.65"/>
    <n v="0.16420000000000001"/>
    <n v="1"/>
    <n v="17"/>
    <n v="18"/>
    <x v="0"/>
    <x v="1"/>
    <x v="0"/>
    <x v="1"/>
    <x v="0"/>
    <n v="0.22929155386993369"/>
    <n v="-0.25435329828790432"/>
  </r>
  <r>
    <n v="784"/>
    <d v="2011-02-05T00:00:00"/>
    <n v="1"/>
    <n v="0"/>
    <x v="1"/>
    <x v="2"/>
    <b v="0"/>
    <n v="6"/>
    <n v="2"/>
    <x v="0"/>
    <n v="0.2424"/>
    <n v="0.75"/>
    <n v="0.16420000000000001"/>
    <n v="5"/>
    <n v="12"/>
    <n v="17"/>
    <x v="0"/>
    <x v="1"/>
    <x v="0"/>
    <x v="1"/>
    <x v="0"/>
    <n v="0.22929155386993369"/>
    <n v="-0.25435329828790432"/>
  </r>
  <r>
    <n v="785"/>
    <d v="2011-02-05T00:00:00"/>
    <n v="1"/>
    <n v="0"/>
    <x v="1"/>
    <x v="3"/>
    <b v="0"/>
    <n v="6"/>
    <n v="2"/>
    <x v="0"/>
    <n v="0.2424"/>
    <n v="0.75"/>
    <n v="0.16420000000000001"/>
    <n v="1"/>
    <n v="10"/>
    <n v="11"/>
    <x v="0"/>
    <x v="1"/>
    <x v="0"/>
    <x v="1"/>
    <x v="0"/>
    <n v="0.22929155386993369"/>
    <n v="-0.25435329828790432"/>
  </r>
  <r>
    <n v="786"/>
    <d v="2011-02-05T00:00:00"/>
    <n v="1"/>
    <n v="0"/>
    <x v="1"/>
    <x v="4"/>
    <b v="0"/>
    <n v="6"/>
    <n v="3"/>
    <x v="1"/>
    <n v="0.2273"/>
    <n v="0.93"/>
    <n v="0.1343"/>
    <n v="0"/>
    <n v="8"/>
    <n v="8"/>
    <x v="0"/>
    <x v="2"/>
    <x v="0"/>
    <x v="1"/>
    <x v="0"/>
    <n v="0.22929155386993369"/>
    <n v="-0.25435329828790432"/>
  </r>
  <r>
    <n v="787"/>
    <d v="2011-02-05T00:00:00"/>
    <n v="1"/>
    <n v="0"/>
    <x v="1"/>
    <x v="5"/>
    <b v="0"/>
    <n v="6"/>
    <n v="3"/>
    <x v="2"/>
    <n v="0.2273"/>
    <n v="1"/>
    <n v="8.9599999999999999E-2"/>
    <n v="0"/>
    <n v="9"/>
    <n v="9"/>
    <x v="0"/>
    <x v="2"/>
    <x v="0"/>
    <x v="1"/>
    <x v="0"/>
    <n v="0.22929155386993369"/>
    <n v="-0.25435329828790432"/>
  </r>
  <r>
    <n v="788"/>
    <d v="2011-02-05T00:00:00"/>
    <n v="1"/>
    <n v="0"/>
    <x v="1"/>
    <x v="6"/>
    <b v="0"/>
    <n v="6"/>
    <n v="3"/>
    <x v="2"/>
    <n v="0.2576"/>
    <n v="1"/>
    <n v="0"/>
    <n v="0"/>
    <n v="4"/>
    <n v="4"/>
    <x v="0"/>
    <x v="2"/>
    <x v="1"/>
    <x v="1"/>
    <x v="0"/>
    <n v="0.22929155386993369"/>
    <n v="-0.25435329828790432"/>
  </r>
  <r>
    <n v="789"/>
    <d v="2011-02-05T00:00:00"/>
    <n v="1"/>
    <n v="0"/>
    <x v="1"/>
    <x v="7"/>
    <b v="0"/>
    <n v="6"/>
    <n v="3"/>
    <x v="1"/>
    <n v="0.2576"/>
    <n v="0.93"/>
    <n v="8.9599999999999999E-2"/>
    <n v="0"/>
    <n v="4"/>
    <n v="4"/>
    <x v="0"/>
    <x v="2"/>
    <x v="1"/>
    <x v="1"/>
    <x v="0"/>
    <n v="0.22929155386993369"/>
    <n v="-0.25435329828790432"/>
  </r>
  <r>
    <n v="790"/>
    <d v="2011-02-05T00:00:00"/>
    <n v="1"/>
    <n v="0"/>
    <x v="1"/>
    <x v="8"/>
    <b v="0"/>
    <n v="6"/>
    <n v="3"/>
    <x v="2"/>
    <n v="0.2273"/>
    <n v="1"/>
    <n v="8.9599999999999999E-2"/>
    <n v="0"/>
    <n v="10"/>
    <n v="10"/>
    <x v="0"/>
    <x v="2"/>
    <x v="1"/>
    <x v="1"/>
    <x v="0"/>
    <n v="0.22929155386993369"/>
    <n v="-0.25435329828790432"/>
  </r>
  <r>
    <n v="791"/>
    <d v="2011-02-05T00:00:00"/>
    <n v="1"/>
    <n v="0"/>
    <x v="1"/>
    <x v="9"/>
    <b v="0"/>
    <n v="6"/>
    <n v="3"/>
    <x v="2"/>
    <n v="0.2273"/>
    <n v="1"/>
    <n v="8.9599999999999999E-2"/>
    <n v="3"/>
    <n v="17"/>
    <n v="20"/>
    <x v="0"/>
    <x v="2"/>
    <x v="1"/>
    <x v="1"/>
    <x v="0"/>
    <n v="0.22929155386993369"/>
    <n v="-0.25435329828790432"/>
  </r>
  <r>
    <n v="792"/>
    <d v="2011-02-05T00:00:00"/>
    <n v="1"/>
    <n v="0"/>
    <x v="1"/>
    <x v="10"/>
    <b v="0"/>
    <n v="6"/>
    <n v="3"/>
    <x v="2"/>
    <n v="0.21210000000000001"/>
    <n v="1"/>
    <n v="0.1343"/>
    <n v="3"/>
    <n v="31"/>
    <n v="34"/>
    <x v="0"/>
    <x v="2"/>
    <x v="1"/>
    <x v="1"/>
    <x v="0"/>
    <n v="0.22929155386993369"/>
    <n v="-0.25435329828790432"/>
  </r>
  <r>
    <n v="793"/>
    <d v="2011-02-05T00:00:00"/>
    <n v="1"/>
    <n v="0"/>
    <x v="1"/>
    <x v="11"/>
    <b v="0"/>
    <n v="6"/>
    <n v="3"/>
    <x v="1"/>
    <n v="0.2273"/>
    <n v="1"/>
    <n v="0.1343"/>
    <n v="1"/>
    <n v="46"/>
    <n v="47"/>
    <x v="0"/>
    <x v="2"/>
    <x v="1"/>
    <x v="1"/>
    <x v="0"/>
    <n v="0.22929155386993369"/>
    <n v="-0.25435329828790432"/>
  </r>
  <r>
    <n v="794"/>
    <d v="2011-02-05T00:00:00"/>
    <n v="1"/>
    <n v="0"/>
    <x v="1"/>
    <x v="12"/>
    <b v="0"/>
    <n v="6"/>
    <n v="3"/>
    <x v="1"/>
    <n v="0.2273"/>
    <n v="1"/>
    <n v="0.16420000000000001"/>
    <n v="10"/>
    <n v="42"/>
    <n v="52"/>
    <x v="0"/>
    <x v="2"/>
    <x v="2"/>
    <x v="1"/>
    <x v="0"/>
    <n v="0.22929155386993369"/>
    <n v="-0.25435329828790432"/>
  </r>
  <r>
    <n v="795"/>
    <d v="2011-02-05T00:00:00"/>
    <n v="1"/>
    <n v="0"/>
    <x v="1"/>
    <x v="13"/>
    <b v="0"/>
    <n v="6"/>
    <n v="3"/>
    <x v="1"/>
    <n v="0.2273"/>
    <n v="1"/>
    <n v="0.16420000000000001"/>
    <n v="10"/>
    <n v="62"/>
    <n v="72"/>
    <x v="0"/>
    <x v="2"/>
    <x v="2"/>
    <x v="1"/>
    <x v="0"/>
    <n v="0.22929155386993369"/>
    <n v="-0.25435329828790432"/>
  </r>
  <r>
    <n v="796"/>
    <d v="2011-02-05T00:00:00"/>
    <n v="1"/>
    <n v="0"/>
    <x v="1"/>
    <x v="14"/>
    <b v="0"/>
    <n v="6"/>
    <n v="3"/>
    <x v="1"/>
    <n v="0.2727"/>
    <n v="1"/>
    <n v="0"/>
    <n v="5"/>
    <n v="50"/>
    <n v="55"/>
    <x v="0"/>
    <x v="2"/>
    <x v="2"/>
    <x v="1"/>
    <x v="0"/>
    <n v="0.22929155386993369"/>
    <n v="-0.25435329828790432"/>
  </r>
  <r>
    <n v="797"/>
    <d v="2011-02-05T00:00:00"/>
    <n v="1"/>
    <n v="0"/>
    <x v="1"/>
    <x v="15"/>
    <b v="0"/>
    <n v="6"/>
    <n v="3"/>
    <x v="1"/>
    <n v="0.2727"/>
    <n v="1"/>
    <n v="0"/>
    <n v="11"/>
    <n v="49"/>
    <n v="60"/>
    <x v="0"/>
    <x v="2"/>
    <x v="2"/>
    <x v="1"/>
    <x v="0"/>
    <n v="0.22929155386993369"/>
    <n v="-0.25435329828790432"/>
  </r>
  <r>
    <n v="798"/>
    <d v="2011-02-05T00:00:00"/>
    <n v="1"/>
    <n v="0"/>
    <x v="1"/>
    <x v="16"/>
    <b v="0"/>
    <n v="6"/>
    <n v="3"/>
    <x v="1"/>
    <n v="0.2273"/>
    <n v="1"/>
    <n v="0.1343"/>
    <n v="8"/>
    <n v="63"/>
    <n v="71"/>
    <x v="0"/>
    <x v="2"/>
    <x v="2"/>
    <x v="1"/>
    <x v="0"/>
    <n v="0.22929155386993369"/>
    <n v="-0.25435329828790432"/>
  </r>
  <r>
    <n v="799"/>
    <d v="2011-02-05T00:00:00"/>
    <n v="1"/>
    <n v="0"/>
    <x v="1"/>
    <x v="17"/>
    <b v="0"/>
    <n v="6"/>
    <n v="2"/>
    <x v="0"/>
    <n v="0.21210000000000001"/>
    <n v="1"/>
    <n v="0.28360000000000002"/>
    <n v="14"/>
    <n v="64"/>
    <n v="78"/>
    <x v="0"/>
    <x v="1"/>
    <x v="3"/>
    <x v="1"/>
    <x v="0"/>
    <n v="0.22929155386993369"/>
    <n v="-0.25435329828790432"/>
  </r>
  <r>
    <n v="800"/>
    <d v="2011-02-05T00:00:00"/>
    <n v="1"/>
    <n v="0"/>
    <x v="1"/>
    <x v="18"/>
    <b v="0"/>
    <n v="6"/>
    <n v="2"/>
    <x v="17"/>
    <n v="0.2424"/>
    <n v="0.93"/>
    <n v="0.44779999999999998"/>
    <n v="2"/>
    <n v="81"/>
    <n v="83"/>
    <x v="0"/>
    <x v="1"/>
    <x v="3"/>
    <x v="1"/>
    <x v="0"/>
    <n v="0.22929155386993369"/>
    <n v="-0.25435329828790432"/>
  </r>
  <r>
    <n v="801"/>
    <d v="2011-02-05T00:00:00"/>
    <n v="1"/>
    <n v="0"/>
    <x v="1"/>
    <x v="19"/>
    <b v="0"/>
    <n v="6"/>
    <n v="2"/>
    <x v="17"/>
    <n v="0.2424"/>
    <n v="0.93"/>
    <n v="0.44779999999999998"/>
    <n v="6"/>
    <n v="78"/>
    <n v="84"/>
    <x v="0"/>
    <x v="1"/>
    <x v="3"/>
    <x v="1"/>
    <x v="0"/>
    <n v="0.22929155386993369"/>
    <n v="-0.25435329828790432"/>
  </r>
  <r>
    <n v="802"/>
    <d v="2011-02-05T00:00:00"/>
    <n v="1"/>
    <n v="0"/>
    <x v="1"/>
    <x v="20"/>
    <b v="0"/>
    <n v="6"/>
    <n v="1"/>
    <x v="11"/>
    <n v="0.28789999999999999"/>
    <n v="0.87"/>
    <n v="0.25369999999999998"/>
    <n v="5"/>
    <n v="64"/>
    <n v="69"/>
    <x v="0"/>
    <x v="0"/>
    <x v="3"/>
    <x v="1"/>
    <x v="0"/>
    <n v="0.22929155386993369"/>
    <n v="-0.25435329828790432"/>
  </r>
  <r>
    <n v="803"/>
    <d v="2011-02-05T00:00:00"/>
    <n v="1"/>
    <n v="0"/>
    <x v="1"/>
    <x v="21"/>
    <b v="0"/>
    <n v="6"/>
    <n v="1"/>
    <x v="12"/>
    <n v="0.2576"/>
    <n v="1"/>
    <n v="0.19400000000000001"/>
    <n v="3"/>
    <n v="53"/>
    <n v="56"/>
    <x v="0"/>
    <x v="0"/>
    <x v="0"/>
    <x v="1"/>
    <x v="0"/>
    <n v="0.22929155386993369"/>
    <n v="-0.25435329828790432"/>
  </r>
  <r>
    <n v="804"/>
    <d v="2011-02-05T00:00:00"/>
    <n v="1"/>
    <n v="0"/>
    <x v="1"/>
    <x v="22"/>
    <b v="0"/>
    <n v="6"/>
    <n v="1"/>
    <x v="12"/>
    <n v="0.2727"/>
    <n v="0.93"/>
    <n v="0.1343"/>
    <n v="2"/>
    <n v="43"/>
    <n v="45"/>
    <x v="0"/>
    <x v="0"/>
    <x v="0"/>
    <x v="1"/>
    <x v="0"/>
    <n v="0.22929155386993369"/>
    <n v="-0.25435329828790432"/>
  </r>
  <r>
    <n v="805"/>
    <d v="2011-02-05T00:00:00"/>
    <n v="1"/>
    <n v="0"/>
    <x v="1"/>
    <x v="23"/>
    <b v="0"/>
    <n v="6"/>
    <n v="1"/>
    <x v="12"/>
    <n v="0.2576"/>
    <n v="0.93"/>
    <n v="0.22389999999999999"/>
    <n v="7"/>
    <n v="52"/>
    <n v="59"/>
    <x v="0"/>
    <x v="0"/>
    <x v="0"/>
    <x v="1"/>
    <x v="0"/>
    <n v="0.22929155386993369"/>
    <n v="-0.25435329828790432"/>
  </r>
  <r>
    <n v="806"/>
    <d v="2011-02-06T00:00:00"/>
    <n v="1"/>
    <n v="0"/>
    <x v="1"/>
    <x v="0"/>
    <b v="0"/>
    <n v="0"/>
    <n v="1"/>
    <x v="12"/>
    <n v="0.2576"/>
    <n v="0.7"/>
    <n v="0.19400000000000001"/>
    <n v="2"/>
    <n v="37"/>
    <n v="39"/>
    <x v="0"/>
    <x v="0"/>
    <x v="0"/>
    <x v="1"/>
    <x v="0"/>
    <n v="0.22929155386993369"/>
    <n v="-0.25435329828790432"/>
  </r>
  <r>
    <n v="807"/>
    <d v="2011-02-06T00:00:00"/>
    <n v="1"/>
    <n v="0"/>
    <x v="1"/>
    <x v="1"/>
    <b v="0"/>
    <n v="0"/>
    <n v="1"/>
    <x v="12"/>
    <n v="0.2273"/>
    <n v="0.65"/>
    <n v="0.41789999999999999"/>
    <n v="4"/>
    <n v="40"/>
    <n v="44"/>
    <x v="0"/>
    <x v="0"/>
    <x v="0"/>
    <x v="1"/>
    <x v="0"/>
    <n v="0.22929155386993369"/>
    <n v="-0.25435329828790432"/>
  </r>
  <r>
    <n v="808"/>
    <d v="2011-02-06T00:00:00"/>
    <n v="1"/>
    <n v="0"/>
    <x v="1"/>
    <x v="2"/>
    <b v="0"/>
    <n v="0"/>
    <n v="1"/>
    <x v="12"/>
    <n v="0.2273"/>
    <n v="0.6"/>
    <n v="0.32840000000000003"/>
    <n v="0"/>
    <n v="20"/>
    <n v="20"/>
    <x v="0"/>
    <x v="0"/>
    <x v="0"/>
    <x v="1"/>
    <x v="0"/>
    <n v="0.22929155386993369"/>
    <n v="-0.25435329828790432"/>
  </r>
  <r>
    <n v="809"/>
    <d v="2011-02-06T00:00:00"/>
    <n v="1"/>
    <n v="0"/>
    <x v="1"/>
    <x v="3"/>
    <b v="0"/>
    <n v="0"/>
    <n v="1"/>
    <x v="12"/>
    <n v="0.28789999999999999"/>
    <n v="0.6"/>
    <n v="8.9599999999999999E-2"/>
    <n v="3"/>
    <n v="10"/>
    <n v="13"/>
    <x v="0"/>
    <x v="0"/>
    <x v="0"/>
    <x v="1"/>
    <x v="0"/>
    <n v="0.22929155386993369"/>
    <n v="-0.25435329828790432"/>
  </r>
  <r>
    <n v="810"/>
    <d v="2011-02-06T00:00:00"/>
    <n v="1"/>
    <n v="0"/>
    <x v="1"/>
    <x v="4"/>
    <b v="0"/>
    <n v="0"/>
    <n v="1"/>
    <x v="12"/>
    <n v="0.2273"/>
    <n v="0.6"/>
    <n v="0.35820000000000002"/>
    <n v="0"/>
    <n v="2"/>
    <n v="2"/>
    <x v="0"/>
    <x v="0"/>
    <x v="0"/>
    <x v="1"/>
    <x v="0"/>
    <n v="0.22929155386993369"/>
    <n v="-0.25435329828790432"/>
  </r>
  <r>
    <n v="811"/>
    <d v="2011-02-06T00:00:00"/>
    <n v="1"/>
    <n v="0"/>
    <x v="1"/>
    <x v="5"/>
    <b v="0"/>
    <n v="0"/>
    <n v="1"/>
    <x v="12"/>
    <n v="0.2576"/>
    <n v="0.6"/>
    <n v="0.22389999999999999"/>
    <n v="0"/>
    <n v="1"/>
    <n v="1"/>
    <x v="0"/>
    <x v="0"/>
    <x v="0"/>
    <x v="1"/>
    <x v="0"/>
    <n v="0.22929155386993369"/>
    <n v="-0.25435329828790432"/>
  </r>
  <r>
    <n v="812"/>
    <d v="2011-02-06T00:00:00"/>
    <n v="1"/>
    <n v="0"/>
    <x v="1"/>
    <x v="6"/>
    <b v="0"/>
    <n v="0"/>
    <n v="1"/>
    <x v="12"/>
    <n v="0.2576"/>
    <n v="0.6"/>
    <n v="0.22389999999999999"/>
    <n v="0"/>
    <n v="1"/>
    <n v="1"/>
    <x v="0"/>
    <x v="0"/>
    <x v="1"/>
    <x v="1"/>
    <x v="0"/>
    <n v="0.22929155386993369"/>
    <n v="-0.25435329828790432"/>
  </r>
  <r>
    <n v="813"/>
    <d v="2011-02-06T00:00:00"/>
    <n v="1"/>
    <n v="0"/>
    <x v="1"/>
    <x v="7"/>
    <b v="0"/>
    <n v="0"/>
    <n v="1"/>
    <x v="0"/>
    <n v="0.2424"/>
    <n v="0.65"/>
    <n v="0.16420000000000001"/>
    <n v="0"/>
    <n v="8"/>
    <n v="8"/>
    <x v="0"/>
    <x v="0"/>
    <x v="1"/>
    <x v="1"/>
    <x v="0"/>
    <n v="0.22929155386993369"/>
    <n v="-0.25435329828790432"/>
  </r>
  <r>
    <n v="814"/>
    <d v="2011-02-06T00:00:00"/>
    <n v="1"/>
    <n v="0"/>
    <x v="1"/>
    <x v="8"/>
    <b v="0"/>
    <n v="0"/>
    <n v="1"/>
    <x v="0"/>
    <n v="0.2576"/>
    <n v="0.65"/>
    <n v="0.1045"/>
    <n v="2"/>
    <n v="21"/>
    <n v="23"/>
    <x v="0"/>
    <x v="0"/>
    <x v="1"/>
    <x v="1"/>
    <x v="0"/>
    <n v="0.22929155386993369"/>
    <n v="-0.25435329828790432"/>
  </r>
  <r>
    <n v="815"/>
    <d v="2011-02-06T00:00:00"/>
    <n v="1"/>
    <n v="0"/>
    <x v="1"/>
    <x v="9"/>
    <b v="0"/>
    <n v="0"/>
    <n v="1"/>
    <x v="17"/>
    <n v="0.28789999999999999"/>
    <n v="0.56000000000000005"/>
    <n v="0.1045"/>
    <n v="7"/>
    <n v="38"/>
    <n v="45"/>
    <x v="0"/>
    <x v="0"/>
    <x v="1"/>
    <x v="1"/>
    <x v="0"/>
    <n v="0.22929155386993369"/>
    <n v="-0.25435329828790432"/>
  </r>
  <r>
    <n v="816"/>
    <d v="2011-02-06T00:00:00"/>
    <n v="1"/>
    <n v="0"/>
    <x v="1"/>
    <x v="10"/>
    <b v="0"/>
    <n v="0"/>
    <n v="1"/>
    <x v="11"/>
    <n v="0.28789999999999999"/>
    <n v="0.52"/>
    <n v="0.25369999999999998"/>
    <n v="15"/>
    <n v="74"/>
    <n v="89"/>
    <x v="0"/>
    <x v="0"/>
    <x v="1"/>
    <x v="1"/>
    <x v="0"/>
    <n v="0.22929155386993369"/>
    <n v="-0.25435329828790432"/>
  </r>
  <r>
    <n v="817"/>
    <d v="2011-02-06T00:00:00"/>
    <n v="1"/>
    <n v="0"/>
    <x v="1"/>
    <x v="11"/>
    <b v="0"/>
    <n v="0"/>
    <n v="1"/>
    <x v="3"/>
    <n v="0.30299999999999999"/>
    <n v="0.49"/>
    <n v="0.25369999999999998"/>
    <n v="28"/>
    <n v="89"/>
    <n v="117"/>
    <x v="0"/>
    <x v="0"/>
    <x v="1"/>
    <x v="1"/>
    <x v="0"/>
    <n v="0.22929155386993369"/>
    <n v="-0.25435329828790432"/>
  </r>
  <r>
    <n v="818"/>
    <d v="2011-02-06T00:00:00"/>
    <n v="1"/>
    <n v="0"/>
    <x v="1"/>
    <x v="12"/>
    <b v="0"/>
    <n v="0"/>
    <n v="1"/>
    <x v="10"/>
    <n v="0.33329999999999999"/>
    <n v="0.46"/>
    <n v="0"/>
    <n v="48"/>
    <n v="126"/>
    <n v="174"/>
    <x v="0"/>
    <x v="0"/>
    <x v="2"/>
    <x v="1"/>
    <x v="0"/>
    <n v="0.22929155386993369"/>
    <n v="-0.25435329828790432"/>
  </r>
  <r>
    <n v="819"/>
    <d v="2011-02-06T00:00:00"/>
    <n v="1"/>
    <n v="0"/>
    <x v="1"/>
    <x v="13"/>
    <b v="0"/>
    <n v="0"/>
    <n v="1"/>
    <x v="10"/>
    <n v="0.36359999999999998"/>
    <n v="0.46"/>
    <n v="0"/>
    <n v="47"/>
    <n v="135"/>
    <n v="182"/>
    <x v="0"/>
    <x v="0"/>
    <x v="2"/>
    <x v="1"/>
    <x v="0"/>
    <n v="0.22929155386993369"/>
    <n v="-0.25435329828790432"/>
  </r>
  <r>
    <n v="820"/>
    <d v="2011-02-06T00:00:00"/>
    <n v="1"/>
    <n v="0"/>
    <x v="1"/>
    <x v="14"/>
    <b v="0"/>
    <n v="0"/>
    <n v="1"/>
    <x v="10"/>
    <n v="0.34849999999999998"/>
    <n v="0.46"/>
    <n v="8.9599999999999999E-2"/>
    <n v="47"/>
    <n v="114"/>
    <n v="161"/>
    <x v="0"/>
    <x v="0"/>
    <x v="2"/>
    <x v="1"/>
    <x v="0"/>
    <n v="0.22929155386993369"/>
    <n v="-0.25435329828790432"/>
  </r>
  <r>
    <n v="821"/>
    <d v="2011-02-06T00:00:00"/>
    <n v="1"/>
    <n v="0"/>
    <x v="1"/>
    <x v="15"/>
    <b v="0"/>
    <n v="0"/>
    <n v="1"/>
    <x v="10"/>
    <n v="0.34849999999999998"/>
    <n v="0.46"/>
    <n v="8.9599999999999999E-2"/>
    <n v="52"/>
    <n v="130"/>
    <n v="182"/>
    <x v="0"/>
    <x v="0"/>
    <x v="2"/>
    <x v="1"/>
    <x v="0"/>
    <n v="0.22929155386993369"/>
    <n v="-0.25435329828790432"/>
  </r>
  <r>
    <n v="822"/>
    <d v="2011-02-06T00:00:00"/>
    <n v="1"/>
    <n v="0"/>
    <x v="1"/>
    <x v="16"/>
    <b v="0"/>
    <n v="0"/>
    <n v="1"/>
    <x v="10"/>
    <n v="0.34849999999999998"/>
    <n v="0.49"/>
    <n v="0.1045"/>
    <n v="42"/>
    <n v="115"/>
    <n v="157"/>
    <x v="0"/>
    <x v="0"/>
    <x v="2"/>
    <x v="1"/>
    <x v="0"/>
    <n v="0.22929155386993369"/>
    <n v="-0.25435329828790432"/>
  </r>
  <r>
    <n v="823"/>
    <d v="2011-02-06T00:00:00"/>
    <n v="1"/>
    <n v="0"/>
    <x v="1"/>
    <x v="17"/>
    <b v="0"/>
    <n v="0"/>
    <n v="1"/>
    <x v="10"/>
    <n v="0.36359999999999998"/>
    <n v="0.46"/>
    <n v="0"/>
    <n v="24"/>
    <n v="97"/>
    <n v="121"/>
    <x v="0"/>
    <x v="0"/>
    <x v="3"/>
    <x v="1"/>
    <x v="0"/>
    <n v="0.22929155386993369"/>
    <n v="-0.25435329828790432"/>
  </r>
  <r>
    <n v="824"/>
    <d v="2011-02-06T00:00:00"/>
    <n v="1"/>
    <n v="0"/>
    <x v="1"/>
    <x v="18"/>
    <b v="0"/>
    <n v="0"/>
    <n v="1"/>
    <x v="11"/>
    <n v="0.30299999999999999"/>
    <n v="0.56000000000000005"/>
    <n v="0.16420000000000001"/>
    <n v="13"/>
    <n v="65"/>
    <n v="78"/>
    <x v="0"/>
    <x v="0"/>
    <x v="3"/>
    <x v="1"/>
    <x v="0"/>
    <n v="0.22929155386993369"/>
    <n v="-0.25435329828790432"/>
  </r>
  <r>
    <n v="825"/>
    <d v="2011-02-06T00:00:00"/>
    <n v="1"/>
    <n v="0"/>
    <x v="1"/>
    <x v="19"/>
    <b v="0"/>
    <n v="0"/>
    <n v="1"/>
    <x v="17"/>
    <n v="0.28789999999999999"/>
    <n v="0.61"/>
    <n v="0.1343"/>
    <n v="1"/>
    <n v="20"/>
    <n v="21"/>
    <x v="0"/>
    <x v="0"/>
    <x v="3"/>
    <x v="1"/>
    <x v="0"/>
    <n v="0.22929155386993369"/>
    <n v="-0.25435329828790432"/>
  </r>
  <r>
    <n v="826"/>
    <d v="2011-02-06T00:00:00"/>
    <n v="1"/>
    <n v="0"/>
    <x v="1"/>
    <x v="20"/>
    <b v="0"/>
    <n v="0"/>
    <n v="1"/>
    <x v="17"/>
    <n v="0.28789999999999999"/>
    <n v="0.61"/>
    <n v="0.1045"/>
    <n v="5"/>
    <n v="21"/>
    <n v="26"/>
    <x v="0"/>
    <x v="0"/>
    <x v="3"/>
    <x v="1"/>
    <x v="0"/>
    <n v="0.22929155386993369"/>
    <n v="-0.25435329828790432"/>
  </r>
  <r>
    <n v="827"/>
    <d v="2011-02-06T00:00:00"/>
    <n v="1"/>
    <n v="0"/>
    <x v="1"/>
    <x v="21"/>
    <b v="0"/>
    <n v="0"/>
    <n v="1"/>
    <x v="12"/>
    <n v="0.30299999999999999"/>
    <n v="0.6"/>
    <n v="0"/>
    <n v="5"/>
    <n v="22"/>
    <n v="27"/>
    <x v="0"/>
    <x v="0"/>
    <x v="0"/>
    <x v="1"/>
    <x v="0"/>
    <n v="0.22929155386993369"/>
    <n v="-0.25435329828790432"/>
  </r>
  <r>
    <n v="828"/>
    <d v="2011-02-06T00:00:00"/>
    <n v="1"/>
    <n v="0"/>
    <x v="1"/>
    <x v="22"/>
    <b v="0"/>
    <n v="0"/>
    <n v="1"/>
    <x v="12"/>
    <n v="0.30299999999999999"/>
    <n v="0.6"/>
    <n v="0"/>
    <n v="5"/>
    <n v="57"/>
    <n v="62"/>
    <x v="0"/>
    <x v="0"/>
    <x v="0"/>
    <x v="1"/>
    <x v="0"/>
    <n v="0.22929155386993369"/>
    <n v="-0.25435329828790432"/>
  </r>
  <r>
    <n v="829"/>
    <d v="2011-02-06T00:00:00"/>
    <n v="1"/>
    <n v="0"/>
    <x v="1"/>
    <x v="23"/>
    <b v="0"/>
    <n v="0"/>
    <n v="1"/>
    <x v="0"/>
    <n v="0.28789999999999999"/>
    <n v="0.65"/>
    <n v="0"/>
    <n v="4"/>
    <n v="26"/>
    <n v="30"/>
    <x v="0"/>
    <x v="0"/>
    <x v="0"/>
    <x v="1"/>
    <x v="0"/>
    <n v="0.22929155386993369"/>
    <n v="-0.25435329828790432"/>
  </r>
  <r>
    <n v="830"/>
    <d v="2011-02-07T00:00:00"/>
    <n v="1"/>
    <n v="0"/>
    <x v="1"/>
    <x v="0"/>
    <b v="0"/>
    <n v="1"/>
    <n v="1"/>
    <x v="0"/>
    <n v="0.28789999999999999"/>
    <n v="0.65"/>
    <n v="0"/>
    <n v="1"/>
    <n v="14"/>
    <n v="15"/>
    <x v="1"/>
    <x v="0"/>
    <x v="0"/>
    <x v="1"/>
    <x v="0"/>
    <n v="0.22929155386993369"/>
    <n v="-0.25435329828790432"/>
  </r>
  <r>
    <n v="831"/>
    <d v="2011-02-07T00:00:00"/>
    <n v="1"/>
    <n v="0"/>
    <x v="1"/>
    <x v="1"/>
    <b v="0"/>
    <n v="1"/>
    <n v="1"/>
    <x v="1"/>
    <n v="0.2727"/>
    <n v="0.75"/>
    <n v="0"/>
    <n v="1"/>
    <n v="4"/>
    <n v="5"/>
    <x v="1"/>
    <x v="0"/>
    <x v="0"/>
    <x v="1"/>
    <x v="0"/>
    <n v="0.22929155386993369"/>
    <n v="-0.25435329828790432"/>
  </r>
  <r>
    <n v="832"/>
    <d v="2011-02-07T00:00:00"/>
    <n v="1"/>
    <n v="0"/>
    <x v="1"/>
    <x v="2"/>
    <b v="0"/>
    <n v="1"/>
    <n v="1"/>
    <x v="2"/>
    <n v="0.2576"/>
    <n v="0.8"/>
    <n v="0"/>
    <n v="0"/>
    <n v="3"/>
    <n v="3"/>
    <x v="1"/>
    <x v="0"/>
    <x v="0"/>
    <x v="1"/>
    <x v="0"/>
    <n v="0.22929155386993369"/>
    <n v="-0.25435329828790432"/>
  </r>
  <r>
    <n v="833"/>
    <d v="2011-02-07T00:00:00"/>
    <n v="1"/>
    <n v="0"/>
    <x v="1"/>
    <x v="3"/>
    <b v="0"/>
    <n v="1"/>
    <n v="1"/>
    <x v="2"/>
    <n v="0.2576"/>
    <n v="0.86"/>
    <n v="0"/>
    <n v="0"/>
    <n v="1"/>
    <n v="1"/>
    <x v="1"/>
    <x v="0"/>
    <x v="0"/>
    <x v="1"/>
    <x v="0"/>
    <n v="0.22929155386993369"/>
    <n v="-0.25435329828790432"/>
  </r>
  <r>
    <n v="834"/>
    <d v="2011-02-07T00:00:00"/>
    <n v="1"/>
    <n v="0"/>
    <x v="1"/>
    <x v="4"/>
    <b v="0"/>
    <n v="1"/>
    <n v="1"/>
    <x v="2"/>
    <n v="0.2576"/>
    <n v="0.86"/>
    <n v="0"/>
    <n v="1"/>
    <n v="1"/>
    <n v="2"/>
    <x v="1"/>
    <x v="0"/>
    <x v="0"/>
    <x v="1"/>
    <x v="0"/>
    <n v="0.22929155386993369"/>
    <n v="-0.25435329828790432"/>
  </r>
  <r>
    <n v="835"/>
    <d v="2011-02-07T00:00:00"/>
    <n v="1"/>
    <n v="0"/>
    <x v="1"/>
    <x v="5"/>
    <b v="0"/>
    <n v="1"/>
    <n v="1"/>
    <x v="2"/>
    <n v="0.2576"/>
    <n v="0.86"/>
    <n v="0"/>
    <n v="1"/>
    <n v="9"/>
    <n v="10"/>
    <x v="1"/>
    <x v="0"/>
    <x v="0"/>
    <x v="1"/>
    <x v="0"/>
    <n v="0.22929155386993369"/>
    <n v="-0.25435329828790432"/>
  </r>
  <r>
    <n v="836"/>
    <d v="2011-02-07T00:00:00"/>
    <n v="1"/>
    <n v="0"/>
    <x v="1"/>
    <x v="6"/>
    <b v="0"/>
    <n v="1"/>
    <n v="1"/>
    <x v="15"/>
    <n v="0.2424"/>
    <n v="0.93"/>
    <n v="0"/>
    <n v="1"/>
    <n v="29"/>
    <n v="30"/>
    <x v="1"/>
    <x v="0"/>
    <x v="1"/>
    <x v="1"/>
    <x v="0"/>
    <n v="0.22929155386993369"/>
    <n v="-0.25435329828790432"/>
  </r>
  <r>
    <n v="837"/>
    <d v="2011-02-07T00:00:00"/>
    <n v="1"/>
    <n v="0"/>
    <x v="1"/>
    <x v="7"/>
    <b v="0"/>
    <n v="1"/>
    <n v="1"/>
    <x v="15"/>
    <n v="0.2424"/>
    <n v="0.86"/>
    <n v="0"/>
    <n v="6"/>
    <n v="89"/>
    <n v="95"/>
    <x v="1"/>
    <x v="0"/>
    <x v="1"/>
    <x v="1"/>
    <x v="0"/>
    <n v="0.22929155386993369"/>
    <n v="-0.25435329828790432"/>
  </r>
  <r>
    <n v="838"/>
    <d v="2011-02-07T00:00:00"/>
    <n v="1"/>
    <n v="0"/>
    <x v="1"/>
    <x v="8"/>
    <b v="0"/>
    <n v="1"/>
    <n v="2"/>
    <x v="13"/>
    <n v="0.2273"/>
    <n v="1"/>
    <n v="0"/>
    <n v="7"/>
    <n v="223"/>
    <n v="230"/>
    <x v="1"/>
    <x v="1"/>
    <x v="1"/>
    <x v="1"/>
    <x v="0"/>
    <n v="0.22929155386993369"/>
    <n v="-0.25435329828790432"/>
  </r>
  <r>
    <n v="839"/>
    <d v="2011-02-07T00:00:00"/>
    <n v="1"/>
    <n v="0"/>
    <x v="1"/>
    <x v="9"/>
    <b v="0"/>
    <n v="1"/>
    <n v="1"/>
    <x v="1"/>
    <n v="0.2727"/>
    <n v="0.8"/>
    <n v="0"/>
    <n v="3"/>
    <n v="115"/>
    <n v="118"/>
    <x v="1"/>
    <x v="0"/>
    <x v="1"/>
    <x v="1"/>
    <x v="0"/>
    <n v="0.22929155386993369"/>
    <n v="-0.25435329828790432"/>
  </r>
  <r>
    <n v="840"/>
    <d v="2011-02-07T00:00:00"/>
    <n v="1"/>
    <n v="0"/>
    <x v="1"/>
    <x v="10"/>
    <b v="0"/>
    <n v="1"/>
    <n v="1"/>
    <x v="0"/>
    <n v="0.2576"/>
    <n v="0.75"/>
    <n v="0.1045"/>
    <n v="6"/>
    <n v="49"/>
    <n v="55"/>
    <x v="1"/>
    <x v="0"/>
    <x v="1"/>
    <x v="1"/>
    <x v="0"/>
    <n v="0.22929155386993369"/>
    <n v="-0.25435329828790432"/>
  </r>
  <r>
    <n v="841"/>
    <d v="2011-02-07T00:00:00"/>
    <n v="1"/>
    <n v="0"/>
    <x v="1"/>
    <x v="11"/>
    <b v="0"/>
    <n v="1"/>
    <n v="1"/>
    <x v="11"/>
    <n v="0.31819999999999998"/>
    <n v="0.65"/>
    <n v="8.9599999999999999E-2"/>
    <n v="11"/>
    <n v="36"/>
    <n v="47"/>
    <x v="1"/>
    <x v="0"/>
    <x v="1"/>
    <x v="1"/>
    <x v="0"/>
    <n v="0.22929155386993369"/>
    <n v="-0.25435329828790432"/>
  </r>
  <r>
    <n v="842"/>
    <d v="2011-02-07T00:00:00"/>
    <n v="1"/>
    <n v="0"/>
    <x v="1"/>
    <x v="12"/>
    <b v="0"/>
    <n v="1"/>
    <n v="2"/>
    <x v="3"/>
    <n v="0.34849999999999998"/>
    <n v="0.62"/>
    <n v="0"/>
    <n v="7"/>
    <n v="59"/>
    <n v="66"/>
    <x v="1"/>
    <x v="1"/>
    <x v="2"/>
    <x v="1"/>
    <x v="0"/>
    <n v="0.22929155386993369"/>
    <n v="-0.25435329828790432"/>
  </r>
  <r>
    <n v="843"/>
    <d v="2011-02-07T00:00:00"/>
    <n v="1"/>
    <n v="0"/>
    <x v="1"/>
    <x v="13"/>
    <b v="0"/>
    <n v="1"/>
    <n v="2"/>
    <x v="5"/>
    <n v="0.36359999999999998"/>
    <n v="0.56999999999999995"/>
    <n v="8.9599999999999999E-2"/>
    <n v="10"/>
    <n v="54"/>
    <n v="64"/>
    <x v="1"/>
    <x v="1"/>
    <x v="2"/>
    <x v="1"/>
    <x v="0"/>
    <n v="0.22929155386993369"/>
    <n v="-0.25435329828790432"/>
  </r>
  <r>
    <n v="844"/>
    <d v="2011-02-07T00:00:00"/>
    <n v="1"/>
    <n v="0"/>
    <x v="1"/>
    <x v="14"/>
    <b v="0"/>
    <n v="1"/>
    <n v="2"/>
    <x v="5"/>
    <n v="0.36359999999999998"/>
    <n v="0.56999999999999995"/>
    <n v="8.9599999999999999E-2"/>
    <n v="8"/>
    <n v="52"/>
    <n v="60"/>
    <x v="1"/>
    <x v="1"/>
    <x v="2"/>
    <x v="1"/>
    <x v="0"/>
    <n v="0.22929155386993369"/>
    <n v="-0.25435329828790432"/>
  </r>
  <r>
    <n v="845"/>
    <d v="2011-02-07T00:00:00"/>
    <n v="1"/>
    <n v="0"/>
    <x v="1"/>
    <x v="15"/>
    <b v="0"/>
    <n v="1"/>
    <n v="2"/>
    <x v="4"/>
    <n v="0.39389999999999997"/>
    <n v="0.54"/>
    <n v="8.9599999999999999E-2"/>
    <n v="4"/>
    <n v="46"/>
    <n v="50"/>
    <x v="1"/>
    <x v="1"/>
    <x v="2"/>
    <x v="1"/>
    <x v="0"/>
    <n v="0.22929155386993369"/>
    <n v="-0.25435329828790432"/>
  </r>
  <r>
    <n v="846"/>
    <d v="2011-02-07T00:00:00"/>
    <n v="1"/>
    <n v="0"/>
    <x v="1"/>
    <x v="16"/>
    <b v="0"/>
    <n v="1"/>
    <n v="2"/>
    <x v="5"/>
    <n v="0.34849999999999998"/>
    <n v="0.56999999999999995"/>
    <n v="0.1343"/>
    <n v="16"/>
    <n v="98"/>
    <n v="114"/>
    <x v="1"/>
    <x v="1"/>
    <x v="2"/>
    <x v="1"/>
    <x v="0"/>
    <n v="0.22929155386993369"/>
    <n v="-0.25435329828790432"/>
  </r>
  <r>
    <n v="847"/>
    <d v="2011-02-07T00:00:00"/>
    <n v="1"/>
    <n v="0"/>
    <x v="1"/>
    <x v="17"/>
    <b v="0"/>
    <n v="1"/>
    <n v="2"/>
    <x v="3"/>
    <n v="0.31819999999999998"/>
    <n v="0.7"/>
    <n v="0.16420000000000001"/>
    <n v="9"/>
    <n v="207"/>
    <n v="216"/>
    <x v="1"/>
    <x v="1"/>
    <x v="3"/>
    <x v="1"/>
    <x v="0"/>
    <n v="0.22929155386993369"/>
    <n v="-0.25435329828790432"/>
  </r>
  <r>
    <n v="848"/>
    <d v="2011-02-07T00:00:00"/>
    <n v="1"/>
    <n v="0"/>
    <x v="1"/>
    <x v="18"/>
    <b v="0"/>
    <n v="1"/>
    <n v="2"/>
    <x v="10"/>
    <n v="0.33329999999999999"/>
    <n v="0.66"/>
    <n v="0.1343"/>
    <n v="5"/>
    <n v="170"/>
    <n v="175"/>
    <x v="1"/>
    <x v="1"/>
    <x v="3"/>
    <x v="1"/>
    <x v="0"/>
    <n v="0.22929155386993369"/>
    <n v="-0.25435329828790432"/>
  </r>
  <r>
    <n v="849"/>
    <d v="2011-02-07T00:00:00"/>
    <n v="1"/>
    <n v="0"/>
    <x v="1"/>
    <x v="19"/>
    <b v="0"/>
    <n v="1"/>
    <n v="2"/>
    <x v="3"/>
    <n v="0.34849999999999998"/>
    <n v="0.7"/>
    <n v="0"/>
    <n v="5"/>
    <n v="123"/>
    <n v="128"/>
    <x v="1"/>
    <x v="1"/>
    <x v="3"/>
    <x v="1"/>
    <x v="0"/>
    <n v="0.22929155386993369"/>
    <n v="-0.25435329828790432"/>
  </r>
  <r>
    <n v="850"/>
    <d v="2011-02-07T00:00:00"/>
    <n v="1"/>
    <n v="0"/>
    <x v="1"/>
    <x v="20"/>
    <b v="0"/>
    <n v="1"/>
    <n v="2"/>
    <x v="3"/>
    <n v="0.33329999999999999"/>
    <n v="0.7"/>
    <n v="0.1045"/>
    <n v="6"/>
    <n v="82"/>
    <n v="88"/>
    <x v="1"/>
    <x v="1"/>
    <x v="3"/>
    <x v="1"/>
    <x v="0"/>
    <n v="0.22929155386993369"/>
    <n v="-0.25435329828790432"/>
  </r>
  <r>
    <n v="851"/>
    <d v="2011-02-07T00:00:00"/>
    <n v="1"/>
    <n v="0"/>
    <x v="1"/>
    <x v="21"/>
    <b v="0"/>
    <n v="1"/>
    <n v="1"/>
    <x v="3"/>
    <n v="0.34849999999999998"/>
    <n v="0.7"/>
    <n v="0"/>
    <n v="3"/>
    <n v="75"/>
    <n v="78"/>
    <x v="1"/>
    <x v="0"/>
    <x v="0"/>
    <x v="1"/>
    <x v="0"/>
    <n v="0.22929155386993369"/>
    <n v="-0.25435329828790432"/>
  </r>
  <r>
    <n v="852"/>
    <d v="2011-02-07T00:00:00"/>
    <n v="1"/>
    <n v="0"/>
    <x v="1"/>
    <x v="22"/>
    <b v="0"/>
    <n v="1"/>
    <n v="1"/>
    <x v="17"/>
    <n v="0.30299999999999999"/>
    <n v="0.81"/>
    <n v="8.9599999999999999E-2"/>
    <n v="3"/>
    <n v="34"/>
    <n v="37"/>
    <x v="1"/>
    <x v="0"/>
    <x v="0"/>
    <x v="1"/>
    <x v="0"/>
    <n v="0.22929155386993369"/>
    <n v="-0.25435329828790432"/>
  </r>
  <r>
    <n v="853"/>
    <d v="2011-02-07T00:00:00"/>
    <n v="1"/>
    <n v="0"/>
    <x v="1"/>
    <x v="23"/>
    <b v="0"/>
    <n v="1"/>
    <n v="2"/>
    <x v="11"/>
    <n v="0.33329999999999999"/>
    <n v="0.81"/>
    <n v="0"/>
    <n v="6"/>
    <n v="19"/>
    <n v="25"/>
    <x v="1"/>
    <x v="1"/>
    <x v="0"/>
    <x v="1"/>
    <x v="0"/>
    <n v="0.22929155386993369"/>
    <n v="-0.25435329828790432"/>
  </r>
  <r>
    <n v="854"/>
    <d v="2011-02-08T00:00:00"/>
    <n v="1"/>
    <n v="0"/>
    <x v="1"/>
    <x v="0"/>
    <b v="0"/>
    <n v="2"/>
    <n v="2"/>
    <x v="17"/>
    <n v="0.31819999999999998"/>
    <n v="0.87"/>
    <n v="0"/>
    <n v="4"/>
    <n v="6"/>
    <n v="10"/>
    <x v="1"/>
    <x v="1"/>
    <x v="0"/>
    <x v="1"/>
    <x v="0"/>
    <n v="0.22929155386993369"/>
    <n v="-0.25435329828790432"/>
  </r>
  <r>
    <n v="855"/>
    <d v="2011-02-08T00:00:00"/>
    <n v="1"/>
    <n v="0"/>
    <x v="1"/>
    <x v="1"/>
    <b v="0"/>
    <n v="2"/>
    <n v="2"/>
    <x v="17"/>
    <n v="0.31819999999999998"/>
    <n v="0.87"/>
    <n v="0"/>
    <n v="0"/>
    <n v="4"/>
    <n v="4"/>
    <x v="1"/>
    <x v="1"/>
    <x v="0"/>
    <x v="1"/>
    <x v="0"/>
    <n v="0.22929155386993369"/>
    <n v="-0.25435329828790432"/>
  </r>
  <r>
    <n v="856"/>
    <d v="2011-02-08T00:00:00"/>
    <n v="1"/>
    <n v="0"/>
    <x v="1"/>
    <x v="2"/>
    <b v="0"/>
    <n v="2"/>
    <n v="2"/>
    <x v="12"/>
    <n v="0.2727"/>
    <n v="0.93"/>
    <n v="0.1045"/>
    <n v="1"/>
    <n v="1"/>
    <n v="2"/>
    <x v="1"/>
    <x v="1"/>
    <x v="0"/>
    <x v="1"/>
    <x v="0"/>
    <n v="0.22929155386993369"/>
    <n v="-0.25435329828790432"/>
  </r>
  <r>
    <n v="857"/>
    <d v="2011-02-08T00:00:00"/>
    <n v="1"/>
    <n v="0"/>
    <x v="1"/>
    <x v="3"/>
    <b v="0"/>
    <n v="2"/>
    <n v="3"/>
    <x v="17"/>
    <n v="0.2727"/>
    <n v="0.93"/>
    <n v="0.16420000000000001"/>
    <n v="0"/>
    <n v="1"/>
    <n v="1"/>
    <x v="1"/>
    <x v="2"/>
    <x v="0"/>
    <x v="1"/>
    <x v="0"/>
    <n v="0.22929155386993369"/>
    <n v="-0.25435329828790432"/>
  </r>
  <r>
    <n v="858"/>
    <d v="2011-02-08T00:00:00"/>
    <n v="1"/>
    <n v="0"/>
    <x v="1"/>
    <x v="4"/>
    <b v="0"/>
    <n v="2"/>
    <n v="1"/>
    <x v="12"/>
    <n v="0.2576"/>
    <n v="0.93"/>
    <n v="0.16420000000000001"/>
    <n v="0"/>
    <n v="3"/>
    <n v="3"/>
    <x v="1"/>
    <x v="0"/>
    <x v="0"/>
    <x v="1"/>
    <x v="0"/>
    <n v="0.22929155386993369"/>
    <n v="-0.25435329828790432"/>
  </r>
  <r>
    <n v="859"/>
    <d v="2011-02-08T00:00:00"/>
    <n v="1"/>
    <n v="0"/>
    <x v="1"/>
    <x v="5"/>
    <b v="0"/>
    <n v="2"/>
    <n v="1"/>
    <x v="12"/>
    <n v="0.2273"/>
    <n v="0.81"/>
    <n v="0.32840000000000003"/>
    <n v="0"/>
    <n v="2"/>
    <n v="2"/>
    <x v="1"/>
    <x v="0"/>
    <x v="0"/>
    <x v="1"/>
    <x v="0"/>
    <n v="0.22929155386993369"/>
    <n v="-0.25435329828790432"/>
  </r>
  <r>
    <n v="860"/>
    <d v="2011-02-08T00:00:00"/>
    <n v="1"/>
    <n v="0"/>
    <x v="1"/>
    <x v="6"/>
    <b v="0"/>
    <n v="2"/>
    <n v="1"/>
    <x v="12"/>
    <n v="0.2273"/>
    <n v="0.7"/>
    <n v="0.32840000000000003"/>
    <n v="0"/>
    <n v="39"/>
    <n v="39"/>
    <x v="1"/>
    <x v="0"/>
    <x v="1"/>
    <x v="1"/>
    <x v="0"/>
    <n v="0.22929155386993369"/>
    <n v="-0.25435329828790432"/>
  </r>
  <r>
    <n v="861"/>
    <d v="2011-02-08T00:00:00"/>
    <n v="1"/>
    <n v="0"/>
    <x v="1"/>
    <x v="7"/>
    <b v="0"/>
    <n v="2"/>
    <n v="1"/>
    <x v="0"/>
    <n v="0.19700000000000001"/>
    <n v="0.65"/>
    <n v="0.41789999999999999"/>
    <n v="3"/>
    <n v="97"/>
    <n v="100"/>
    <x v="1"/>
    <x v="0"/>
    <x v="1"/>
    <x v="1"/>
    <x v="0"/>
    <n v="0.22929155386993369"/>
    <n v="-0.25435329828790432"/>
  </r>
  <r>
    <n v="862"/>
    <d v="2011-02-08T00:00:00"/>
    <n v="1"/>
    <n v="0"/>
    <x v="1"/>
    <x v="8"/>
    <b v="0"/>
    <n v="2"/>
    <n v="1"/>
    <x v="0"/>
    <n v="0.19700000000000001"/>
    <n v="0.56000000000000005"/>
    <n v="0.49249999999999999"/>
    <n v="7"/>
    <n v="236"/>
    <n v="243"/>
    <x v="1"/>
    <x v="0"/>
    <x v="1"/>
    <x v="1"/>
    <x v="0"/>
    <n v="0.22929155386993369"/>
    <n v="-0.25435329828790432"/>
  </r>
  <r>
    <n v="863"/>
    <d v="2011-02-08T00:00:00"/>
    <n v="1"/>
    <n v="0"/>
    <x v="1"/>
    <x v="9"/>
    <b v="0"/>
    <n v="2"/>
    <n v="1"/>
    <x v="0"/>
    <n v="0.19700000000000001"/>
    <n v="0.52"/>
    <n v="0.49249999999999999"/>
    <n v="7"/>
    <n v="128"/>
    <n v="135"/>
    <x v="1"/>
    <x v="0"/>
    <x v="1"/>
    <x v="1"/>
    <x v="0"/>
    <n v="0.22929155386993369"/>
    <n v="-0.25435329828790432"/>
  </r>
  <r>
    <n v="864"/>
    <d v="2011-02-08T00:00:00"/>
    <n v="1"/>
    <n v="0"/>
    <x v="1"/>
    <x v="10"/>
    <b v="0"/>
    <n v="2"/>
    <n v="1"/>
    <x v="1"/>
    <n v="0.18179999999999999"/>
    <n v="0.47"/>
    <n v="0.55220000000000002"/>
    <n v="4"/>
    <n v="44"/>
    <n v="48"/>
    <x v="1"/>
    <x v="0"/>
    <x v="1"/>
    <x v="1"/>
    <x v="0"/>
    <n v="0.22929155386993369"/>
    <n v="-0.25435329828790432"/>
  </r>
  <r>
    <n v="865"/>
    <d v="2011-02-08T00:00:00"/>
    <n v="1"/>
    <n v="0"/>
    <x v="1"/>
    <x v="11"/>
    <b v="0"/>
    <n v="2"/>
    <n v="1"/>
    <x v="1"/>
    <n v="0.18179999999999999"/>
    <n v="0.47"/>
    <n v="0.4627"/>
    <n v="1"/>
    <n v="49"/>
    <n v="50"/>
    <x v="1"/>
    <x v="0"/>
    <x v="1"/>
    <x v="1"/>
    <x v="0"/>
    <n v="0.22929155386993369"/>
    <n v="-0.25435329828790432"/>
  </r>
  <r>
    <n v="866"/>
    <d v="2011-02-08T00:00:00"/>
    <n v="1"/>
    <n v="0"/>
    <x v="1"/>
    <x v="12"/>
    <b v="0"/>
    <n v="2"/>
    <n v="1"/>
    <x v="0"/>
    <n v="0.19700000000000001"/>
    <n v="0.38"/>
    <n v="0.49249999999999999"/>
    <n v="2"/>
    <n v="63"/>
    <n v="65"/>
    <x v="1"/>
    <x v="0"/>
    <x v="2"/>
    <x v="1"/>
    <x v="0"/>
    <n v="0.22929155386993369"/>
    <n v="-0.25435329828790432"/>
  </r>
  <r>
    <n v="867"/>
    <d v="2011-02-08T00:00:00"/>
    <n v="1"/>
    <n v="0"/>
    <x v="1"/>
    <x v="13"/>
    <b v="0"/>
    <n v="2"/>
    <n v="2"/>
    <x v="0"/>
    <n v="0.19700000000000001"/>
    <n v="0.32"/>
    <n v="0.44779999999999998"/>
    <n v="2"/>
    <n v="48"/>
    <n v="50"/>
    <x v="1"/>
    <x v="1"/>
    <x v="2"/>
    <x v="1"/>
    <x v="0"/>
    <n v="0.22929155386993369"/>
    <n v="-0.25435329828790432"/>
  </r>
  <r>
    <n v="868"/>
    <d v="2011-02-08T00:00:00"/>
    <n v="1"/>
    <n v="0"/>
    <x v="1"/>
    <x v="14"/>
    <b v="0"/>
    <n v="2"/>
    <n v="1"/>
    <x v="1"/>
    <n v="0.19700000000000001"/>
    <n v="0.37"/>
    <n v="0.41789999999999999"/>
    <n v="3"/>
    <n v="61"/>
    <n v="64"/>
    <x v="1"/>
    <x v="0"/>
    <x v="2"/>
    <x v="1"/>
    <x v="0"/>
    <n v="0.22929155386993369"/>
    <n v="-0.25435329828790432"/>
  </r>
  <r>
    <n v="869"/>
    <d v="2011-02-08T00:00:00"/>
    <n v="1"/>
    <n v="0"/>
    <x v="1"/>
    <x v="15"/>
    <b v="0"/>
    <n v="2"/>
    <n v="1"/>
    <x v="1"/>
    <n v="0.19700000000000001"/>
    <n v="0.35"/>
    <n v="0.3881"/>
    <n v="6"/>
    <n v="45"/>
    <n v="51"/>
    <x v="1"/>
    <x v="0"/>
    <x v="2"/>
    <x v="1"/>
    <x v="0"/>
    <n v="0.22929155386993369"/>
    <n v="-0.25435329828790432"/>
  </r>
  <r>
    <n v="870"/>
    <d v="2011-02-08T00:00:00"/>
    <n v="1"/>
    <n v="0"/>
    <x v="1"/>
    <x v="16"/>
    <b v="0"/>
    <n v="2"/>
    <n v="1"/>
    <x v="1"/>
    <n v="0.18179999999999999"/>
    <n v="0.35"/>
    <n v="0.52239999999999998"/>
    <n v="4"/>
    <n v="79"/>
    <n v="83"/>
    <x v="1"/>
    <x v="0"/>
    <x v="2"/>
    <x v="1"/>
    <x v="0"/>
    <n v="0.22929155386993369"/>
    <n v="-0.25435329828790432"/>
  </r>
  <r>
    <n v="871"/>
    <d v="2011-02-08T00:00:00"/>
    <n v="1"/>
    <n v="0"/>
    <x v="1"/>
    <x v="17"/>
    <b v="0"/>
    <n v="2"/>
    <n v="1"/>
    <x v="1"/>
    <n v="0.18179999999999999"/>
    <n v="0.32"/>
    <n v="0.58209999999999995"/>
    <n v="4"/>
    <n v="172"/>
    <n v="176"/>
    <x v="1"/>
    <x v="0"/>
    <x v="3"/>
    <x v="1"/>
    <x v="0"/>
    <n v="0.22929155386993369"/>
    <n v="-0.25435329828790432"/>
  </r>
  <r>
    <n v="872"/>
    <d v="2011-02-08T00:00:00"/>
    <n v="1"/>
    <n v="0"/>
    <x v="1"/>
    <x v="18"/>
    <b v="0"/>
    <n v="2"/>
    <n v="1"/>
    <x v="2"/>
    <n v="0.18179999999999999"/>
    <n v="0.32"/>
    <n v="0.3881"/>
    <n v="1"/>
    <n v="151"/>
    <n v="152"/>
    <x v="1"/>
    <x v="0"/>
    <x v="3"/>
    <x v="1"/>
    <x v="0"/>
    <n v="0.22929155386993369"/>
    <n v="-0.25435329828790432"/>
  </r>
  <r>
    <n v="873"/>
    <d v="2011-02-08T00:00:00"/>
    <n v="1"/>
    <n v="0"/>
    <x v="1"/>
    <x v="19"/>
    <b v="0"/>
    <n v="2"/>
    <n v="1"/>
    <x v="13"/>
    <n v="0.1212"/>
    <n v="0.4"/>
    <n v="0.4627"/>
    <n v="1"/>
    <n v="100"/>
    <n v="101"/>
    <x v="1"/>
    <x v="0"/>
    <x v="3"/>
    <x v="1"/>
    <x v="0"/>
    <n v="0.22929155386993369"/>
    <n v="-0.25435329828790432"/>
  </r>
  <r>
    <n v="874"/>
    <d v="2011-02-08T00:00:00"/>
    <n v="1"/>
    <n v="0"/>
    <x v="1"/>
    <x v="20"/>
    <b v="0"/>
    <n v="2"/>
    <n v="1"/>
    <x v="13"/>
    <n v="0.13639999999999999"/>
    <n v="0.4"/>
    <n v="0.32840000000000003"/>
    <n v="3"/>
    <n v="53"/>
    <n v="56"/>
    <x v="1"/>
    <x v="0"/>
    <x v="3"/>
    <x v="1"/>
    <x v="0"/>
    <n v="0.22929155386993369"/>
    <n v="-0.25435329828790432"/>
  </r>
  <r>
    <n v="875"/>
    <d v="2011-02-08T00:00:00"/>
    <n v="1"/>
    <n v="0"/>
    <x v="1"/>
    <x v="21"/>
    <b v="0"/>
    <n v="2"/>
    <n v="1"/>
    <x v="14"/>
    <n v="0.1061"/>
    <n v="0.33"/>
    <n v="0.4627"/>
    <n v="8"/>
    <n v="46"/>
    <n v="54"/>
    <x v="1"/>
    <x v="0"/>
    <x v="0"/>
    <x v="1"/>
    <x v="0"/>
    <n v="0.22929155386993369"/>
    <n v="-0.25435329828790432"/>
  </r>
  <r>
    <n v="876"/>
    <d v="2011-02-08T00:00:00"/>
    <n v="1"/>
    <n v="0"/>
    <x v="1"/>
    <x v="22"/>
    <b v="0"/>
    <n v="2"/>
    <n v="1"/>
    <x v="16"/>
    <n v="0.1061"/>
    <n v="0.33"/>
    <n v="0.35820000000000002"/>
    <n v="0"/>
    <n v="29"/>
    <n v="29"/>
    <x v="1"/>
    <x v="0"/>
    <x v="0"/>
    <x v="1"/>
    <x v="0"/>
    <n v="0.22929155386993369"/>
    <n v="-0.25435329828790432"/>
  </r>
  <r>
    <n v="877"/>
    <d v="2011-02-08T00:00:00"/>
    <n v="1"/>
    <n v="0"/>
    <x v="1"/>
    <x v="23"/>
    <b v="0"/>
    <n v="2"/>
    <n v="1"/>
    <x v="16"/>
    <n v="0.1061"/>
    <n v="0.33"/>
    <n v="0.32840000000000003"/>
    <n v="3"/>
    <n v="9"/>
    <n v="12"/>
    <x v="1"/>
    <x v="0"/>
    <x v="0"/>
    <x v="1"/>
    <x v="0"/>
    <n v="0.22929155386993369"/>
    <n v="-0.25435329828790432"/>
  </r>
  <r>
    <n v="878"/>
    <d v="2011-02-09T00:00:00"/>
    <n v="1"/>
    <n v="0"/>
    <x v="1"/>
    <x v="0"/>
    <b v="0"/>
    <n v="3"/>
    <n v="1"/>
    <x v="18"/>
    <n v="7.5800000000000006E-2"/>
    <n v="0.36"/>
    <n v="0.35820000000000002"/>
    <n v="0"/>
    <n v="17"/>
    <n v="17"/>
    <x v="1"/>
    <x v="0"/>
    <x v="0"/>
    <x v="1"/>
    <x v="0"/>
    <n v="0.22929155386993369"/>
    <n v="-0.25435329828790432"/>
  </r>
  <r>
    <n v="879"/>
    <d v="2011-02-09T00:00:00"/>
    <n v="1"/>
    <n v="0"/>
    <x v="1"/>
    <x v="1"/>
    <b v="0"/>
    <n v="3"/>
    <n v="1"/>
    <x v="18"/>
    <n v="0.1061"/>
    <n v="0.36"/>
    <n v="0.22389999999999999"/>
    <n v="0"/>
    <n v="7"/>
    <n v="7"/>
    <x v="1"/>
    <x v="0"/>
    <x v="0"/>
    <x v="1"/>
    <x v="0"/>
    <n v="0.22929155386993369"/>
    <n v="-0.25435329828790432"/>
  </r>
  <r>
    <n v="880"/>
    <d v="2011-02-09T00:00:00"/>
    <n v="1"/>
    <n v="0"/>
    <x v="1"/>
    <x v="2"/>
    <b v="0"/>
    <n v="3"/>
    <n v="1"/>
    <x v="19"/>
    <n v="7.5800000000000006E-2"/>
    <n v="0.38"/>
    <n v="0.28360000000000002"/>
    <n v="1"/>
    <n v="2"/>
    <n v="3"/>
    <x v="1"/>
    <x v="0"/>
    <x v="0"/>
    <x v="1"/>
    <x v="0"/>
    <n v="0.22929155386993369"/>
    <n v="-0.25435329828790432"/>
  </r>
  <r>
    <n v="881"/>
    <d v="2011-02-09T00:00:00"/>
    <n v="1"/>
    <n v="0"/>
    <x v="1"/>
    <x v="3"/>
    <b v="0"/>
    <n v="3"/>
    <n v="1"/>
    <x v="20"/>
    <n v="7.5800000000000006E-2"/>
    <n v="0.45"/>
    <n v="0.1343"/>
    <n v="0"/>
    <n v="2"/>
    <n v="2"/>
    <x v="1"/>
    <x v="0"/>
    <x v="0"/>
    <x v="1"/>
    <x v="0"/>
    <n v="0.22929155386993369"/>
    <n v="-0.25435329828790432"/>
  </r>
  <r>
    <n v="882"/>
    <d v="2011-02-09T00:00:00"/>
    <n v="1"/>
    <n v="0"/>
    <x v="1"/>
    <x v="5"/>
    <b v="0"/>
    <n v="3"/>
    <n v="1"/>
    <x v="20"/>
    <n v="0.1061"/>
    <n v="0.45"/>
    <n v="0.1045"/>
    <n v="0"/>
    <n v="7"/>
    <n v="7"/>
    <x v="1"/>
    <x v="0"/>
    <x v="0"/>
    <x v="1"/>
    <x v="0"/>
    <n v="0.22929155386993369"/>
    <n v="-0.25435329828790432"/>
  </r>
  <r>
    <n v="883"/>
    <d v="2011-02-09T00:00:00"/>
    <n v="1"/>
    <n v="0"/>
    <x v="1"/>
    <x v="6"/>
    <b v="0"/>
    <n v="3"/>
    <n v="1"/>
    <x v="20"/>
    <n v="0.1515"/>
    <n v="0.45"/>
    <n v="0"/>
    <n v="0"/>
    <n v="43"/>
    <n v="43"/>
    <x v="1"/>
    <x v="0"/>
    <x v="1"/>
    <x v="1"/>
    <x v="0"/>
    <n v="0.22929155386993369"/>
    <n v="-0.25435329828790432"/>
  </r>
  <r>
    <n v="884"/>
    <d v="2011-02-09T00:00:00"/>
    <n v="1"/>
    <n v="0"/>
    <x v="1"/>
    <x v="7"/>
    <b v="0"/>
    <n v="3"/>
    <n v="1"/>
    <x v="20"/>
    <n v="0.1061"/>
    <n v="0.49"/>
    <n v="0.1045"/>
    <n v="4"/>
    <n v="95"/>
    <n v="99"/>
    <x v="1"/>
    <x v="0"/>
    <x v="1"/>
    <x v="1"/>
    <x v="0"/>
    <n v="0.22929155386993369"/>
    <n v="-0.25435329828790432"/>
  </r>
  <r>
    <n v="885"/>
    <d v="2011-02-09T00:00:00"/>
    <n v="1"/>
    <n v="0"/>
    <x v="1"/>
    <x v="8"/>
    <b v="0"/>
    <n v="3"/>
    <n v="1"/>
    <x v="18"/>
    <n v="0.13639999999999999"/>
    <n v="0.42"/>
    <n v="0"/>
    <n v="1"/>
    <n v="198"/>
    <n v="199"/>
    <x v="1"/>
    <x v="0"/>
    <x v="1"/>
    <x v="1"/>
    <x v="0"/>
    <n v="0.22929155386993369"/>
    <n v="-0.25435329828790432"/>
  </r>
  <r>
    <n v="886"/>
    <d v="2011-02-09T00:00:00"/>
    <n v="1"/>
    <n v="0"/>
    <x v="1"/>
    <x v="9"/>
    <b v="0"/>
    <n v="3"/>
    <n v="1"/>
    <x v="16"/>
    <n v="0.13639999999999999"/>
    <n v="0.39"/>
    <n v="0.16420000000000001"/>
    <n v="4"/>
    <n v="119"/>
    <n v="123"/>
    <x v="1"/>
    <x v="0"/>
    <x v="1"/>
    <x v="1"/>
    <x v="0"/>
    <n v="0.22929155386993369"/>
    <n v="-0.25435329828790432"/>
  </r>
  <r>
    <n v="887"/>
    <d v="2011-02-09T00:00:00"/>
    <n v="1"/>
    <n v="0"/>
    <x v="1"/>
    <x v="10"/>
    <b v="0"/>
    <n v="3"/>
    <n v="1"/>
    <x v="14"/>
    <n v="0.18179999999999999"/>
    <n v="0.36"/>
    <n v="0"/>
    <n v="8"/>
    <n v="51"/>
    <n v="59"/>
    <x v="1"/>
    <x v="0"/>
    <x v="1"/>
    <x v="1"/>
    <x v="0"/>
    <n v="0.22929155386993369"/>
    <n v="-0.25435329828790432"/>
  </r>
  <r>
    <n v="888"/>
    <d v="2011-02-09T00:00:00"/>
    <n v="1"/>
    <n v="0"/>
    <x v="1"/>
    <x v="11"/>
    <b v="0"/>
    <n v="3"/>
    <n v="2"/>
    <x v="14"/>
    <n v="0.1515"/>
    <n v="0.43"/>
    <n v="0.16420000000000001"/>
    <n v="1"/>
    <n v="40"/>
    <n v="41"/>
    <x v="1"/>
    <x v="1"/>
    <x v="1"/>
    <x v="1"/>
    <x v="0"/>
    <n v="0.22929155386993369"/>
    <n v="-0.25435329828790432"/>
  </r>
  <r>
    <n v="889"/>
    <d v="2011-02-09T00:00:00"/>
    <n v="1"/>
    <n v="0"/>
    <x v="1"/>
    <x v="12"/>
    <b v="0"/>
    <n v="3"/>
    <n v="2"/>
    <x v="15"/>
    <n v="0.18179999999999999"/>
    <n v="0.4"/>
    <n v="0.22389999999999999"/>
    <n v="4"/>
    <n v="57"/>
    <n v="61"/>
    <x v="1"/>
    <x v="1"/>
    <x v="2"/>
    <x v="1"/>
    <x v="0"/>
    <n v="0.22929155386993369"/>
    <n v="-0.25435329828790432"/>
  </r>
  <r>
    <n v="890"/>
    <d v="2011-02-09T00:00:00"/>
    <n v="1"/>
    <n v="0"/>
    <x v="1"/>
    <x v="13"/>
    <b v="0"/>
    <n v="3"/>
    <n v="1"/>
    <x v="15"/>
    <n v="0.16669999999999999"/>
    <n v="0.4"/>
    <n v="0.25369999999999998"/>
    <n v="2"/>
    <n v="67"/>
    <n v="69"/>
    <x v="1"/>
    <x v="0"/>
    <x v="2"/>
    <x v="1"/>
    <x v="0"/>
    <n v="0.22929155386993369"/>
    <n v="-0.25435329828790432"/>
  </r>
  <r>
    <n v="891"/>
    <d v="2011-02-09T00:00:00"/>
    <n v="1"/>
    <n v="0"/>
    <x v="1"/>
    <x v="14"/>
    <b v="0"/>
    <n v="3"/>
    <n v="1"/>
    <x v="2"/>
    <n v="0.18179999999999999"/>
    <n v="0.34"/>
    <n v="0.29849999999999999"/>
    <n v="2"/>
    <n v="56"/>
    <n v="58"/>
    <x v="1"/>
    <x v="0"/>
    <x v="2"/>
    <x v="1"/>
    <x v="0"/>
    <n v="0.22929155386993369"/>
    <n v="-0.25435329828790432"/>
  </r>
  <r>
    <n v="892"/>
    <d v="2011-02-09T00:00:00"/>
    <n v="1"/>
    <n v="0"/>
    <x v="1"/>
    <x v="15"/>
    <b v="0"/>
    <n v="3"/>
    <n v="2"/>
    <x v="2"/>
    <n v="0.18179999999999999"/>
    <n v="0.34"/>
    <n v="0.28360000000000002"/>
    <n v="3"/>
    <n v="61"/>
    <n v="64"/>
    <x v="1"/>
    <x v="1"/>
    <x v="2"/>
    <x v="1"/>
    <x v="0"/>
    <n v="0.22929155386993369"/>
    <n v="-0.25435329828790432"/>
  </r>
  <r>
    <n v="893"/>
    <d v="2011-02-09T00:00:00"/>
    <n v="1"/>
    <n v="0"/>
    <x v="1"/>
    <x v="16"/>
    <b v="0"/>
    <n v="3"/>
    <n v="2"/>
    <x v="2"/>
    <n v="0.19700000000000001"/>
    <n v="0.37"/>
    <n v="0.25369999999999998"/>
    <n v="7"/>
    <n v="72"/>
    <n v="79"/>
    <x v="1"/>
    <x v="1"/>
    <x v="2"/>
    <x v="1"/>
    <x v="0"/>
    <n v="0.22929155386993369"/>
    <n v="-0.25435329828790432"/>
  </r>
  <r>
    <n v="894"/>
    <d v="2011-02-09T00:00:00"/>
    <n v="1"/>
    <n v="0"/>
    <x v="1"/>
    <x v="17"/>
    <b v="0"/>
    <n v="3"/>
    <n v="2"/>
    <x v="2"/>
    <n v="0.19700000000000001"/>
    <n v="0.34"/>
    <n v="0.25369999999999998"/>
    <n v="9"/>
    <n v="157"/>
    <n v="166"/>
    <x v="1"/>
    <x v="1"/>
    <x v="3"/>
    <x v="1"/>
    <x v="0"/>
    <n v="0.22929155386993369"/>
    <n v="-0.25435329828790432"/>
  </r>
  <r>
    <n v="895"/>
    <d v="2011-02-09T00:00:00"/>
    <n v="1"/>
    <n v="0"/>
    <x v="1"/>
    <x v="18"/>
    <b v="0"/>
    <n v="3"/>
    <n v="2"/>
    <x v="15"/>
    <n v="0.16669999999999999"/>
    <n v="0.47"/>
    <n v="0.29849999999999999"/>
    <n v="2"/>
    <n v="168"/>
    <n v="170"/>
    <x v="1"/>
    <x v="1"/>
    <x v="3"/>
    <x v="1"/>
    <x v="0"/>
    <n v="0.22929155386993369"/>
    <n v="-0.25435329828790432"/>
  </r>
  <r>
    <n v="896"/>
    <d v="2011-02-09T00:00:00"/>
    <n v="1"/>
    <n v="0"/>
    <x v="1"/>
    <x v="19"/>
    <b v="0"/>
    <n v="3"/>
    <n v="3"/>
    <x v="14"/>
    <n v="0.1212"/>
    <n v="0.86"/>
    <n v="0.25369999999999998"/>
    <n v="1"/>
    <n v="87"/>
    <n v="88"/>
    <x v="1"/>
    <x v="2"/>
    <x v="3"/>
    <x v="1"/>
    <x v="0"/>
    <n v="0.22929155386993369"/>
    <n v="-0.25435329828790432"/>
  </r>
  <r>
    <n v="897"/>
    <d v="2011-02-09T00:00:00"/>
    <n v="1"/>
    <n v="0"/>
    <x v="1"/>
    <x v="20"/>
    <b v="0"/>
    <n v="3"/>
    <n v="3"/>
    <x v="14"/>
    <n v="0.1515"/>
    <n v="0.86"/>
    <n v="0.16420000000000001"/>
    <n v="0"/>
    <n v="84"/>
    <n v="84"/>
    <x v="1"/>
    <x v="2"/>
    <x v="3"/>
    <x v="1"/>
    <x v="0"/>
    <n v="0.22929155386993369"/>
    <n v="-0.25435329828790432"/>
  </r>
  <r>
    <n v="898"/>
    <d v="2011-02-09T00:00:00"/>
    <n v="1"/>
    <n v="0"/>
    <x v="1"/>
    <x v="21"/>
    <b v="0"/>
    <n v="3"/>
    <n v="2"/>
    <x v="14"/>
    <n v="0.1515"/>
    <n v="0.86"/>
    <n v="0.16420000000000001"/>
    <n v="0"/>
    <n v="83"/>
    <n v="83"/>
    <x v="1"/>
    <x v="1"/>
    <x v="0"/>
    <x v="1"/>
    <x v="0"/>
    <n v="0.22929155386993369"/>
    <n v="-0.25435329828790432"/>
  </r>
  <r>
    <n v="899"/>
    <d v="2011-02-09T00:00:00"/>
    <n v="1"/>
    <n v="0"/>
    <x v="1"/>
    <x v="22"/>
    <b v="0"/>
    <n v="3"/>
    <n v="3"/>
    <x v="13"/>
    <n v="0.16669999999999999"/>
    <n v="0.8"/>
    <n v="0.16420000000000001"/>
    <n v="4"/>
    <n v="42"/>
    <n v="46"/>
    <x v="1"/>
    <x v="2"/>
    <x v="0"/>
    <x v="1"/>
    <x v="0"/>
    <n v="0.22929155386993369"/>
    <n v="-0.25435329828790432"/>
  </r>
  <r>
    <n v="900"/>
    <d v="2011-02-09T00:00:00"/>
    <n v="1"/>
    <n v="0"/>
    <x v="1"/>
    <x v="23"/>
    <b v="0"/>
    <n v="3"/>
    <n v="3"/>
    <x v="13"/>
    <n v="0.1515"/>
    <n v="0.8"/>
    <n v="0.19400000000000001"/>
    <n v="0"/>
    <n v="37"/>
    <n v="37"/>
    <x v="1"/>
    <x v="2"/>
    <x v="0"/>
    <x v="1"/>
    <x v="0"/>
    <n v="0.22929155386993369"/>
    <n v="-0.25435329828790432"/>
  </r>
  <r>
    <n v="901"/>
    <d v="2011-02-10T00:00:00"/>
    <n v="1"/>
    <n v="0"/>
    <x v="1"/>
    <x v="0"/>
    <b v="0"/>
    <n v="4"/>
    <n v="3"/>
    <x v="14"/>
    <n v="0.13639999999999999"/>
    <n v="0.86"/>
    <n v="0.19400000000000001"/>
    <n v="0"/>
    <n v="16"/>
    <n v="16"/>
    <x v="1"/>
    <x v="2"/>
    <x v="0"/>
    <x v="1"/>
    <x v="0"/>
    <n v="0.22929155386993369"/>
    <n v="-0.25435329828790432"/>
  </r>
  <r>
    <n v="902"/>
    <d v="2011-02-10T00:00:00"/>
    <n v="1"/>
    <n v="0"/>
    <x v="1"/>
    <x v="1"/>
    <b v="0"/>
    <n v="4"/>
    <n v="3"/>
    <x v="14"/>
    <n v="0.1515"/>
    <n v="0.8"/>
    <n v="0.1343"/>
    <n v="0"/>
    <n v="7"/>
    <n v="7"/>
    <x v="1"/>
    <x v="2"/>
    <x v="0"/>
    <x v="1"/>
    <x v="0"/>
    <n v="0.22929155386993369"/>
    <n v="-0.25435329828790432"/>
  </r>
  <r>
    <n v="903"/>
    <d v="2011-02-10T00:00:00"/>
    <n v="1"/>
    <n v="0"/>
    <x v="1"/>
    <x v="2"/>
    <b v="0"/>
    <n v="4"/>
    <n v="3"/>
    <x v="14"/>
    <n v="0.1515"/>
    <n v="0.8"/>
    <n v="0.1343"/>
    <n v="0"/>
    <n v="3"/>
    <n v="3"/>
    <x v="1"/>
    <x v="2"/>
    <x v="0"/>
    <x v="1"/>
    <x v="0"/>
    <n v="0.22929155386993369"/>
    <n v="-0.25435329828790432"/>
  </r>
  <r>
    <n v="904"/>
    <d v="2011-02-10T00:00:00"/>
    <n v="1"/>
    <n v="0"/>
    <x v="1"/>
    <x v="4"/>
    <b v="0"/>
    <n v="4"/>
    <n v="2"/>
    <x v="14"/>
    <n v="0.13639999999999999"/>
    <n v="0.59"/>
    <n v="0.22389999999999999"/>
    <n v="0"/>
    <n v="1"/>
    <n v="1"/>
    <x v="1"/>
    <x v="1"/>
    <x v="0"/>
    <x v="1"/>
    <x v="0"/>
    <n v="0.22929155386993369"/>
    <n v="-0.25435329828790432"/>
  </r>
  <r>
    <n v="905"/>
    <d v="2011-02-10T00:00:00"/>
    <n v="1"/>
    <n v="0"/>
    <x v="1"/>
    <x v="5"/>
    <b v="0"/>
    <n v="4"/>
    <n v="2"/>
    <x v="16"/>
    <n v="0.1212"/>
    <n v="0.5"/>
    <n v="0.22389999999999999"/>
    <n v="0"/>
    <n v="6"/>
    <n v="6"/>
    <x v="1"/>
    <x v="1"/>
    <x v="0"/>
    <x v="1"/>
    <x v="0"/>
    <n v="0.22929155386993369"/>
    <n v="-0.25435329828790432"/>
  </r>
  <r>
    <n v="906"/>
    <d v="2011-02-10T00:00:00"/>
    <n v="1"/>
    <n v="0"/>
    <x v="1"/>
    <x v="6"/>
    <b v="0"/>
    <n v="4"/>
    <n v="2"/>
    <x v="16"/>
    <n v="0.1212"/>
    <n v="0.54"/>
    <n v="0.28360000000000002"/>
    <n v="0"/>
    <n v="26"/>
    <n v="26"/>
    <x v="1"/>
    <x v="1"/>
    <x v="1"/>
    <x v="1"/>
    <x v="0"/>
    <n v="0.22929155386993369"/>
    <n v="-0.25435329828790432"/>
  </r>
  <r>
    <n v="907"/>
    <d v="2011-02-10T00:00:00"/>
    <n v="1"/>
    <n v="0"/>
    <x v="1"/>
    <x v="7"/>
    <b v="0"/>
    <n v="4"/>
    <n v="1"/>
    <x v="18"/>
    <n v="7.5800000000000006E-2"/>
    <n v="0.5"/>
    <n v="0.41789999999999999"/>
    <n v="0"/>
    <n v="99"/>
    <n v="99"/>
    <x v="1"/>
    <x v="0"/>
    <x v="1"/>
    <x v="1"/>
    <x v="0"/>
    <n v="0.22929155386993369"/>
    <n v="-0.25435329828790432"/>
  </r>
  <r>
    <n v="908"/>
    <d v="2011-02-10T00:00:00"/>
    <n v="1"/>
    <n v="0"/>
    <x v="1"/>
    <x v="8"/>
    <b v="0"/>
    <n v="4"/>
    <n v="1"/>
    <x v="18"/>
    <n v="7.5800000000000006E-2"/>
    <n v="0.49"/>
    <n v="0.32840000000000003"/>
    <n v="5"/>
    <n v="173"/>
    <n v="178"/>
    <x v="1"/>
    <x v="0"/>
    <x v="1"/>
    <x v="1"/>
    <x v="0"/>
    <n v="0.22929155386993369"/>
    <n v="-0.25435329828790432"/>
  </r>
  <r>
    <n v="909"/>
    <d v="2011-02-10T00:00:00"/>
    <n v="1"/>
    <n v="0"/>
    <x v="1"/>
    <x v="9"/>
    <b v="0"/>
    <n v="4"/>
    <n v="1"/>
    <x v="16"/>
    <n v="0.1061"/>
    <n v="0.42"/>
    <n v="0.35820000000000002"/>
    <n v="1"/>
    <n v="121"/>
    <n v="122"/>
    <x v="1"/>
    <x v="0"/>
    <x v="1"/>
    <x v="1"/>
    <x v="0"/>
    <n v="0.22929155386993369"/>
    <n v="-0.25435329828790432"/>
  </r>
  <r>
    <n v="910"/>
    <d v="2011-02-10T00:00:00"/>
    <n v="1"/>
    <n v="0"/>
    <x v="1"/>
    <x v="10"/>
    <b v="0"/>
    <n v="4"/>
    <n v="1"/>
    <x v="16"/>
    <n v="0.1061"/>
    <n v="0.42"/>
    <n v="0.29849999999999999"/>
    <n v="1"/>
    <n v="34"/>
    <n v="35"/>
    <x v="1"/>
    <x v="0"/>
    <x v="1"/>
    <x v="1"/>
    <x v="0"/>
    <n v="0.22929155386993369"/>
    <n v="-0.25435329828790432"/>
  </r>
  <r>
    <n v="911"/>
    <d v="2011-02-10T00:00:00"/>
    <n v="1"/>
    <n v="0"/>
    <x v="1"/>
    <x v="11"/>
    <b v="0"/>
    <n v="4"/>
    <n v="1"/>
    <x v="14"/>
    <n v="0.1212"/>
    <n v="0.39"/>
    <n v="0.35820000000000002"/>
    <n v="1"/>
    <n v="44"/>
    <n v="45"/>
    <x v="1"/>
    <x v="0"/>
    <x v="1"/>
    <x v="1"/>
    <x v="0"/>
    <n v="0.22929155386993369"/>
    <n v="-0.25435329828790432"/>
  </r>
  <r>
    <n v="912"/>
    <d v="2011-02-10T00:00:00"/>
    <n v="1"/>
    <n v="0"/>
    <x v="1"/>
    <x v="12"/>
    <b v="0"/>
    <n v="4"/>
    <n v="1"/>
    <x v="13"/>
    <n v="0.13639999999999999"/>
    <n v="0.34"/>
    <n v="0.3881"/>
    <n v="4"/>
    <n v="65"/>
    <n v="69"/>
    <x v="1"/>
    <x v="0"/>
    <x v="2"/>
    <x v="1"/>
    <x v="0"/>
    <n v="0.22929155386993369"/>
    <n v="-0.25435329828790432"/>
  </r>
  <r>
    <n v="913"/>
    <d v="2011-02-10T00:00:00"/>
    <n v="1"/>
    <n v="0"/>
    <x v="1"/>
    <x v="13"/>
    <b v="0"/>
    <n v="4"/>
    <n v="1"/>
    <x v="15"/>
    <n v="0.16669999999999999"/>
    <n v="0.28999999999999998"/>
    <n v="0.29849999999999999"/>
    <n v="3"/>
    <n v="59"/>
    <n v="62"/>
    <x v="1"/>
    <x v="0"/>
    <x v="2"/>
    <x v="1"/>
    <x v="0"/>
    <n v="0.22929155386993369"/>
    <n v="-0.25435329828790432"/>
  </r>
  <r>
    <n v="914"/>
    <d v="2011-02-10T00:00:00"/>
    <n v="1"/>
    <n v="0"/>
    <x v="1"/>
    <x v="14"/>
    <b v="0"/>
    <n v="4"/>
    <n v="1"/>
    <x v="2"/>
    <n v="0.18179999999999999"/>
    <n v="0.27"/>
    <n v="0.28360000000000002"/>
    <n v="6"/>
    <n v="42"/>
    <n v="48"/>
    <x v="1"/>
    <x v="0"/>
    <x v="2"/>
    <x v="1"/>
    <x v="0"/>
    <n v="0.22929155386993369"/>
    <n v="-0.25435329828790432"/>
  </r>
  <r>
    <n v="915"/>
    <d v="2011-02-10T00:00:00"/>
    <n v="1"/>
    <n v="0"/>
    <x v="1"/>
    <x v="15"/>
    <b v="0"/>
    <n v="4"/>
    <n v="1"/>
    <x v="2"/>
    <n v="0.19700000000000001"/>
    <n v="0.25"/>
    <n v="0.25369999999999998"/>
    <n v="0"/>
    <n v="50"/>
    <n v="50"/>
    <x v="1"/>
    <x v="0"/>
    <x v="2"/>
    <x v="1"/>
    <x v="0"/>
    <n v="0.22929155386993369"/>
    <n v="-0.25435329828790432"/>
  </r>
  <r>
    <n v="916"/>
    <d v="2011-02-10T00:00:00"/>
    <n v="1"/>
    <n v="0"/>
    <x v="1"/>
    <x v="16"/>
    <b v="0"/>
    <n v="4"/>
    <n v="1"/>
    <x v="2"/>
    <n v="0.18179999999999999"/>
    <n v="0.27"/>
    <n v="0.29849999999999999"/>
    <n v="4"/>
    <n v="76"/>
    <n v="80"/>
    <x v="1"/>
    <x v="0"/>
    <x v="2"/>
    <x v="1"/>
    <x v="0"/>
    <n v="0.22929155386993369"/>
    <n v="-0.25435329828790432"/>
  </r>
  <r>
    <n v="917"/>
    <d v="2011-02-10T00:00:00"/>
    <n v="1"/>
    <n v="0"/>
    <x v="1"/>
    <x v="17"/>
    <b v="0"/>
    <n v="4"/>
    <n v="1"/>
    <x v="15"/>
    <n v="0.18179999999999999"/>
    <n v="0.26"/>
    <n v="0.19400000000000001"/>
    <n v="6"/>
    <n v="159"/>
    <n v="165"/>
    <x v="1"/>
    <x v="0"/>
    <x v="3"/>
    <x v="1"/>
    <x v="0"/>
    <n v="0.22929155386993369"/>
    <n v="-0.25435329828790432"/>
  </r>
  <r>
    <n v="918"/>
    <d v="2011-02-10T00:00:00"/>
    <n v="1"/>
    <n v="0"/>
    <x v="1"/>
    <x v="18"/>
    <b v="0"/>
    <n v="4"/>
    <n v="1"/>
    <x v="13"/>
    <n v="0.18179999999999999"/>
    <n v="0.28000000000000003"/>
    <n v="0.1343"/>
    <n v="3"/>
    <n v="157"/>
    <n v="160"/>
    <x v="1"/>
    <x v="0"/>
    <x v="3"/>
    <x v="1"/>
    <x v="0"/>
    <n v="0.22929155386993369"/>
    <n v="-0.25435329828790432"/>
  </r>
  <r>
    <n v="919"/>
    <d v="2011-02-10T00:00:00"/>
    <n v="1"/>
    <n v="0"/>
    <x v="1"/>
    <x v="19"/>
    <b v="0"/>
    <n v="4"/>
    <n v="1"/>
    <x v="14"/>
    <n v="0.16669999999999999"/>
    <n v="0.28000000000000003"/>
    <n v="0.1045"/>
    <n v="2"/>
    <n v="110"/>
    <n v="112"/>
    <x v="1"/>
    <x v="0"/>
    <x v="3"/>
    <x v="1"/>
    <x v="0"/>
    <n v="0.22929155386993369"/>
    <n v="-0.25435329828790432"/>
  </r>
  <r>
    <n v="920"/>
    <d v="2011-02-10T00:00:00"/>
    <n v="1"/>
    <n v="0"/>
    <x v="1"/>
    <x v="20"/>
    <b v="0"/>
    <n v="4"/>
    <n v="1"/>
    <x v="14"/>
    <n v="0.18179999999999999"/>
    <n v="0.31"/>
    <n v="8.9599999999999999E-2"/>
    <n v="4"/>
    <n v="93"/>
    <n v="97"/>
    <x v="1"/>
    <x v="0"/>
    <x v="3"/>
    <x v="1"/>
    <x v="0"/>
    <n v="0.22929155386993369"/>
    <n v="-0.25435329828790432"/>
  </r>
  <r>
    <n v="921"/>
    <d v="2011-02-10T00:00:00"/>
    <n v="1"/>
    <n v="0"/>
    <x v="1"/>
    <x v="21"/>
    <b v="0"/>
    <n v="4"/>
    <n v="1"/>
    <x v="14"/>
    <n v="0.21210000000000001"/>
    <n v="0.39"/>
    <n v="0"/>
    <n v="2"/>
    <n v="70"/>
    <n v="72"/>
    <x v="1"/>
    <x v="0"/>
    <x v="0"/>
    <x v="1"/>
    <x v="0"/>
    <n v="0.22929155386993369"/>
    <n v="-0.25435329828790432"/>
  </r>
  <r>
    <n v="922"/>
    <d v="2011-02-10T00:00:00"/>
    <n v="1"/>
    <n v="0"/>
    <x v="1"/>
    <x v="22"/>
    <b v="0"/>
    <n v="4"/>
    <n v="1"/>
    <x v="16"/>
    <n v="0.19700000000000001"/>
    <n v="0.39"/>
    <n v="0"/>
    <n v="4"/>
    <n v="47"/>
    <n v="51"/>
    <x v="1"/>
    <x v="0"/>
    <x v="0"/>
    <x v="1"/>
    <x v="0"/>
    <n v="0.22929155386993369"/>
    <n v="-0.25435329828790432"/>
  </r>
  <r>
    <n v="923"/>
    <d v="2011-02-10T00:00:00"/>
    <n v="1"/>
    <n v="0"/>
    <x v="1"/>
    <x v="23"/>
    <b v="0"/>
    <n v="4"/>
    <n v="1"/>
    <x v="16"/>
    <n v="0.1515"/>
    <n v="0.42"/>
    <n v="0.1045"/>
    <n v="1"/>
    <n v="33"/>
    <n v="34"/>
    <x v="1"/>
    <x v="0"/>
    <x v="0"/>
    <x v="1"/>
    <x v="0"/>
    <n v="0.22929155386993369"/>
    <n v="-0.25435329828790432"/>
  </r>
  <r>
    <n v="924"/>
    <d v="2011-02-11T00:00:00"/>
    <n v="1"/>
    <n v="0"/>
    <x v="1"/>
    <x v="0"/>
    <b v="0"/>
    <n v="5"/>
    <n v="1"/>
    <x v="18"/>
    <n v="0.13639999999999999"/>
    <n v="0.49"/>
    <n v="0.1045"/>
    <n v="2"/>
    <n v="12"/>
    <n v="14"/>
    <x v="1"/>
    <x v="0"/>
    <x v="0"/>
    <x v="1"/>
    <x v="0"/>
    <n v="0.22929155386993369"/>
    <n v="-0.25435329828790432"/>
  </r>
  <r>
    <n v="925"/>
    <d v="2011-02-11T00:00:00"/>
    <n v="1"/>
    <n v="0"/>
    <x v="1"/>
    <x v="1"/>
    <b v="0"/>
    <n v="5"/>
    <n v="1"/>
    <x v="18"/>
    <n v="0.13639999999999999"/>
    <n v="0.54"/>
    <n v="8.9599999999999999E-2"/>
    <n v="1"/>
    <n v="6"/>
    <n v="7"/>
    <x v="1"/>
    <x v="0"/>
    <x v="0"/>
    <x v="1"/>
    <x v="0"/>
    <n v="0.22929155386993369"/>
    <n v="-0.25435329828790432"/>
  </r>
  <r>
    <n v="926"/>
    <d v="2011-02-11T00:00:00"/>
    <n v="1"/>
    <n v="0"/>
    <x v="1"/>
    <x v="2"/>
    <b v="0"/>
    <n v="5"/>
    <n v="1"/>
    <x v="18"/>
    <n v="0.13639999999999999"/>
    <n v="0.54"/>
    <n v="8.9599999999999999E-2"/>
    <n v="0"/>
    <n v="3"/>
    <n v="3"/>
    <x v="1"/>
    <x v="0"/>
    <x v="0"/>
    <x v="1"/>
    <x v="0"/>
    <n v="0.22929155386993369"/>
    <n v="-0.25435329828790432"/>
  </r>
  <r>
    <n v="927"/>
    <d v="2011-02-11T00:00:00"/>
    <n v="1"/>
    <n v="0"/>
    <x v="1"/>
    <x v="5"/>
    <b v="0"/>
    <n v="5"/>
    <n v="1"/>
    <x v="19"/>
    <n v="0.1212"/>
    <n v="0.63"/>
    <n v="8.9599999999999999E-2"/>
    <n v="0"/>
    <n v="4"/>
    <n v="4"/>
    <x v="1"/>
    <x v="0"/>
    <x v="0"/>
    <x v="1"/>
    <x v="0"/>
    <n v="0.22929155386993369"/>
    <n v="-0.25435329828790432"/>
  </r>
  <r>
    <n v="928"/>
    <d v="2011-02-11T00:00:00"/>
    <n v="1"/>
    <n v="0"/>
    <x v="1"/>
    <x v="6"/>
    <b v="0"/>
    <n v="5"/>
    <n v="1"/>
    <x v="18"/>
    <n v="0.18179999999999999"/>
    <n v="0.68"/>
    <n v="0"/>
    <n v="1"/>
    <n v="23"/>
    <n v="24"/>
    <x v="1"/>
    <x v="0"/>
    <x v="1"/>
    <x v="1"/>
    <x v="0"/>
    <n v="0.22929155386993369"/>
    <n v="-0.25435329828790432"/>
  </r>
  <r>
    <n v="929"/>
    <d v="2011-02-11T00:00:00"/>
    <n v="1"/>
    <n v="0"/>
    <x v="1"/>
    <x v="7"/>
    <b v="0"/>
    <n v="5"/>
    <n v="1"/>
    <x v="19"/>
    <n v="0.16669999999999999"/>
    <n v="0.73"/>
    <n v="0"/>
    <n v="1"/>
    <n v="73"/>
    <n v="74"/>
    <x v="1"/>
    <x v="0"/>
    <x v="1"/>
    <x v="1"/>
    <x v="0"/>
    <n v="0.22929155386993369"/>
    <n v="-0.25435329828790432"/>
  </r>
  <r>
    <n v="930"/>
    <d v="2011-02-11T00:00:00"/>
    <n v="1"/>
    <n v="0"/>
    <x v="1"/>
    <x v="8"/>
    <b v="0"/>
    <n v="5"/>
    <n v="1"/>
    <x v="18"/>
    <n v="0.1212"/>
    <n v="0.74"/>
    <n v="0.16420000000000001"/>
    <n v="4"/>
    <n v="212"/>
    <n v="216"/>
    <x v="1"/>
    <x v="0"/>
    <x v="1"/>
    <x v="1"/>
    <x v="0"/>
    <n v="0.22929155386993369"/>
    <n v="-0.25435329828790432"/>
  </r>
  <r>
    <n v="931"/>
    <d v="2011-02-11T00:00:00"/>
    <n v="1"/>
    <n v="0"/>
    <x v="1"/>
    <x v="9"/>
    <b v="0"/>
    <n v="5"/>
    <n v="1"/>
    <x v="16"/>
    <n v="0.1212"/>
    <n v="0.74"/>
    <n v="0.22389999999999999"/>
    <n v="8"/>
    <n v="132"/>
    <n v="140"/>
    <x v="1"/>
    <x v="0"/>
    <x v="1"/>
    <x v="1"/>
    <x v="0"/>
    <n v="0.22929155386993369"/>
    <n v="-0.25435329828790432"/>
  </r>
  <r>
    <n v="932"/>
    <d v="2011-02-11T00:00:00"/>
    <n v="1"/>
    <n v="0"/>
    <x v="1"/>
    <x v="10"/>
    <b v="0"/>
    <n v="5"/>
    <n v="1"/>
    <x v="14"/>
    <n v="0.13639999999999999"/>
    <n v="0.69"/>
    <n v="0.19400000000000001"/>
    <n v="5"/>
    <n v="39"/>
    <n v="44"/>
    <x v="1"/>
    <x v="0"/>
    <x v="1"/>
    <x v="1"/>
    <x v="0"/>
    <n v="0.22929155386993369"/>
    <n v="-0.25435329828790432"/>
  </r>
  <r>
    <n v="933"/>
    <d v="2011-02-11T00:00:00"/>
    <n v="1"/>
    <n v="0"/>
    <x v="1"/>
    <x v="11"/>
    <b v="0"/>
    <n v="5"/>
    <n v="1"/>
    <x v="1"/>
    <n v="0.2273"/>
    <n v="0.47"/>
    <n v="0.1343"/>
    <n v="12"/>
    <n v="52"/>
    <n v="64"/>
    <x v="1"/>
    <x v="0"/>
    <x v="1"/>
    <x v="1"/>
    <x v="0"/>
    <n v="0.22929155386993369"/>
    <n v="-0.25435329828790432"/>
  </r>
  <r>
    <n v="934"/>
    <d v="2011-02-11T00:00:00"/>
    <n v="1"/>
    <n v="0"/>
    <x v="1"/>
    <x v="12"/>
    <b v="0"/>
    <n v="5"/>
    <n v="1"/>
    <x v="1"/>
    <n v="0.2273"/>
    <n v="0.47"/>
    <n v="0.1343"/>
    <n v="7"/>
    <n v="64"/>
    <n v="71"/>
    <x v="1"/>
    <x v="0"/>
    <x v="2"/>
    <x v="1"/>
    <x v="0"/>
    <n v="0.22929155386993369"/>
    <n v="-0.25435329828790432"/>
  </r>
  <r>
    <n v="935"/>
    <d v="2011-02-11T00:00:00"/>
    <n v="1"/>
    <n v="0"/>
    <x v="1"/>
    <x v="13"/>
    <b v="0"/>
    <n v="5"/>
    <n v="1"/>
    <x v="0"/>
    <n v="0.2273"/>
    <n v="0.35"/>
    <n v="0.19400000000000001"/>
    <n v="21"/>
    <n v="89"/>
    <n v="110"/>
    <x v="1"/>
    <x v="0"/>
    <x v="2"/>
    <x v="1"/>
    <x v="0"/>
    <n v="0.22929155386993369"/>
    <n v="-0.25435329828790432"/>
  </r>
  <r>
    <n v="936"/>
    <d v="2011-02-11T00:00:00"/>
    <n v="1"/>
    <n v="0"/>
    <x v="1"/>
    <x v="14"/>
    <b v="0"/>
    <n v="5"/>
    <n v="1"/>
    <x v="11"/>
    <n v="0.28789999999999999"/>
    <n v="0.26"/>
    <n v="0.25369999999999998"/>
    <n v="17"/>
    <n v="67"/>
    <n v="84"/>
    <x v="1"/>
    <x v="0"/>
    <x v="2"/>
    <x v="1"/>
    <x v="0"/>
    <n v="0.22929155386993369"/>
    <n v="-0.25435329828790432"/>
  </r>
  <r>
    <n v="937"/>
    <d v="2011-02-11T00:00:00"/>
    <n v="1"/>
    <n v="0"/>
    <x v="1"/>
    <x v="15"/>
    <b v="0"/>
    <n v="5"/>
    <n v="1"/>
    <x v="3"/>
    <n v="0.31819999999999998"/>
    <n v="0.21"/>
    <n v="0.16420000000000001"/>
    <n v="12"/>
    <n v="62"/>
    <n v="74"/>
    <x v="1"/>
    <x v="0"/>
    <x v="2"/>
    <x v="1"/>
    <x v="0"/>
    <n v="0.22929155386993369"/>
    <n v="-0.25435329828790432"/>
  </r>
  <r>
    <n v="938"/>
    <d v="2011-02-11T00:00:00"/>
    <n v="1"/>
    <n v="0"/>
    <x v="1"/>
    <x v="16"/>
    <b v="0"/>
    <n v="5"/>
    <n v="1"/>
    <x v="11"/>
    <n v="0.28789999999999999"/>
    <n v="0.28000000000000003"/>
    <n v="0.19400000000000001"/>
    <n v="14"/>
    <n v="111"/>
    <n v="125"/>
    <x v="1"/>
    <x v="0"/>
    <x v="2"/>
    <x v="1"/>
    <x v="0"/>
    <n v="0.22929155386993369"/>
    <n v="-0.25435329828790432"/>
  </r>
  <r>
    <n v="939"/>
    <d v="2011-02-11T00:00:00"/>
    <n v="1"/>
    <n v="0"/>
    <x v="1"/>
    <x v="17"/>
    <b v="0"/>
    <n v="5"/>
    <n v="1"/>
    <x v="11"/>
    <n v="0.33329999999999999"/>
    <n v="0.24"/>
    <n v="0"/>
    <n v="18"/>
    <n v="193"/>
    <n v="211"/>
    <x v="1"/>
    <x v="0"/>
    <x v="3"/>
    <x v="1"/>
    <x v="0"/>
    <n v="0.22929155386993369"/>
    <n v="-0.25435329828790432"/>
  </r>
  <r>
    <n v="940"/>
    <d v="2011-02-11T00:00:00"/>
    <n v="1"/>
    <n v="0"/>
    <x v="1"/>
    <x v="18"/>
    <b v="0"/>
    <n v="5"/>
    <n v="1"/>
    <x v="17"/>
    <n v="0.31819999999999998"/>
    <n v="0.28000000000000003"/>
    <n v="0"/>
    <n v="9"/>
    <n v="165"/>
    <n v="174"/>
    <x v="1"/>
    <x v="0"/>
    <x v="3"/>
    <x v="1"/>
    <x v="0"/>
    <n v="0.22929155386993369"/>
    <n v="-0.25435329828790432"/>
  </r>
  <r>
    <n v="941"/>
    <d v="2011-02-11T00:00:00"/>
    <n v="1"/>
    <n v="0"/>
    <x v="1"/>
    <x v="19"/>
    <b v="0"/>
    <n v="5"/>
    <n v="1"/>
    <x v="12"/>
    <n v="0.30299999999999999"/>
    <n v="0.33"/>
    <n v="0"/>
    <n v="7"/>
    <n v="94"/>
    <n v="101"/>
    <x v="1"/>
    <x v="0"/>
    <x v="3"/>
    <x v="1"/>
    <x v="0"/>
    <n v="0.22929155386993369"/>
    <n v="-0.25435329828790432"/>
  </r>
  <r>
    <n v="942"/>
    <d v="2011-02-11T00:00:00"/>
    <n v="1"/>
    <n v="0"/>
    <x v="1"/>
    <x v="20"/>
    <b v="0"/>
    <n v="5"/>
    <n v="1"/>
    <x v="1"/>
    <n v="0.2273"/>
    <n v="0.55000000000000004"/>
    <n v="0.1343"/>
    <n v="2"/>
    <n v="61"/>
    <n v="63"/>
    <x v="1"/>
    <x v="0"/>
    <x v="3"/>
    <x v="1"/>
    <x v="0"/>
    <n v="0.22929155386993369"/>
    <n v="-0.25435329828790432"/>
  </r>
  <r>
    <n v="943"/>
    <d v="2011-02-11T00:00:00"/>
    <n v="1"/>
    <n v="0"/>
    <x v="1"/>
    <x v="21"/>
    <b v="0"/>
    <n v="5"/>
    <n v="1"/>
    <x v="2"/>
    <n v="0.21210000000000001"/>
    <n v="0.59"/>
    <n v="0.1343"/>
    <n v="1"/>
    <n v="46"/>
    <n v="47"/>
    <x v="1"/>
    <x v="0"/>
    <x v="0"/>
    <x v="1"/>
    <x v="0"/>
    <n v="0.22929155386993369"/>
    <n v="-0.25435329828790432"/>
  </r>
  <r>
    <n v="944"/>
    <d v="2011-02-11T00:00:00"/>
    <n v="1"/>
    <n v="0"/>
    <x v="1"/>
    <x v="22"/>
    <b v="0"/>
    <n v="5"/>
    <n v="1"/>
    <x v="2"/>
    <n v="0.2273"/>
    <n v="0.64"/>
    <n v="8.9599999999999999E-2"/>
    <n v="2"/>
    <n v="41"/>
    <n v="43"/>
    <x v="1"/>
    <x v="0"/>
    <x v="0"/>
    <x v="1"/>
    <x v="0"/>
    <n v="0.22929155386993369"/>
    <n v="-0.25435329828790432"/>
  </r>
  <r>
    <n v="945"/>
    <d v="2011-02-11T00:00:00"/>
    <n v="1"/>
    <n v="0"/>
    <x v="1"/>
    <x v="23"/>
    <b v="0"/>
    <n v="5"/>
    <n v="1"/>
    <x v="15"/>
    <n v="0.2424"/>
    <n v="0.69"/>
    <n v="0"/>
    <n v="5"/>
    <n v="48"/>
    <n v="53"/>
    <x v="1"/>
    <x v="0"/>
    <x v="0"/>
    <x v="1"/>
    <x v="0"/>
    <n v="0.22929155386993369"/>
    <n v="-0.25435329828790432"/>
  </r>
  <r>
    <n v="946"/>
    <d v="2011-02-12T00:00:00"/>
    <n v="1"/>
    <n v="0"/>
    <x v="1"/>
    <x v="0"/>
    <b v="0"/>
    <n v="6"/>
    <n v="1"/>
    <x v="13"/>
    <n v="0.19700000000000001"/>
    <n v="0.69"/>
    <n v="8.9599999999999999E-2"/>
    <n v="3"/>
    <n v="27"/>
    <n v="30"/>
    <x v="0"/>
    <x v="0"/>
    <x v="0"/>
    <x v="1"/>
    <x v="0"/>
    <n v="0.22929155386993369"/>
    <n v="-0.25435329828790432"/>
  </r>
  <r>
    <n v="947"/>
    <d v="2011-02-12T00:00:00"/>
    <n v="1"/>
    <n v="0"/>
    <x v="1"/>
    <x v="1"/>
    <b v="0"/>
    <n v="6"/>
    <n v="1"/>
    <x v="14"/>
    <n v="0.21210000000000001"/>
    <n v="0.86"/>
    <n v="0"/>
    <n v="2"/>
    <n v="22"/>
    <n v="24"/>
    <x v="0"/>
    <x v="0"/>
    <x v="0"/>
    <x v="1"/>
    <x v="0"/>
    <n v="0.22929155386993369"/>
    <n v="-0.25435329828790432"/>
  </r>
  <r>
    <n v="948"/>
    <d v="2011-02-12T00:00:00"/>
    <n v="1"/>
    <n v="0"/>
    <x v="1"/>
    <x v="2"/>
    <b v="0"/>
    <n v="6"/>
    <n v="1"/>
    <x v="14"/>
    <n v="0.21210000000000001"/>
    <n v="0.8"/>
    <n v="0"/>
    <n v="2"/>
    <n v="13"/>
    <n v="15"/>
    <x v="0"/>
    <x v="0"/>
    <x v="0"/>
    <x v="1"/>
    <x v="0"/>
    <n v="0.22929155386993369"/>
    <n v="-0.25435329828790432"/>
  </r>
  <r>
    <n v="949"/>
    <d v="2011-02-12T00:00:00"/>
    <n v="1"/>
    <n v="0"/>
    <x v="1"/>
    <x v="3"/>
    <b v="0"/>
    <n v="6"/>
    <n v="1"/>
    <x v="16"/>
    <n v="0.19700000000000001"/>
    <n v="0.8"/>
    <n v="0"/>
    <n v="3"/>
    <n v="7"/>
    <n v="10"/>
    <x v="0"/>
    <x v="0"/>
    <x v="0"/>
    <x v="1"/>
    <x v="0"/>
    <n v="0.22929155386993369"/>
    <n v="-0.25435329828790432"/>
  </r>
  <r>
    <n v="950"/>
    <d v="2011-02-12T00:00:00"/>
    <n v="1"/>
    <n v="0"/>
    <x v="1"/>
    <x v="4"/>
    <b v="0"/>
    <n v="6"/>
    <n v="1"/>
    <x v="16"/>
    <n v="0.16669999999999999"/>
    <n v="0.74"/>
    <n v="8.9599999999999999E-2"/>
    <n v="0"/>
    <n v="4"/>
    <n v="4"/>
    <x v="0"/>
    <x v="0"/>
    <x v="0"/>
    <x v="1"/>
    <x v="0"/>
    <n v="0.22929155386993369"/>
    <n v="-0.25435329828790432"/>
  </r>
  <r>
    <n v="951"/>
    <d v="2011-02-12T00:00:00"/>
    <n v="1"/>
    <n v="0"/>
    <x v="1"/>
    <x v="5"/>
    <b v="0"/>
    <n v="6"/>
    <n v="1"/>
    <x v="16"/>
    <n v="0.16669999999999999"/>
    <n v="0.74"/>
    <n v="8.9599999999999999E-2"/>
    <n v="0"/>
    <n v="1"/>
    <n v="1"/>
    <x v="0"/>
    <x v="0"/>
    <x v="0"/>
    <x v="1"/>
    <x v="0"/>
    <n v="0.22929155386993369"/>
    <n v="-0.25435329828790432"/>
  </r>
  <r>
    <n v="952"/>
    <d v="2011-02-12T00:00:00"/>
    <n v="1"/>
    <n v="0"/>
    <x v="1"/>
    <x v="6"/>
    <b v="0"/>
    <n v="6"/>
    <n v="1"/>
    <x v="16"/>
    <n v="0.13639999999999999"/>
    <n v="0.93"/>
    <n v="0.19400000000000001"/>
    <n v="1"/>
    <n v="1"/>
    <n v="2"/>
    <x v="0"/>
    <x v="0"/>
    <x v="1"/>
    <x v="1"/>
    <x v="0"/>
    <n v="0.22929155386993369"/>
    <n v="-0.25435329828790432"/>
  </r>
  <r>
    <n v="953"/>
    <d v="2011-02-12T00:00:00"/>
    <n v="1"/>
    <n v="0"/>
    <x v="1"/>
    <x v="7"/>
    <b v="0"/>
    <n v="6"/>
    <n v="1"/>
    <x v="16"/>
    <n v="0.1515"/>
    <n v="0.8"/>
    <n v="0.1045"/>
    <n v="2"/>
    <n v="9"/>
    <n v="11"/>
    <x v="0"/>
    <x v="0"/>
    <x v="1"/>
    <x v="1"/>
    <x v="0"/>
    <n v="0.22929155386993369"/>
    <n v="-0.25435329828790432"/>
  </r>
  <r>
    <n v="954"/>
    <d v="2011-02-12T00:00:00"/>
    <n v="1"/>
    <n v="0"/>
    <x v="1"/>
    <x v="8"/>
    <b v="0"/>
    <n v="6"/>
    <n v="1"/>
    <x v="14"/>
    <n v="0.1515"/>
    <n v="0.86"/>
    <n v="0.1343"/>
    <n v="2"/>
    <n v="28"/>
    <n v="30"/>
    <x v="0"/>
    <x v="0"/>
    <x v="1"/>
    <x v="1"/>
    <x v="0"/>
    <n v="0.22929155386993369"/>
    <n v="-0.25435329828790432"/>
  </r>
  <r>
    <n v="955"/>
    <d v="2011-02-12T00:00:00"/>
    <n v="1"/>
    <n v="0"/>
    <x v="1"/>
    <x v="9"/>
    <b v="0"/>
    <n v="6"/>
    <n v="1"/>
    <x v="13"/>
    <n v="0.18179999999999999"/>
    <n v="0.64"/>
    <n v="0.1343"/>
    <n v="5"/>
    <n v="38"/>
    <n v="43"/>
    <x v="0"/>
    <x v="0"/>
    <x v="1"/>
    <x v="1"/>
    <x v="0"/>
    <n v="0.22929155386993369"/>
    <n v="-0.25435329828790432"/>
  </r>
  <r>
    <n v="956"/>
    <d v="2011-02-12T00:00:00"/>
    <n v="1"/>
    <n v="0"/>
    <x v="1"/>
    <x v="10"/>
    <b v="0"/>
    <n v="6"/>
    <n v="1"/>
    <x v="1"/>
    <n v="0.21210000000000001"/>
    <n v="0.41"/>
    <n v="0.25369999999999998"/>
    <n v="13"/>
    <n v="71"/>
    <n v="84"/>
    <x v="0"/>
    <x v="0"/>
    <x v="1"/>
    <x v="1"/>
    <x v="0"/>
    <n v="0.22929155386993369"/>
    <n v="-0.25435329828790432"/>
  </r>
  <r>
    <n v="957"/>
    <d v="2011-02-12T00:00:00"/>
    <n v="1"/>
    <n v="0"/>
    <x v="1"/>
    <x v="11"/>
    <b v="0"/>
    <n v="6"/>
    <n v="1"/>
    <x v="11"/>
    <n v="0.2727"/>
    <n v="0.28000000000000003"/>
    <n v="0.32840000000000003"/>
    <n v="30"/>
    <n v="84"/>
    <n v="114"/>
    <x v="0"/>
    <x v="0"/>
    <x v="1"/>
    <x v="1"/>
    <x v="0"/>
    <n v="0.22929155386993369"/>
    <n v="-0.25435329828790432"/>
  </r>
  <r>
    <n v="958"/>
    <d v="2011-02-12T00:00:00"/>
    <n v="1"/>
    <n v="0"/>
    <x v="1"/>
    <x v="12"/>
    <b v="0"/>
    <n v="6"/>
    <n v="1"/>
    <x v="11"/>
    <n v="0.2727"/>
    <n v="0.39"/>
    <n v="0.4627"/>
    <n v="27"/>
    <n v="93"/>
    <n v="120"/>
    <x v="0"/>
    <x v="0"/>
    <x v="2"/>
    <x v="1"/>
    <x v="0"/>
    <n v="0.22929155386993369"/>
    <n v="-0.25435329828790432"/>
  </r>
  <r>
    <n v="959"/>
    <d v="2011-02-12T00:00:00"/>
    <n v="1"/>
    <n v="0"/>
    <x v="1"/>
    <x v="13"/>
    <b v="0"/>
    <n v="6"/>
    <n v="1"/>
    <x v="11"/>
    <n v="0.2727"/>
    <n v="0.39"/>
    <n v="0.41789999999999999"/>
    <n v="32"/>
    <n v="103"/>
    <n v="135"/>
    <x v="0"/>
    <x v="0"/>
    <x v="2"/>
    <x v="1"/>
    <x v="0"/>
    <n v="0.22929155386993369"/>
    <n v="-0.25435329828790432"/>
  </r>
  <r>
    <n v="960"/>
    <d v="2011-02-12T00:00:00"/>
    <n v="1"/>
    <n v="0"/>
    <x v="1"/>
    <x v="14"/>
    <b v="0"/>
    <n v="6"/>
    <n v="1"/>
    <x v="10"/>
    <n v="0.31819999999999998"/>
    <n v="0.31"/>
    <n v="0.28360000000000002"/>
    <n v="30"/>
    <n v="90"/>
    <n v="120"/>
    <x v="0"/>
    <x v="0"/>
    <x v="2"/>
    <x v="1"/>
    <x v="0"/>
    <n v="0.22929155386993369"/>
    <n v="-0.25435329828790432"/>
  </r>
  <r>
    <n v="961"/>
    <d v="2011-02-12T00:00:00"/>
    <n v="1"/>
    <n v="0"/>
    <x v="1"/>
    <x v="15"/>
    <b v="0"/>
    <n v="6"/>
    <n v="1"/>
    <x v="10"/>
    <n v="0.30299999999999999"/>
    <n v="0.28999999999999998"/>
    <n v="0.41789999999999999"/>
    <n v="47"/>
    <n v="127"/>
    <n v="174"/>
    <x v="0"/>
    <x v="0"/>
    <x v="2"/>
    <x v="1"/>
    <x v="0"/>
    <n v="0.22929155386993369"/>
    <n v="-0.25435329828790432"/>
  </r>
  <r>
    <n v="962"/>
    <d v="2011-02-12T00:00:00"/>
    <n v="1"/>
    <n v="0"/>
    <x v="1"/>
    <x v="16"/>
    <b v="0"/>
    <n v="6"/>
    <n v="1"/>
    <x v="10"/>
    <n v="0.30299999999999999"/>
    <n v="0.28999999999999998"/>
    <n v="0.41789999999999999"/>
    <n v="42"/>
    <n v="103"/>
    <n v="145"/>
    <x v="0"/>
    <x v="0"/>
    <x v="2"/>
    <x v="1"/>
    <x v="0"/>
    <n v="0.22929155386993369"/>
    <n v="-0.25435329828790432"/>
  </r>
  <r>
    <n v="963"/>
    <d v="2011-02-12T00:00:00"/>
    <n v="1"/>
    <n v="0"/>
    <x v="1"/>
    <x v="17"/>
    <b v="0"/>
    <n v="6"/>
    <n v="1"/>
    <x v="3"/>
    <n v="0.28789999999999999"/>
    <n v="0.31"/>
    <n v="0.52239999999999998"/>
    <n v="24"/>
    <n v="113"/>
    <n v="137"/>
    <x v="0"/>
    <x v="0"/>
    <x v="3"/>
    <x v="1"/>
    <x v="0"/>
    <n v="0.22929155386993369"/>
    <n v="-0.25435329828790432"/>
  </r>
  <r>
    <n v="964"/>
    <d v="2011-02-12T00:00:00"/>
    <n v="1"/>
    <n v="0"/>
    <x v="1"/>
    <x v="18"/>
    <b v="0"/>
    <n v="6"/>
    <n v="1"/>
    <x v="17"/>
    <n v="0.2576"/>
    <n v="0.38"/>
    <n v="0.32840000000000003"/>
    <n v="4"/>
    <n v="60"/>
    <n v="64"/>
    <x v="0"/>
    <x v="0"/>
    <x v="3"/>
    <x v="1"/>
    <x v="0"/>
    <n v="0.22929155386993369"/>
    <n v="-0.25435329828790432"/>
  </r>
  <r>
    <n v="965"/>
    <d v="2011-02-12T00:00:00"/>
    <n v="1"/>
    <n v="0"/>
    <x v="1"/>
    <x v="19"/>
    <b v="0"/>
    <n v="6"/>
    <n v="1"/>
    <x v="17"/>
    <n v="0.2727"/>
    <n v="0.38"/>
    <n v="0.16420000000000001"/>
    <n v="2"/>
    <n v="39"/>
    <n v="41"/>
    <x v="0"/>
    <x v="0"/>
    <x v="3"/>
    <x v="1"/>
    <x v="0"/>
    <n v="0.22929155386993369"/>
    <n v="-0.25435329828790432"/>
  </r>
  <r>
    <n v="966"/>
    <d v="2011-02-12T00:00:00"/>
    <n v="1"/>
    <n v="0"/>
    <x v="1"/>
    <x v="20"/>
    <b v="0"/>
    <n v="6"/>
    <n v="1"/>
    <x v="12"/>
    <n v="0.2576"/>
    <n v="0.41"/>
    <n v="0.22389999999999999"/>
    <n v="1"/>
    <n v="39"/>
    <n v="40"/>
    <x v="0"/>
    <x v="0"/>
    <x v="3"/>
    <x v="1"/>
    <x v="0"/>
    <n v="0.22929155386993369"/>
    <n v="-0.25435329828790432"/>
  </r>
  <r>
    <n v="967"/>
    <d v="2011-02-12T00:00:00"/>
    <n v="1"/>
    <n v="0"/>
    <x v="1"/>
    <x v="21"/>
    <b v="0"/>
    <n v="6"/>
    <n v="1"/>
    <x v="12"/>
    <n v="0.30299999999999999"/>
    <n v="0.41"/>
    <n v="0"/>
    <n v="9"/>
    <n v="42"/>
    <n v="51"/>
    <x v="0"/>
    <x v="0"/>
    <x v="0"/>
    <x v="1"/>
    <x v="0"/>
    <n v="0.22929155386993369"/>
    <n v="-0.25435329828790432"/>
  </r>
  <r>
    <n v="968"/>
    <d v="2011-02-12T00:00:00"/>
    <n v="1"/>
    <n v="0"/>
    <x v="1"/>
    <x v="22"/>
    <b v="0"/>
    <n v="6"/>
    <n v="1"/>
    <x v="0"/>
    <n v="0.2576"/>
    <n v="0.44"/>
    <n v="8.9599999999999999E-2"/>
    <n v="6"/>
    <n v="39"/>
    <n v="45"/>
    <x v="0"/>
    <x v="0"/>
    <x v="0"/>
    <x v="1"/>
    <x v="0"/>
    <n v="0.22929155386993369"/>
    <n v="-0.25435329828790432"/>
  </r>
  <r>
    <n v="969"/>
    <d v="2011-02-12T00:00:00"/>
    <n v="1"/>
    <n v="0"/>
    <x v="1"/>
    <x v="23"/>
    <b v="0"/>
    <n v="6"/>
    <n v="1"/>
    <x v="1"/>
    <n v="0.2273"/>
    <n v="0.51"/>
    <n v="0.1343"/>
    <n v="1"/>
    <n v="31"/>
    <n v="32"/>
    <x v="0"/>
    <x v="0"/>
    <x v="0"/>
    <x v="1"/>
    <x v="0"/>
    <n v="0.22929155386993369"/>
    <n v="-0.25435329828790432"/>
  </r>
  <r>
    <n v="970"/>
    <d v="2011-02-13T00:00:00"/>
    <n v="1"/>
    <n v="0"/>
    <x v="1"/>
    <x v="0"/>
    <b v="0"/>
    <n v="0"/>
    <n v="1"/>
    <x v="2"/>
    <n v="0.2273"/>
    <n v="0.64"/>
    <n v="0.1045"/>
    <n v="5"/>
    <n v="34"/>
    <n v="39"/>
    <x v="0"/>
    <x v="0"/>
    <x v="0"/>
    <x v="1"/>
    <x v="0"/>
    <n v="0.22929155386993369"/>
    <n v="-0.25435329828790432"/>
  </r>
  <r>
    <n v="971"/>
    <d v="2011-02-13T00:00:00"/>
    <n v="1"/>
    <n v="0"/>
    <x v="1"/>
    <x v="1"/>
    <b v="0"/>
    <n v="0"/>
    <n v="1"/>
    <x v="2"/>
    <n v="0.2273"/>
    <n v="0.59"/>
    <n v="8.9599999999999999E-2"/>
    <n v="1"/>
    <n v="23"/>
    <n v="24"/>
    <x v="0"/>
    <x v="0"/>
    <x v="0"/>
    <x v="1"/>
    <x v="0"/>
    <n v="0.22929155386993369"/>
    <n v="-0.25435329828790432"/>
  </r>
  <r>
    <n v="972"/>
    <d v="2011-02-13T00:00:00"/>
    <n v="1"/>
    <n v="0"/>
    <x v="1"/>
    <x v="2"/>
    <b v="0"/>
    <n v="0"/>
    <n v="2"/>
    <x v="2"/>
    <n v="0.2273"/>
    <n v="0.75"/>
    <n v="8.9599999999999999E-2"/>
    <n v="1"/>
    <n v="19"/>
    <n v="20"/>
    <x v="0"/>
    <x v="1"/>
    <x v="0"/>
    <x v="1"/>
    <x v="0"/>
    <n v="0.22929155386993369"/>
    <n v="-0.25435329828790432"/>
  </r>
  <r>
    <n v="973"/>
    <d v="2011-02-13T00:00:00"/>
    <n v="1"/>
    <n v="0"/>
    <x v="1"/>
    <x v="3"/>
    <b v="0"/>
    <n v="0"/>
    <n v="2"/>
    <x v="2"/>
    <n v="0.2273"/>
    <n v="0.69"/>
    <n v="0.1045"/>
    <n v="4"/>
    <n v="8"/>
    <n v="12"/>
    <x v="0"/>
    <x v="1"/>
    <x v="0"/>
    <x v="1"/>
    <x v="0"/>
    <n v="0.22929155386993369"/>
    <n v="-0.25435329828790432"/>
  </r>
  <r>
    <n v="974"/>
    <d v="2011-02-13T00:00:00"/>
    <n v="1"/>
    <n v="0"/>
    <x v="1"/>
    <x v="4"/>
    <b v="0"/>
    <n v="0"/>
    <n v="2"/>
    <x v="2"/>
    <n v="0.21210000000000001"/>
    <n v="0.69"/>
    <n v="0.16420000000000001"/>
    <n v="0"/>
    <n v="2"/>
    <n v="2"/>
    <x v="0"/>
    <x v="1"/>
    <x v="0"/>
    <x v="1"/>
    <x v="0"/>
    <n v="0.22929155386993369"/>
    <n v="-0.25435329828790432"/>
  </r>
  <r>
    <n v="975"/>
    <d v="2011-02-13T00:00:00"/>
    <n v="1"/>
    <n v="0"/>
    <x v="1"/>
    <x v="6"/>
    <b v="0"/>
    <n v="0"/>
    <n v="2"/>
    <x v="2"/>
    <n v="0.21210000000000001"/>
    <n v="0.69"/>
    <n v="0.1343"/>
    <n v="2"/>
    <n v="3"/>
    <n v="5"/>
    <x v="0"/>
    <x v="1"/>
    <x v="1"/>
    <x v="1"/>
    <x v="0"/>
    <n v="0.22929155386993369"/>
    <n v="-0.25435329828790432"/>
  </r>
  <r>
    <n v="976"/>
    <d v="2011-02-13T00:00:00"/>
    <n v="1"/>
    <n v="0"/>
    <x v="1"/>
    <x v="7"/>
    <b v="0"/>
    <n v="0"/>
    <n v="2"/>
    <x v="1"/>
    <n v="0.2727"/>
    <n v="0.55000000000000004"/>
    <n v="0"/>
    <n v="0"/>
    <n v="3"/>
    <n v="3"/>
    <x v="0"/>
    <x v="1"/>
    <x v="1"/>
    <x v="1"/>
    <x v="0"/>
    <n v="0.22929155386993369"/>
    <n v="-0.25435329828790432"/>
  </r>
  <r>
    <n v="977"/>
    <d v="2011-02-13T00:00:00"/>
    <n v="1"/>
    <n v="0"/>
    <x v="1"/>
    <x v="8"/>
    <b v="0"/>
    <n v="0"/>
    <n v="2"/>
    <x v="1"/>
    <n v="0.2273"/>
    <n v="0.64"/>
    <n v="0.19400000000000001"/>
    <n v="1"/>
    <n v="11"/>
    <n v="12"/>
    <x v="0"/>
    <x v="1"/>
    <x v="1"/>
    <x v="1"/>
    <x v="0"/>
    <n v="0.22929155386993369"/>
    <n v="-0.25435329828790432"/>
  </r>
  <r>
    <n v="978"/>
    <d v="2011-02-13T00:00:00"/>
    <n v="1"/>
    <n v="0"/>
    <x v="1"/>
    <x v="9"/>
    <b v="0"/>
    <n v="0"/>
    <n v="2"/>
    <x v="0"/>
    <n v="0.2273"/>
    <n v="0.6"/>
    <n v="0.22389999999999999"/>
    <n v="12"/>
    <n v="35"/>
    <n v="47"/>
    <x v="0"/>
    <x v="1"/>
    <x v="1"/>
    <x v="1"/>
    <x v="0"/>
    <n v="0.22929155386993369"/>
    <n v="-0.25435329828790432"/>
  </r>
  <r>
    <n v="979"/>
    <d v="2011-02-13T00:00:00"/>
    <n v="1"/>
    <n v="0"/>
    <x v="1"/>
    <x v="10"/>
    <b v="0"/>
    <n v="0"/>
    <n v="1"/>
    <x v="11"/>
    <n v="0.2727"/>
    <n v="0.45"/>
    <n v="0.32840000000000003"/>
    <n v="19"/>
    <n v="86"/>
    <n v="105"/>
    <x v="0"/>
    <x v="0"/>
    <x v="1"/>
    <x v="1"/>
    <x v="0"/>
    <n v="0.22929155386993369"/>
    <n v="-0.25435329828790432"/>
  </r>
  <r>
    <n v="980"/>
    <d v="2011-02-13T00:00:00"/>
    <n v="1"/>
    <n v="0"/>
    <x v="1"/>
    <x v="11"/>
    <b v="0"/>
    <n v="0"/>
    <n v="1"/>
    <x v="3"/>
    <n v="0.28789999999999999"/>
    <n v="0.39"/>
    <n v="0.44779999999999998"/>
    <n v="26"/>
    <n v="86"/>
    <n v="112"/>
    <x v="0"/>
    <x v="0"/>
    <x v="1"/>
    <x v="1"/>
    <x v="0"/>
    <n v="0.22929155386993369"/>
    <n v="-0.25435329828790432"/>
  </r>
  <r>
    <n v="981"/>
    <d v="2011-02-13T00:00:00"/>
    <n v="1"/>
    <n v="0"/>
    <x v="1"/>
    <x v="12"/>
    <b v="0"/>
    <n v="0"/>
    <n v="1"/>
    <x v="5"/>
    <n v="0.31819999999999998"/>
    <n v="0.32"/>
    <n v="0.4627"/>
    <n v="58"/>
    <n v="94"/>
    <n v="152"/>
    <x v="0"/>
    <x v="0"/>
    <x v="2"/>
    <x v="1"/>
    <x v="0"/>
    <n v="0.22929155386993369"/>
    <n v="-0.25435329828790432"/>
  </r>
  <r>
    <n v="982"/>
    <d v="2011-02-13T00:00:00"/>
    <n v="1"/>
    <n v="0"/>
    <x v="1"/>
    <x v="13"/>
    <b v="0"/>
    <n v="0"/>
    <n v="1"/>
    <x v="4"/>
    <n v="0.39389999999999997"/>
    <n v="0.28999999999999998"/>
    <n v="0.35820000000000002"/>
    <n v="62"/>
    <n v="92"/>
    <n v="154"/>
    <x v="0"/>
    <x v="0"/>
    <x v="2"/>
    <x v="1"/>
    <x v="0"/>
    <n v="0.22929155386993369"/>
    <n v="-0.25435329828790432"/>
  </r>
  <r>
    <n v="983"/>
    <d v="2011-02-13T00:00:00"/>
    <n v="1"/>
    <n v="0"/>
    <x v="1"/>
    <x v="14"/>
    <b v="0"/>
    <n v="0"/>
    <n v="2"/>
    <x v="9"/>
    <n v="0.40910000000000002"/>
    <n v="0.3"/>
    <n v="0.41789999999999999"/>
    <n v="51"/>
    <n v="110"/>
    <n v="161"/>
    <x v="0"/>
    <x v="1"/>
    <x v="2"/>
    <x v="1"/>
    <x v="0"/>
    <n v="0.22929155386993369"/>
    <n v="-0.25435329828790432"/>
  </r>
  <r>
    <n v="984"/>
    <d v="2011-02-13T00:00:00"/>
    <n v="1"/>
    <n v="0"/>
    <x v="1"/>
    <x v="15"/>
    <b v="0"/>
    <n v="0"/>
    <n v="2"/>
    <x v="9"/>
    <n v="0.40910000000000002"/>
    <n v="0.3"/>
    <n v="0.29849999999999999"/>
    <n v="40"/>
    <n v="122"/>
    <n v="162"/>
    <x v="0"/>
    <x v="1"/>
    <x v="2"/>
    <x v="1"/>
    <x v="0"/>
    <n v="0.22929155386993369"/>
    <n v="-0.25435329828790432"/>
  </r>
  <r>
    <n v="985"/>
    <d v="2011-02-13T00:00:00"/>
    <n v="1"/>
    <n v="0"/>
    <x v="1"/>
    <x v="16"/>
    <b v="0"/>
    <n v="0"/>
    <n v="2"/>
    <x v="6"/>
    <n v="0.42420000000000002"/>
    <n v="0.28000000000000003"/>
    <n v="0.32840000000000003"/>
    <n v="28"/>
    <n v="106"/>
    <n v="134"/>
    <x v="0"/>
    <x v="1"/>
    <x v="2"/>
    <x v="1"/>
    <x v="0"/>
    <n v="0.22929155386993369"/>
    <n v="-0.25435329828790432"/>
  </r>
  <r>
    <n v="986"/>
    <d v="2011-02-13T00:00:00"/>
    <n v="1"/>
    <n v="0"/>
    <x v="1"/>
    <x v="17"/>
    <b v="0"/>
    <n v="0"/>
    <n v="1"/>
    <x v="6"/>
    <n v="0.42420000000000002"/>
    <n v="0.28000000000000003"/>
    <n v="0.32840000000000003"/>
    <n v="30"/>
    <n v="95"/>
    <n v="125"/>
    <x v="0"/>
    <x v="0"/>
    <x v="3"/>
    <x v="1"/>
    <x v="0"/>
    <n v="0.22929155386993369"/>
    <n v="-0.25435329828790432"/>
  </r>
  <r>
    <n v="987"/>
    <d v="2011-02-13T00:00:00"/>
    <n v="1"/>
    <n v="0"/>
    <x v="1"/>
    <x v="18"/>
    <b v="0"/>
    <n v="0"/>
    <n v="1"/>
    <x v="9"/>
    <n v="0.40910000000000002"/>
    <n v="0.32"/>
    <n v="0.29849999999999999"/>
    <n v="17"/>
    <n v="78"/>
    <n v="95"/>
    <x v="0"/>
    <x v="0"/>
    <x v="3"/>
    <x v="1"/>
    <x v="0"/>
    <n v="0.22929155386993369"/>
    <n v="-0.25435329828790432"/>
  </r>
  <r>
    <n v="988"/>
    <d v="2011-02-13T00:00:00"/>
    <n v="1"/>
    <n v="0"/>
    <x v="1"/>
    <x v="19"/>
    <b v="0"/>
    <n v="0"/>
    <n v="1"/>
    <x v="9"/>
    <n v="0.40910000000000002"/>
    <n v="0.35"/>
    <n v="0.28360000000000002"/>
    <n v="11"/>
    <n v="50"/>
    <n v="61"/>
    <x v="0"/>
    <x v="0"/>
    <x v="3"/>
    <x v="1"/>
    <x v="0"/>
    <n v="0.22929155386993369"/>
    <n v="-0.25435329828790432"/>
  </r>
  <r>
    <n v="989"/>
    <d v="2011-02-13T00:00:00"/>
    <n v="1"/>
    <n v="0"/>
    <x v="1"/>
    <x v="20"/>
    <b v="0"/>
    <n v="0"/>
    <n v="1"/>
    <x v="9"/>
    <n v="0.40910000000000002"/>
    <n v="0.35"/>
    <n v="0.32840000000000003"/>
    <n v="15"/>
    <n v="32"/>
    <n v="47"/>
    <x v="0"/>
    <x v="0"/>
    <x v="3"/>
    <x v="1"/>
    <x v="0"/>
    <n v="0.22929155386993369"/>
    <n v="-0.25435329828790432"/>
  </r>
  <r>
    <n v="990"/>
    <d v="2011-02-13T00:00:00"/>
    <n v="1"/>
    <n v="0"/>
    <x v="1"/>
    <x v="21"/>
    <b v="0"/>
    <n v="0"/>
    <n v="1"/>
    <x v="9"/>
    <n v="0.40910000000000002"/>
    <n v="0.35"/>
    <n v="0.35820000000000002"/>
    <n v="6"/>
    <n v="45"/>
    <n v="51"/>
    <x v="0"/>
    <x v="0"/>
    <x v="0"/>
    <x v="1"/>
    <x v="0"/>
    <n v="0.22929155386993369"/>
    <n v="-0.25435329828790432"/>
  </r>
  <r>
    <n v="991"/>
    <d v="2011-02-13T00:00:00"/>
    <n v="1"/>
    <n v="0"/>
    <x v="1"/>
    <x v="22"/>
    <b v="0"/>
    <n v="0"/>
    <n v="1"/>
    <x v="9"/>
    <n v="0.40910000000000002"/>
    <n v="0.35"/>
    <n v="0.29849999999999999"/>
    <n v="5"/>
    <n v="31"/>
    <n v="36"/>
    <x v="0"/>
    <x v="0"/>
    <x v="0"/>
    <x v="1"/>
    <x v="0"/>
    <n v="0.22929155386993369"/>
    <n v="-0.25435329828790432"/>
  </r>
  <r>
    <n v="992"/>
    <d v="2011-02-13T00:00:00"/>
    <n v="1"/>
    <n v="0"/>
    <x v="1"/>
    <x v="23"/>
    <b v="0"/>
    <n v="0"/>
    <n v="1"/>
    <x v="9"/>
    <n v="0.40910000000000002"/>
    <n v="0.35"/>
    <n v="0.35820000000000002"/>
    <n v="3"/>
    <n v="27"/>
    <n v="30"/>
    <x v="0"/>
    <x v="0"/>
    <x v="0"/>
    <x v="1"/>
    <x v="0"/>
    <n v="0.22929155386993369"/>
    <n v="-0.25435329828790432"/>
  </r>
  <r>
    <n v="993"/>
    <d v="2011-02-14T00:00:00"/>
    <n v="1"/>
    <n v="0"/>
    <x v="1"/>
    <x v="0"/>
    <b v="0"/>
    <n v="1"/>
    <n v="1"/>
    <x v="4"/>
    <n v="0.39389999999999997"/>
    <n v="0.37"/>
    <n v="0.35820000000000002"/>
    <n v="3"/>
    <n v="8"/>
    <n v="11"/>
    <x v="1"/>
    <x v="0"/>
    <x v="0"/>
    <x v="1"/>
    <x v="0"/>
    <n v="0.22929155386993369"/>
    <n v="-0.25435329828790432"/>
  </r>
  <r>
    <n v="994"/>
    <d v="2011-02-14T00:00:00"/>
    <n v="1"/>
    <n v="0"/>
    <x v="1"/>
    <x v="1"/>
    <b v="0"/>
    <n v="1"/>
    <n v="1"/>
    <x v="4"/>
    <n v="0.39389999999999997"/>
    <n v="0.37"/>
    <n v="0.35820000000000002"/>
    <n v="1"/>
    <n v="6"/>
    <n v="7"/>
    <x v="1"/>
    <x v="0"/>
    <x v="0"/>
    <x v="1"/>
    <x v="0"/>
    <n v="0.22929155386993369"/>
    <n v="-0.25435329828790432"/>
  </r>
  <r>
    <n v="995"/>
    <d v="2011-02-14T00:00:00"/>
    <n v="1"/>
    <n v="0"/>
    <x v="1"/>
    <x v="2"/>
    <b v="0"/>
    <n v="1"/>
    <n v="1"/>
    <x v="5"/>
    <n v="0.33329999999999999"/>
    <n v="0.4"/>
    <n v="0.29849999999999999"/>
    <n v="0"/>
    <n v="2"/>
    <n v="2"/>
    <x v="1"/>
    <x v="0"/>
    <x v="0"/>
    <x v="1"/>
    <x v="0"/>
    <n v="0.22929155386993369"/>
    <n v="-0.25435329828790432"/>
  </r>
  <r>
    <n v="996"/>
    <d v="2011-02-14T00:00:00"/>
    <n v="1"/>
    <n v="0"/>
    <x v="1"/>
    <x v="3"/>
    <b v="0"/>
    <n v="1"/>
    <n v="1"/>
    <x v="10"/>
    <n v="0.31819999999999998"/>
    <n v="0.46"/>
    <n v="0.22389999999999999"/>
    <n v="1"/>
    <n v="1"/>
    <n v="2"/>
    <x v="1"/>
    <x v="0"/>
    <x v="0"/>
    <x v="1"/>
    <x v="0"/>
    <n v="0.22929155386993369"/>
    <n v="-0.25435329828790432"/>
  </r>
  <r>
    <n v="997"/>
    <d v="2011-02-14T00:00:00"/>
    <n v="1"/>
    <n v="0"/>
    <x v="1"/>
    <x v="4"/>
    <b v="0"/>
    <n v="1"/>
    <n v="1"/>
    <x v="3"/>
    <n v="0.30299999999999999"/>
    <n v="0.53"/>
    <n v="0.28360000000000002"/>
    <n v="0"/>
    <n v="2"/>
    <n v="2"/>
    <x v="1"/>
    <x v="0"/>
    <x v="0"/>
    <x v="1"/>
    <x v="0"/>
    <n v="0.22929155386993369"/>
    <n v="-0.25435329828790432"/>
  </r>
  <r>
    <n v="998"/>
    <d v="2011-02-14T00:00:00"/>
    <n v="1"/>
    <n v="0"/>
    <x v="1"/>
    <x v="5"/>
    <b v="0"/>
    <n v="1"/>
    <n v="1"/>
    <x v="3"/>
    <n v="0.30299999999999999"/>
    <n v="0.53"/>
    <n v="0.28360000000000002"/>
    <n v="0"/>
    <n v="3"/>
    <n v="3"/>
    <x v="1"/>
    <x v="0"/>
    <x v="0"/>
    <x v="1"/>
    <x v="0"/>
    <n v="0.22929155386993369"/>
    <n v="-0.25435329828790432"/>
  </r>
  <r>
    <n v="999"/>
    <d v="2011-02-14T00:00:00"/>
    <n v="1"/>
    <n v="0"/>
    <x v="1"/>
    <x v="6"/>
    <b v="0"/>
    <n v="1"/>
    <n v="1"/>
    <x v="10"/>
    <n v="0.30299999999999999"/>
    <n v="0.46"/>
    <n v="0.29849999999999999"/>
    <n v="1"/>
    <n v="25"/>
    <n v="26"/>
    <x v="1"/>
    <x v="0"/>
    <x v="1"/>
    <x v="1"/>
    <x v="0"/>
    <n v="0.22929155386993369"/>
    <n v="-0.25435329828790432"/>
  </r>
  <r>
    <n v="1000"/>
    <d v="2011-02-14T00:00:00"/>
    <n v="1"/>
    <n v="0"/>
    <x v="1"/>
    <x v="7"/>
    <b v="0"/>
    <n v="1"/>
    <n v="1"/>
    <x v="10"/>
    <n v="0.30299999999999999"/>
    <n v="0.46"/>
    <n v="0.29849999999999999"/>
    <n v="2"/>
    <n v="96"/>
    <n v="98"/>
    <x v="1"/>
    <x v="0"/>
    <x v="1"/>
    <x v="1"/>
    <x v="0"/>
    <n v="0.22929155386993369"/>
    <n v="-0.254353298287904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29969-36D6-42B1-BFD6-039DB492D715}" name="PivotTable1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1:B44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um of dataset_2.cnt" fld="1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9" type="button" dataOnly="0" labelOnly="1" outline="0" axis="axisRow" fieldPosition="0"/>
    </format>
    <format dxfId="2">
      <pivotArea dataOnly="0" labelOnly="1" fieldPosition="0">
        <references count="1">
          <reference field="1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DB646-E102-401A-A587-47D08E8C5398}" name="PivotTable1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3:B38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ataset_2.cnt" fld="15" subtotal="average" baseField="17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7" type="button" dataOnly="0" labelOnly="1" outline="0" axis="axisRow" fieldPosition="0"/>
    </format>
    <format dxfId="8">
      <pivotArea dataOnly="0" labelOnly="1" fieldPosition="0">
        <references count="1">
          <reference field="17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D83BF-8C8D-4D50-98DA-DD8981209262}" name="PivotTable1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21:K25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nt" fld="15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6" type="button" dataOnly="0" labelOnly="1" outline="0" axis="axisRow" fieldPosition="0"/>
    </format>
    <format dxfId="14">
      <pivotArea dataOnly="0" labelOnly="1" fieldPosition="0">
        <references count="1">
          <reference field="16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A8468-26F7-4B83-98A9-7DE666FDCD6E}" name="PivotTable1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6:K12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nt" fld="15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7" type="button" dataOnly="0" labelOnly="1" outline="0" axis="axisRow" fieldPosition="0"/>
    </format>
    <format dxfId="26">
      <pivotArea dataOnly="0" labelOnly="1" fieldPosition="0">
        <references count="1">
          <reference field="17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2882D-2916-483B-8CBD-F23BF51AC5DF}" name="PivotTable1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:B31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22"/>
        <item x="21"/>
        <item x="20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x="2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cnt" fld="15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9" type="button" dataOnly="0" labelOnly="1" outline="0" axis="axisRow" fieldPosition="0"/>
    </format>
    <format dxfId="20">
      <pivotArea dataOnly="0" labelOnly="1" fieldPosition="0">
        <references count="1">
          <reference field="9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CB01BA5-E29B-46B9-A5B3-A3EA1148139C}" autoFormatId="16" applyNumberFormats="0" applyBorderFormats="0" applyFontFormats="0" applyPatternFormats="0" applyAlignmentFormats="0" applyWidthHeightFormats="0">
  <queryTableRefresh nextId="11">
    <queryTableFields count="10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6201954-5478-4B52-879E-008BEBE519AE}" autoFormatId="16" applyNumberFormats="0" applyBorderFormats="0" applyFontFormats="0" applyPatternFormats="0" applyAlignmentFormats="0" applyWidthHeightFormats="0">
  <queryTableRefresh nextId="9">
    <queryTableFields count="8">
      <queryTableField id="1" name="Unnamed: 0" tableColumnId="1"/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6" name="casual" tableColumnId="6"/>
      <queryTableField id="7" name="registered" tableColumnId="7"/>
      <queryTableField id="8" name="cnt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F2B4677F-227A-46DB-822B-B679983ECE4B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F639992-ED9C-4D61-A865-0611A55F0399}" autoFormatId="16" applyNumberFormats="0" applyBorderFormats="0" applyFontFormats="0" applyPatternFormats="0" applyAlignmentFormats="0" applyWidthHeightFormats="0">
  <queryTableRefresh nextId="32" unboundColumnsRight="9">
    <queryTableFields count="25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dataset_2.atemp" tableColumnId="11"/>
      <queryTableField id="12" name="dataset_2.hum" tableColumnId="12"/>
      <queryTableField id="13" name="dataset_2.windspeed" tableColumnId="13"/>
      <queryTableField id="14" name="dataset_2.casual" tableColumnId="14"/>
      <queryTableField id="15" name="dataset_2.registered" tableColumnId="15"/>
      <queryTableField id="16" name="dataset_2.cnt" tableColumnId="16"/>
      <queryTableField id="23" dataBound="0" tableColumnId="23"/>
      <queryTableField id="24" dataBound="0" tableColumnId="17"/>
      <queryTableField id="25" dataBound="0" tableColumnId="18"/>
      <queryTableField id="26" dataBound="0" tableColumnId="19"/>
      <queryTableField id="27" dataBound="0" tableColumnId="20"/>
      <queryTableField id="28" dataBound="0" tableColumnId="21"/>
      <queryTableField id="29" dataBound="0" tableColumnId="22"/>
      <queryTableField id="30" dataBound="0" tableColumnId="24"/>
      <queryTableField id="31" dataBound="0" tableColumnId="25"/>
    </queryTableFields>
    <queryTableDeletedFields count="6">
      <deletedField name="registered"/>
      <deletedField name="casual"/>
      <deletedField name="cnt"/>
      <deletedField name="windspeed"/>
      <deletedField name="atemp"/>
      <deletedField name="hu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1392F-DE3C-4CDA-9F85-CCE39F3272BA}" name="dataset_1" displayName="dataset_1" ref="A1:J611" tableType="queryTable" totalsRowShown="0">
  <autoFilter ref="A1:J611" xr:uid="{6CE1392F-DE3C-4CDA-9F85-CCE39F3272BA}"/>
  <tableColumns count="10">
    <tableColumn id="1" xr3:uid="{7F6D17EF-1E88-4FF8-A34B-554CDCC2C183}" uniqueName="1" name="instant" queryTableFieldId="1"/>
    <tableColumn id="2" xr3:uid="{E5740DF1-3F1F-430B-A907-AF89B4FABAA4}" uniqueName="2" name="dteday" queryTableFieldId="2" dataDxfId="42"/>
    <tableColumn id="3" xr3:uid="{B261A9D1-31A0-4F77-915B-C076B6DEFADD}" uniqueName="3" name="season" queryTableFieldId="3"/>
    <tableColumn id="4" xr3:uid="{E555D14D-C8FB-473D-BDA6-33EC8C2D025E}" uniqueName="4" name="yr" queryTableFieldId="4"/>
    <tableColumn id="5" xr3:uid="{52AA70D6-2D42-4204-966F-72F4B09B35EC}" uniqueName="5" name="mnth" queryTableFieldId="5"/>
    <tableColumn id="6" xr3:uid="{B2B5F5DA-304D-4D86-9DAB-7FE8C74E4B1B}" uniqueName="6" name="hr" queryTableFieldId="6"/>
    <tableColumn id="7" xr3:uid="{D4D6CDF0-419B-4C66-8A7C-9833C9EBFE49}" uniqueName="7" name="holiday" queryTableFieldId="7"/>
    <tableColumn id="8" xr3:uid="{6C2177B4-B19F-4A28-80E4-5361A25E84FE}" uniqueName="8" name="weekday" queryTableFieldId="8"/>
    <tableColumn id="9" xr3:uid="{6D1B2DD1-80DC-4875-AF86-69038369EC45}" uniqueName="9" name="weathersit" queryTableFieldId="9"/>
    <tableColumn id="10" xr3:uid="{BF533CCC-5B99-4EE0-88C7-FFA99560F351}" uniqueName="10" name="temp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4E728C-70BC-4111-8278-D45980F743D2}" name="dataset_2" displayName="dataset_2" ref="A1:H1000" tableType="queryTable" totalsRowShown="0">
  <autoFilter ref="A1:H1000" xr:uid="{914E728C-70BC-4111-8278-D45980F743D2}"/>
  <tableColumns count="8">
    <tableColumn id="1" xr3:uid="{87965135-8E5F-4803-B7C9-E01D15FD97AA}" uniqueName="1" name="Unnamed: 0" queryTableFieldId="1"/>
    <tableColumn id="2" xr3:uid="{6DDE3D24-931D-415C-B7C3-AA6CE6C98D20}" uniqueName="2" name="instant" queryTableFieldId="2"/>
    <tableColumn id="3" xr3:uid="{7FD7A615-DA98-4C8E-B436-F63030C16E12}" uniqueName="3" name="atemp" queryTableFieldId="3"/>
    <tableColumn id="4" xr3:uid="{272234A5-C53F-48FA-A25E-3C47D568C1D2}" uniqueName="4" name="hum" queryTableFieldId="4"/>
    <tableColumn id="5" xr3:uid="{04783DA5-3F22-4D7A-B8E8-15695EA003F3}" uniqueName="5" name="windspeed" queryTableFieldId="5"/>
    <tableColumn id="6" xr3:uid="{55F1FB2D-444B-4CBF-825F-E97FAD6DBC4D}" uniqueName="6" name="casual" queryTableFieldId="6"/>
    <tableColumn id="7" xr3:uid="{307055BD-E87A-4261-A38D-D8CB84CA6E7A}" uniqueName="7" name="registered" queryTableFieldId="7"/>
    <tableColumn id="8" xr3:uid="{ABF842A3-4CFF-45E8-A9D7-E131921D4727}" uniqueName="8" name="cnt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CC4295-C20E-4361-BF3D-8915CA2425CA}" name="dataset_3" displayName="dataset_3" ref="A1:P391" tableType="queryTable" totalsRowShown="0">
  <autoFilter ref="A1:P391" xr:uid="{1CCC4295-C20E-4361-BF3D-8915CA2425CA}"/>
  <sortState xmlns:xlrd2="http://schemas.microsoft.com/office/spreadsheetml/2017/richdata2" ref="A2:P391">
    <sortCondition ref="A1:A391"/>
  </sortState>
  <tableColumns count="16">
    <tableColumn id="1" xr3:uid="{4C74AB9E-DED4-409C-A604-7A1200A6004E}" uniqueName="1" name="instant" queryTableFieldId="1"/>
    <tableColumn id="2" xr3:uid="{CD97AF8D-0E80-4689-827E-F190A0E96826}" uniqueName="2" name="dteday" queryTableFieldId="2" dataDxfId="41"/>
    <tableColumn id="3" xr3:uid="{4F88CAD4-834E-4187-A12C-D5198F14B0BE}" uniqueName="3" name="season" queryTableFieldId="3"/>
    <tableColumn id="4" xr3:uid="{1E5CA5AF-148E-4092-A1DB-09FF90FA1F7E}" uniqueName="4" name="yr" queryTableFieldId="4"/>
    <tableColumn id="5" xr3:uid="{3E43A6E9-42C0-40F9-9216-13C8B6211222}" uniqueName="5" name="mnth" queryTableFieldId="5"/>
    <tableColumn id="6" xr3:uid="{E323F572-36A2-4627-9525-3F34BB92E237}" uniqueName="6" name="hr" queryTableFieldId="6"/>
    <tableColumn id="7" xr3:uid="{6F1871D1-4E43-4DC2-AAF6-402ECFFA2DC2}" uniqueName="7" name="holiday" queryTableFieldId="7"/>
    <tableColumn id="8" xr3:uid="{749436A0-73AF-4DCA-81EE-F189B78E58FD}" uniqueName="8" name="weekday" queryTableFieldId="8"/>
    <tableColumn id="9" xr3:uid="{D1AD662F-48D0-45FF-96CA-4581C952ECB6}" uniqueName="9" name="weathersit" queryTableFieldId="9"/>
    <tableColumn id="10" xr3:uid="{F854681D-8695-42A1-8785-686A9A4433D5}" uniqueName="10" name="temp" queryTableFieldId="10"/>
    <tableColumn id="11" xr3:uid="{F1D0F422-7390-4C12-82A9-E1D9A2451400}" uniqueName="11" name="atemp" queryTableFieldId="11"/>
    <tableColumn id="12" xr3:uid="{6698E8D6-7724-4478-9164-16F4783FEAF8}" uniqueName="12" name="hum" queryTableFieldId="12"/>
    <tableColumn id="13" xr3:uid="{3619531A-0859-48C9-BDFD-8429A469360F}" uniqueName="13" name="windspeed" queryTableFieldId="13"/>
    <tableColumn id="14" xr3:uid="{329505A4-7111-4AE3-BFA9-E1953215797C}" uniqueName="14" name="casual" queryTableFieldId="14"/>
    <tableColumn id="15" xr3:uid="{1E3C343A-6E85-48C0-A10F-997F6C1C30B5}" uniqueName="15" name="registered" queryTableFieldId="15"/>
    <tableColumn id="16" xr3:uid="{A99CF3D0-9213-43FB-BB39-DF8E0BB7146D}" uniqueName="16" name="cnt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D6D9E2-8F59-4FBC-8630-DB6A05DF193B}" name="Append1" displayName="Append1" ref="A1:Y1001" tableType="queryTable" totalsRowShown="0" headerRowDxfId="40">
  <autoFilter ref="A1:Y1001" xr:uid="{D7D6D9E2-8F59-4FBC-8630-DB6A05DF193B}"/>
  <sortState xmlns:xlrd2="http://schemas.microsoft.com/office/spreadsheetml/2017/richdata2" ref="A2:P1001">
    <sortCondition ref="A1:A1001"/>
  </sortState>
  <tableColumns count="25">
    <tableColumn id="1" xr3:uid="{52EC207E-2CBE-4587-9C44-5D5A0D043C60}" uniqueName="1" name="instant" queryTableFieldId="1"/>
    <tableColumn id="2" xr3:uid="{F3711AEA-C8A1-4059-8002-98FAE9985390}" uniqueName="2" name="dteday" queryTableFieldId="2" dataDxfId="39"/>
    <tableColumn id="3" xr3:uid="{DC8C695C-E299-414F-BD1A-C1F2935F36F6}" uniqueName="3" name="season" queryTableFieldId="3"/>
    <tableColumn id="4" xr3:uid="{50C682B9-2995-419F-9D06-056A8CDB46D8}" uniqueName="4" name="yr" queryTableFieldId="4"/>
    <tableColumn id="5" xr3:uid="{1BE67DE2-6DAC-4341-A560-14D06C7BE00E}" uniqueName="5" name="mnth" queryTableFieldId="5"/>
    <tableColumn id="6" xr3:uid="{5EA91C76-8D95-45FA-9FFC-124EC9547B38}" uniqueName="6" name="hr" queryTableFieldId="6"/>
    <tableColumn id="7" xr3:uid="{684FD6E7-17EF-4229-9BD0-4B58F88D4BB2}" uniqueName="7" name="holiday" queryTableFieldId="7"/>
    <tableColumn id="8" xr3:uid="{D4F620A2-3067-460E-AA06-E99C0C798C20}" uniqueName="8" name="weekday" queryTableFieldId="8"/>
    <tableColumn id="9" xr3:uid="{241F8D91-EF5F-41AA-BAB2-8237018355DA}" uniqueName="9" name="weathersit" queryTableFieldId="9"/>
    <tableColumn id="10" xr3:uid="{0CC7B9E7-D573-494E-BD06-93E07C8DA80F}" uniqueName="10" name="temp" queryTableFieldId="10"/>
    <tableColumn id="11" xr3:uid="{0F1F917D-EC5F-4822-BC7A-89B096907C43}" uniqueName="11" name="atemp" queryTableFieldId="11"/>
    <tableColumn id="12" xr3:uid="{B8FCC613-A6BB-4A95-BC34-1606DE16A50C}" uniqueName="12" name="hum" queryTableFieldId="12"/>
    <tableColumn id="13" xr3:uid="{2D7A6473-E695-4AA4-ACF4-D333BEF4BCDB}" uniqueName="13" name="windspeed" queryTableFieldId="13"/>
    <tableColumn id="14" xr3:uid="{32E4802A-9A10-4796-B663-F7097DDDE633}" uniqueName="14" name="casual" queryTableFieldId="14"/>
    <tableColumn id="15" xr3:uid="{B66E9546-94F2-40C9-904B-F956C1F52AF9}" uniqueName="15" name="registered" queryTableFieldId="15"/>
    <tableColumn id="16" xr3:uid="{D4A644C4-8E11-4F3E-930C-916DD68EF381}" uniqueName="16" name="cnt" queryTableFieldId="16"/>
    <tableColumn id="23" xr3:uid="{2B810835-C10C-4BF6-A2AA-36286348B471}" uniqueName="23" name="weekday_Type" queryTableFieldId="23" dataDxfId="38">
      <calculatedColumnFormula>IF(OR(WEEKDAY(B2)=1, WEEKDAY(B2)=7), "Weekend", "Weekday")</calculatedColumnFormula>
    </tableColumn>
    <tableColumn id="17" xr3:uid="{8DDE0D1E-E815-4266-B1FF-FF4F68B6D4D5}" uniqueName="17" name="weathersit_Type" queryTableFieldId="24" dataDxfId="37">
      <calculatedColumnFormula>IF(I2=1,"Clear",IF(I2=2,"Mist/Cloudy",IF(I2=3,"Light Rain/Snow","Heavy Rain/Snow")))</calculatedColumnFormula>
    </tableColumn>
    <tableColumn id="18" xr3:uid="{79840403-07C4-4982-9CB0-125B094624EB}" uniqueName="18" name="hr_Type" queryTableFieldId="25" dataDxfId="36">
      <calculatedColumnFormula>IF(AND(F2&gt;=6, F2&lt;12), "Morning", IF(AND(F2&gt;=12, F2&lt;17), "Afternoon", IF(AND(F2&gt;=17, F2&lt;21), "Evening", "Night")))</calculatedColumnFormula>
    </tableColumn>
    <tableColumn id="19" xr3:uid="{D458C95F-AF31-440D-89F0-49CF29D0A8C0}" uniqueName="19" name="month_Type" queryTableFieldId="26" dataDxfId="35">
      <calculatedColumnFormula>TEXT(B2, "mmmm")</calculatedColumnFormula>
    </tableColumn>
    <tableColumn id="20" xr3:uid="{117BAE62-E0DF-44C0-8A08-39779A7D24A2}" uniqueName="20" name="season_Type" queryTableFieldId="27" dataDxfId="34">
      <calculatedColumnFormula>CHOOSE(C2, "Spring", "Summer", "Fall", "Winter")</calculatedColumnFormula>
    </tableColumn>
    <tableColumn id="21" xr3:uid="{CDAB100E-EF5F-41C5-9FB4-E062050ED426}" uniqueName="21" name="Tem CORRE function" queryTableFieldId="28" dataDxfId="33">
      <calculatedColumnFormula>CORREL($J$2:$J$1001, $P$2:$P$1001)</calculatedColumnFormula>
    </tableColumn>
    <tableColumn id="22" xr3:uid="{F7F366B3-13D0-426D-BCDD-9632B41E2809}" uniqueName="22" name="Humidity Function" queryTableFieldId="29" dataDxfId="32">
      <calculatedColumnFormula>CORREL($L$2:$L$1001, $P$2:$P$1001)</calculatedColumnFormula>
    </tableColumn>
    <tableColumn id="24" xr3:uid="{6E26041E-9937-4C45-BB07-1EF9E541E678}" uniqueName="24" name="Windspeed corr Function" queryTableFieldId="30" dataDxfId="31">
      <calculatedColumnFormula>CORREL($M$2:$M$1001, $P$2:$P$1001)</calculatedColumnFormula>
    </tableColumn>
    <tableColumn id="25" xr3:uid="{689CF65D-592A-4BDD-A7A7-4F2485AEACE8}" uniqueName="25" name="HOUR CORR." queryTableFieldId="31" dataDxfId="30">
      <calculatedColumnFormula>CORREL($F$2:$F$1001, $P$2:$P$1001)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6E33-EB0B-4376-BD59-1C15FFB6E09F}">
  <dimension ref="A1:J611"/>
  <sheetViews>
    <sheetView workbookViewId="0">
      <selection activeCell="I613" sqref="I613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9" bestFit="1" customWidth="1"/>
    <col min="4" max="4" width="4.88671875" bestFit="1" customWidth="1"/>
    <col min="5" max="5" width="7.77734375" bestFit="1" customWidth="1"/>
    <col min="6" max="6" width="5" bestFit="1" customWidth="1"/>
    <col min="7" max="7" width="9.44140625" bestFit="1" customWidth="1"/>
    <col min="8" max="8" width="10.77734375" bestFit="1" customWidth="1"/>
    <col min="9" max="9" width="12" bestFit="1" customWidth="1"/>
    <col min="10" max="10" width="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0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0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0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0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0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0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0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0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0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0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0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0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0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0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</row>
    <row r="164" spans="1:10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</row>
    <row r="165" spans="1:10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</row>
    <row r="166" spans="1:10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</row>
    <row r="167" spans="1:10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</row>
    <row r="168" spans="1:10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</row>
    <row r="169" spans="1:10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</row>
    <row r="170" spans="1:10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</row>
    <row r="171" spans="1:10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</row>
    <row r="172" spans="1:10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</row>
    <row r="173" spans="1:10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</row>
    <row r="174" spans="1:10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</row>
    <row r="175" spans="1:10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</row>
    <row r="176" spans="1:10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</row>
    <row r="177" spans="1:10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</row>
    <row r="178" spans="1:10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</row>
    <row r="179" spans="1:10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</row>
    <row r="180" spans="1:10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</row>
    <row r="181" spans="1:10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</row>
    <row r="182" spans="1:10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</row>
    <row r="183" spans="1:10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</row>
    <row r="184" spans="1:10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</row>
    <row r="185" spans="1:10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</row>
    <row r="186" spans="1:10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</row>
    <row r="187" spans="1:10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</row>
    <row r="327" spans="1:10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</row>
    <row r="328" spans="1:10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</row>
    <row r="329" spans="1:10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</row>
    <row r="330" spans="1:10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</row>
    <row r="331" spans="1:10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</row>
    <row r="332" spans="1:10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</row>
    <row r="333" spans="1:10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</row>
    <row r="334" spans="1:10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</row>
    <row r="335" spans="1:10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</row>
    <row r="336" spans="1:10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</row>
    <row r="337" spans="1:10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</row>
    <row r="338" spans="1:10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</row>
    <row r="339" spans="1:10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</row>
    <row r="340" spans="1:10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</row>
    <row r="341" spans="1:10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</row>
    <row r="342" spans="1:10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</row>
    <row r="343" spans="1:10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</row>
    <row r="344" spans="1:10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</row>
    <row r="345" spans="1:10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</row>
    <row r="346" spans="1:10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</row>
    <row r="347" spans="1:10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</row>
    <row r="348" spans="1:10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</row>
    <row r="349" spans="1:10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</row>
    <row r="350" spans="1:10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</row>
    <row r="375" spans="1:10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</row>
    <row r="376" spans="1:10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</row>
    <row r="377" spans="1:10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</row>
    <row r="378" spans="1:10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</row>
    <row r="379" spans="1:10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</row>
    <row r="380" spans="1:10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</row>
    <row r="381" spans="1:10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</row>
    <row r="382" spans="1:10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</row>
    <row r="383" spans="1:10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</row>
    <row r="384" spans="1:10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</row>
    <row r="385" spans="1:10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</row>
    <row r="386" spans="1:10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</row>
    <row r="387" spans="1:10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</row>
    <row r="388" spans="1:10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</row>
    <row r="389" spans="1:10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</row>
    <row r="390" spans="1:10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</row>
    <row r="391" spans="1:10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</row>
    <row r="392" spans="1:10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</row>
    <row r="393" spans="1:10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</row>
    <row r="394" spans="1:10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</row>
    <row r="395" spans="1:10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</row>
    <row r="396" spans="1:10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</row>
    <row r="397" spans="1:10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</row>
    <row r="398" spans="1:10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</row>
    <row r="414" spans="1:10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</row>
    <row r="415" spans="1:10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</row>
    <row r="416" spans="1:10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</row>
    <row r="417" spans="1:10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</row>
    <row r="418" spans="1:10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</row>
    <row r="419" spans="1:10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</row>
    <row r="420" spans="1:10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</row>
    <row r="421" spans="1:10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</row>
    <row r="422" spans="1:10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</row>
    <row r="423" spans="1:10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</row>
    <row r="424" spans="1:10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</row>
    <row r="425" spans="1:10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</row>
    <row r="426" spans="1:10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</row>
    <row r="427" spans="1:10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</row>
    <row r="428" spans="1:10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</row>
    <row r="429" spans="1:10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</row>
    <row r="430" spans="1:10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</row>
    <row r="431" spans="1:10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</row>
    <row r="432" spans="1:10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</row>
    <row r="433" spans="1:10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</row>
    <row r="434" spans="1:10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</row>
    <row r="435" spans="1:10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</row>
    <row r="436" spans="1:10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</row>
    <row r="437" spans="1:10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</row>
    <row r="438" spans="1:10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</row>
    <row r="439" spans="1:10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</row>
    <row r="440" spans="1:10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</row>
    <row r="441" spans="1:10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</row>
    <row r="442" spans="1:10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</row>
    <row r="443" spans="1:10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</row>
    <row r="444" spans="1:10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</row>
    <row r="445" spans="1:10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</row>
    <row r="446" spans="1:10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</row>
    <row r="447" spans="1:10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</row>
    <row r="448" spans="1:10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</row>
    <row r="449" spans="1:10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</row>
    <row r="450" spans="1:10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</row>
    <row r="451" spans="1:10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</row>
    <row r="452" spans="1:10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</row>
    <row r="453" spans="1:10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</row>
    <row r="454" spans="1:10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</row>
    <row r="455" spans="1:10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</row>
    <row r="456" spans="1:10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</row>
    <row r="457" spans="1:10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</row>
    <row r="458" spans="1:10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</row>
    <row r="459" spans="1:10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</row>
    <row r="460" spans="1:10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</row>
    <row r="461" spans="1:10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</row>
    <row r="462" spans="1:10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</row>
    <row r="463" spans="1:10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</row>
    <row r="464" spans="1:10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</row>
    <row r="465" spans="1:10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</row>
    <row r="466" spans="1:10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</row>
    <row r="467" spans="1:10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</row>
    <row r="468" spans="1:10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</row>
    <row r="469" spans="1:10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</row>
    <row r="470" spans="1:10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</row>
    <row r="471" spans="1:10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</row>
    <row r="472" spans="1:10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</row>
    <row r="473" spans="1:10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</row>
    <row r="474" spans="1:10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</row>
    <row r="475" spans="1:10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</row>
    <row r="476" spans="1:10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</row>
    <row r="477" spans="1:10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</row>
    <row r="478" spans="1:10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</row>
    <row r="479" spans="1:10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</row>
    <row r="480" spans="1:10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</row>
    <row r="481" spans="1:10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</row>
    <row r="482" spans="1:10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</row>
    <row r="483" spans="1:10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</row>
    <row r="484" spans="1:10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</row>
    <row r="485" spans="1:10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</row>
    <row r="486" spans="1:10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</row>
    <row r="487" spans="1:10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</row>
    <row r="488" spans="1:10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</row>
    <row r="489" spans="1:10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</row>
    <row r="490" spans="1:10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</row>
    <row r="491" spans="1:10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</row>
    <row r="492" spans="1:10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</row>
    <row r="493" spans="1:10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</row>
    <row r="494" spans="1:10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</row>
    <row r="495" spans="1:10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</row>
    <row r="496" spans="1:10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</row>
    <row r="497" spans="1:10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</row>
    <row r="498" spans="1:10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</row>
    <row r="499" spans="1:10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</row>
    <row r="500" spans="1:10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</row>
    <row r="501" spans="1:10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</row>
    <row r="502" spans="1:10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</row>
    <row r="503" spans="1:10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</row>
    <row r="504" spans="1:10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</row>
    <row r="505" spans="1:10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</row>
    <row r="506" spans="1:10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</row>
    <row r="507" spans="1:10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</row>
    <row r="508" spans="1:10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</row>
    <row r="509" spans="1:10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</row>
    <row r="510" spans="1:10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</row>
    <row r="511" spans="1:10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</row>
    <row r="512" spans="1:10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</row>
    <row r="513" spans="1:10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</row>
    <row r="514" spans="1:10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</row>
    <row r="515" spans="1:10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</row>
    <row r="516" spans="1:10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</row>
    <row r="517" spans="1:10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</row>
    <row r="518" spans="1:10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</row>
    <row r="519" spans="1:10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</row>
    <row r="520" spans="1:10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</row>
    <row r="521" spans="1:10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</row>
    <row r="522" spans="1:10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</row>
    <row r="523" spans="1:10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</row>
    <row r="524" spans="1:10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</row>
    <row r="525" spans="1:10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</row>
    <row r="526" spans="1:10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</row>
    <row r="527" spans="1:10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</row>
    <row r="528" spans="1:10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</row>
    <row r="529" spans="1:10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</row>
    <row r="530" spans="1:10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</row>
    <row r="531" spans="1:10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</row>
    <row r="532" spans="1:10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</row>
    <row r="533" spans="1:10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</row>
    <row r="534" spans="1:10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</row>
    <row r="535" spans="1:10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</row>
    <row r="536" spans="1:10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</row>
    <row r="537" spans="1:10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</row>
    <row r="538" spans="1:10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</row>
    <row r="539" spans="1:10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</row>
    <row r="540" spans="1:10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</row>
    <row r="541" spans="1:10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</row>
    <row r="542" spans="1:10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</row>
    <row r="543" spans="1:10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</row>
    <row r="544" spans="1:10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</row>
    <row r="545" spans="1:10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</row>
    <row r="546" spans="1:10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</row>
    <row r="547" spans="1:10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</row>
    <row r="548" spans="1:10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</row>
    <row r="549" spans="1:10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</row>
    <row r="550" spans="1:10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</row>
    <row r="551" spans="1:10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</row>
    <row r="552" spans="1:10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</row>
    <row r="553" spans="1:10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</row>
    <row r="554" spans="1:10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</row>
    <row r="555" spans="1:10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</row>
    <row r="556" spans="1:10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</row>
    <row r="557" spans="1:10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</row>
    <row r="558" spans="1:10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</row>
    <row r="559" spans="1:10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</row>
    <row r="560" spans="1:10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</row>
    <row r="561" spans="1:10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</row>
    <row r="562" spans="1:10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</row>
    <row r="563" spans="1:10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</row>
    <row r="564" spans="1:10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</row>
    <row r="565" spans="1:10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</row>
    <row r="566" spans="1:10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</row>
    <row r="567" spans="1:10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</row>
    <row r="568" spans="1:10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</row>
    <row r="569" spans="1:10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</row>
    <row r="570" spans="1:10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</row>
    <row r="571" spans="1:10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</row>
    <row r="572" spans="1:10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</row>
    <row r="573" spans="1:10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</row>
    <row r="574" spans="1:10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</row>
    <row r="575" spans="1:10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</row>
    <row r="576" spans="1:10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</row>
    <row r="577" spans="1:10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</row>
    <row r="578" spans="1:10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</row>
    <row r="579" spans="1:10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</row>
    <row r="580" spans="1:10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</row>
    <row r="581" spans="1:10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</row>
    <row r="582" spans="1:10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</row>
    <row r="583" spans="1:10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</row>
    <row r="584" spans="1:10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</row>
    <row r="585" spans="1:10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</row>
    <row r="586" spans="1:10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</row>
    <row r="587" spans="1:10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</row>
    <row r="588" spans="1:10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</row>
    <row r="589" spans="1:10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</row>
    <row r="590" spans="1:10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</row>
    <row r="591" spans="1:10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</row>
    <row r="592" spans="1:10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</row>
    <row r="593" spans="1:10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</row>
    <row r="594" spans="1:10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</row>
    <row r="595" spans="1:10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</row>
    <row r="596" spans="1:10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</row>
    <row r="597" spans="1:10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</row>
    <row r="598" spans="1:10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</row>
    <row r="599" spans="1:10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</row>
    <row r="600" spans="1:10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</row>
    <row r="601" spans="1:10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</row>
    <row r="602" spans="1:10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</row>
    <row r="603" spans="1:10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</row>
    <row r="604" spans="1:10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</row>
    <row r="605" spans="1:10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</row>
    <row r="606" spans="1:10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</row>
    <row r="607" spans="1:10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</row>
    <row r="608" spans="1:10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</row>
    <row r="609" spans="1:10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</row>
    <row r="610" spans="1:10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</row>
    <row r="611" spans="1:10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CA9B-81A4-443E-9DD2-8FC4DAFD59E3}">
  <dimension ref="A1:H611"/>
  <sheetViews>
    <sheetView topLeftCell="A364" workbookViewId="0"/>
  </sheetViews>
  <sheetFormatPr defaultRowHeight="14.4" x14ac:dyDescent="0.3"/>
  <cols>
    <col min="1" max="1" width="13.5546875" bestFit="1" customWidth="1"/>
    <col min="2" max="2" width="9" bestFit="1" customWidth="1"/>
    <col min="3" max="3" width="8.6640625" bestFit="1" customWidth="1"/>
    <col min="4" max="4" width="7.109375" bestFit="1" customWidth="1"/>
    <col min="5" max="5" width="12.33203125" bestFit="1" customWidth="1"/>
    <col min="6" max="6" width="8.44140625" bestFit="1" customWidth="1"/>
    <col min="7" max="7" width="11.5546875" bestFit="1" customWidth="1"/>
    <col min="8" max="8" width="5.88671875" bestFit="1" customWidth="1"/>
  </cols>
  <sheetData>
    <row r="1" spans="1:8" x14ac:dyDescent="0.3">
      <c r="A1" t="s">
        <v>10</v>
      </c>
      <c r="B1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">
      <c r="A2">
        <v>0</v>
      </c>
      <c r="B2">
        <v>1</v>
      </c>
      <c r="C2">
        <v>0.28789999999999999</v>
      </c>
      <c r="D2">
        <v>0.81</v>
      </c>
      <c r="E2">
        <v>0</v>
      </c>
      <c r="F2">
        <v>3</v>
      </c>
      <c r="G2">
        <v>13</v>
      </c>
      <c r="H2">
        <v>16</v>
      </c>
    </row>
    <row r="3" spans="1:8" x14ac:dyDescent="0.3">
      <c r="A3">
        <v>1</v>
      </c>
      <c r="B3">
        <v>2</v>
      </c>
      <c r="C3">
        <v>0.2727</v>
      </c>
      <c r="D3">
        <v>0.8</v>
      </c>
      <c r="E3">
        <v>0</v>
      </c>
      <c r="F3">
        <v>8</v>
      </c>
      <c r="G3">
        <v>32</v>
      </c>
      <c r="H3">
        <v>40</v>
      </c>
    </row>
    <row r="4" spans="1:8" x14ac:dyDescent="0.3">
      <c r="A4">
        <v>2</v>
      </c>
      <c r="B4">
        <v>3</v>
      </c>
      <c r="C4">
        <v>0.2727</v>
      </c>
      <c r="D4">
        <v>0.8</v>
      </c>
      <c r="E4">
        <v>0</v>
      </c>
      <c r="F4">
        <v>5</v>
      </c>
      <c r="G4">
        <v>27</v>
      </c>
      <c r="H4">
        <v>32</v>
      </c>
    </row>
    <row r="5" spans="1:8" x14ac:dyDescent="0.3">
      <c r="A5">
        <v>3</v>
      </c>
      <c r="B5">
        <v>4</v>
      </c>
      <c r="C5">
        <v>0.28789999999999999</v>
      </c>
      <c r="D5">
        <v>0.75</v>
      </c>
      <c r="E5">
        <v>0</v>
      </c>
      <c r="F5">
        <v>3</v>
      </c>
      <c r="G5">
        <v>10</v>
      </c>
      <c r="H5">
        <v>13</v>
      </c>
    </row>
    <row r="6" spans="1:8" x14ac:dyDescent="0.3">
      <c r="A6">
        <v>4</v>
      </c>
      <c r="B6">
        <v>5</v>
      </c>
      <c r="C6">
        <v>0.28789999999999999</v>
      </c>
      <c r="D6">
        <v>0.75</v>
      </c>
      <c r="E6">
        <v>0</v>
      </c>
      <c r="F6">
        <v>0</v>
      </c>
      <c r="G6">
        <v>1</v>
      </c>
      <c r="H6">
        <v>1</v>
      </c>
    </row>
    <row r="7" spans="1:8" x14ac:dyDescent="0.3">
      <c r="A7">
        <v>5</v>
      </c>
      <c r="B7">
        <v>6</v>
      </c>
      <c r="C7">
        <v>0.2576</v>
      </c>
      <c r="D7">
        <v>0.75</v>
      </c>
      <c r="E7">
        <v>8.9599999999999999E-2</v>
      </c>
      <c r="F7">
        <v>0</v>
      </c>
      <c r="G7">
        <v>1</v>
      </c>
      <c r="H7">
        <v>1</v>
      </c>
    </row>
    <row r="8" spans="1:8" x14ac:dyDescent="0.3">
      <c r="A8">
        <v>6</v>
      </c>
      <c r="B8">
        <v>7</v>
      </c>
      <c r="C8">
        <v>0.2727</v>
      </c>
      <c r="D8">
        <v>0.8</v>
      </c>
      <c r="E8">
        <v>0</v>
      </c>
      <c r="F8">
        <v>2</v>
      </c>
      <c r="G8">
        <v>0</v>
      </c>
      <c r="H8">
        <v>2</v>
      </c>
    </row>
    <row r="9" spans="1:8" x14ac:dyDescent="0.3">
      <c r="A9">
        <v>7</v>
      </c>
      <c r="B9">
        <v>8</v>
      </c>
      <c r="C9">
        <v>0.2576</v>
      </c>
      <c r="D9">
        <v>0.86</v>
      </c>
      <c r="E9">
        <v>0</v>
      </c>
      <c r="F9">
        <v>1</v>
      </c>
      <c r="G9">
        <v>2</v>
      </c>
      <c r="H9">
        <v>3</v>
      </c>
    </row>
    <row r="10" spans="1:8" x14ac:dyDescent="0.3">
      <c r="A10">
        <v>8</v>
      </c>
      <c r="B10">
        <v>9</v>
      </c>
      <c r="C10">
        <v>0.19993</v>
      </c>
      <c r="D10">
        <v>0.75</v>
      </c>
      <c r="E10">
        <v>0</v>
      </c>
      <c r="F10">
        <v>1</v>
      </c>
      <c r="G10">
        <v>7</v>
      </c>
      <c r="H10">
        <v>8</v>
      </c>
    </row>
    <row r="11" spans="1:8" x14ac:dyDescent="0.3">
      <c r="A11">
        <v>9</v>
      </c>
      <c r="B11">
        <v>10</v>
      </c>
      <c r="C11">
        <v>0.34849999999999998</v>
      </c>
      <c r="D11">
        <v>0.76</v>
      </c>
      <c r="E11">
        <v>0</v>
      </c>
      <c r="F11">
        <v>8</v>
      </c>
      <c r="G11">
        <v>6</v>
      </c>
      <c r="H11">
        <v>14</v>
      </c>
    </row>
    <row r="12" spans="1:8" x14ac:dyDescent="0.3">
      <c r="A12">
        <v>10</v>
      </c>
      <c r="B12">
        <v>11</v>
      </c>
      <c r="C12">
        <v>0.39389999999999997</v>
      </c>
      <c r="D12">
        <v>0.76</v>
      </c>
      <c r="E12">
        <v>0.25369999999999998</v>
      </c>
      <c r="F12">
        <v>12</v>
      </c>
      <c r="G12">
        <v>24</v>
      </c>
      <c r="H12">
        <v>36</v>
      </c>
    </row>
    <row r="13" spans="1:8" x14ac:dyDescent="0.3">
      <c r="A13">
        <v>11</v>
      </c>
      <c r="B13">
        <v>12</v>
      </c>
      <c r="C13">
        <v>0.33329999999999999</v>
      </c>
      <c r="D13">
        <v>0.81</v>
      </c>
      <c r="E13">
        <v>0.28360000000000002</v>
      </c>
      <c r="F13">
        <v>26</v>
      </c>
      <c r="G13">
        <v>30</v>
      </c>
      <c r="H13">
        <v>56</v>
      </c>
    </row>
    <row r="14" spans="1:8" x14ac:dyDescent="0.3">
      <c r="A14">
        <v>12</v>
      </c>
      <c r="B14">
        <v>13</v>
      </c>
      <c r="C14">
        <v>0.42420000000000002</v>
      </c>
      <c r="D14">
        <v>0.77</v>
      </c>
      <c r="E14">
        <v>0.28360000000000002</v>
      </c>
      <c r="F14">
        <v>29</v>
      </c>
      <c r="G14">
        <v>55</v>
      </c>
      <c r="H14">
        <v>84</v>
      </c>
    </row>
    <row r="15" spans="1:8" x14ac:dyDescent="0.3">
      <c r="A15">
        <v>13</v>
      </c>
      <c r="B15">
        <v>14</v>
      </c>
      <c r="C15">
        <v>0.45450000000000002</v>
      </c>
      <c r="D15">
        <v>0.72</v>
      </c>
      <c r="E15">
        <v>0.29849999999999999</v>
      </c>
      <c r="F15">
        <v>47</v>
      </c>
      <c r="G15">
        <v>47</v>
      </c>
      <c r="H15">
        <v>94</v>
      </c>
    </row>
    <row r="16" spans="1:8" x14ac:dyDescent="0.3">
      <c r="A16">
        <v>14</v>
      </c>
      <c r="B16">
        <v>15</v>
      </c>
      <c r="C16">
        <v>0.45450000000000002</v>
      </c>
      <c r="D16">
        <v>0.72</v>
      </c>
      <c r="E16">
        <v>0.28360000000000002</v>
      </c>
      <c r="F16">
        <v>35</v>
      </c>
      <c r="G16">
        <v>71</v>
      </c>
      <c r="H16">
        <v>106</v>
      </c>
    </row>
    <row r="17" spans="1:8" x14ac:dyDescent="0.3">
      <c r="A17">
        <v>15</v>
      </c>
      <c r="B17">
        <v>16</v>
      </c>
      <c r="C17">
        <v>0.43940000000000001</v>
      </c>
      <c r="D17">
        <v>0.77</v>
      </c>
      <c r="E17">
        <v>0.29849999999999999</v>
      </c>
      <c r="F17">
        <v>40</v>
      </c>
      <c r="G17">
        <v>70</v>
      </c>
      <c r="H17">
        <v>110</v>
      </c>
    </row>
    <row r="18" spans="1:8" x14ac:dyDescent="0.3">
      <c r="A18">
        <v>16</v>
      </c>
      <c r="B18">
        <v>17</v>
      </c>
      <c r="C18">
        <v>0.42420000000000002</v>
      </c>
      <c r="D18">
        <v>0.82</v>
      </c>
      <c r="E18">
        <v>0.29849999999999999</v>
      </c>
      <c r="F18">
        <v>41</v>
      </c>
      <c r="G18">
        <v>52</v>
      </c>
      <c r="H18">
        <v>93</v>
      </c>
    </row>
    <row r="19" spans="1:8" x14ac:dyDescent="0.3">
      <c r="A19">
        <v>17</v>
      </c>
      <c r="B19">
        <v>18</v>
      </c>
      <c r="C19">
        <v>0.19993</v>
      </c>
      <c r="D19">
        <v>0.82</v>
      </c>
      <c r="E19">
        <v>0.28360000000000002</v>
      </c>
      <c r="F19">
        <v>15</v>
      </c>
      <c r="G19">
        <v>52</v>
      </c>
      <c r="H19">
        <v>67</v>
      </c>
    </row>
    <row r="20" spans="1:8" x14ac:dyDescent="0.3">
      <c r="A20">
        <v>18</v>
      </c>
      <c r="B20">
        <v>19</v>
      </c>
      <c r="C20">
        <v>0.42420000000000002</v>
      </c>
      <c r="D20">
        <v>0.88</v>
      </c>
      <c r="E20">
        <v>0.25369999999999998</v>
      </c>
      <c r="F20">
        <v>9</v>
      </c>
      <c r="G20">
        <v>26</v>
      </c>
      <c r="H20">
        <v>35</v>
      </c>
    </row>
    <row r="21" spans="1:8" x14ac:dyDescent="0.3">
      <c r="A21">
        <v>19</v>
      </c>
      <c r="B21">
        <v>20</v>
      </c>
      <c r="C21">
        <v>0.42420000000000002</v>
      </c>
      <c r="D21">
        <v>0.88</v>
      </c>
      <c r="E21">
        <v>0.25369999999999998</v>
      </c>
      <c r="F21">
        <v>6</v>
      </c>
      <c r="G21">
        <v>31</v>
      </c>
      <c r="H21">
        <v>37</v>
      </c>
    </row>
    <row r="22" spans="1:8" x14ac:dyDescent="0.3">
      <c r="A22">
        <v>20</v>
      </c>
      <c r="B22">
        <v>21</v>
      </c>
      <c r="C22">
        <v>0.40910000000000002</v>
      </c>
      <c r="D22">
        <v>0.87</v>
      </c>
      <c r="E22">
        <v>0.25369999999999998</v>
      </c>
      <c r="F22">
        <v>11</v>
      </c>
      <c r="G22">
        <v>25</v>
      </c>
      <c r="H22">
        <v>36</v>
      </c>
    </row>
    <row r="23" spans="1:8" x14ac:dyDescent="0.3">
      <c r="A23">
        <v>21</v>
      </c>
      <c r="B23">
        <v>22</v>
      </c>
      <c r="C23">
        <v>0.40910000000000002</v>
      </c>
      <c r="D23">
        <v>0.87</v>
      </c>
      <c r="E23">
        <v>0.19400000000000001</v>
      </c>
      <c r="F23">
        <v>3</v>
      </c>
      <c r="G23">
        <v>31</v>
      </c>
      <c r="H23">
        <v>34</v>
      </c>
    </row>
    <row r="24" spans="1:8" x14ac:dyDescent="0.3">
      <c r="A24">
        <v>22</v>
      </c>
      <c r="B24">
        <v>23</v>
      </c>
      <c r="C24">
        <v>0.40910000000000002</v>
      </c>
      <c r="D24">
        <v>0.94</v>
      </c>
      <c r="E24">
        <v>0.22389999999999999</v>
      </c>
      <c r="F24">
        <v>11</v>
      </c>
      <c r="G24">
        <v>17</v>
      </c>
      <c r="H24">
        <v>28</v>
      </c>
    </row>
    <row r="25" spans="1:8" x14ac:dyDescent="0.3">
      <c r="A25">
        <v>23</v>
      </c>
      <c r="B25">
        <v>24</v>
      </c>
      <c r="C25">
        <v>0.19993</v>
      </c>
      <c r="D25">
        <v>0.88</v>
      </c>
      <c r="E25">
        <v>0.29849999999999999</v>
      </c>
      <c r="F25">
        <v>15</v>
      </c>
      <c r="G25">
        <v>24</v>
      </c>
      <c r="H25">
        <v>39</v>
      </c>
    </row>
    <row r="26" spans="1:8" x14ac:dyDescent="0.3">
      <c r="A26">
        <v>24</v>
      </c>
      <c r="B26">
        <v>25</v>
      </c>
      <c r="C26">
        <v>0.45450000000000002</v>
      </c>
      <c r="D26">
        <v>0.88</v>
      </c>
      <c r="E26">
        <v>0.29849999999999999</v>
      </c>
      <c r="F26">
        <v>4</v>
      </c>
      <c r="G26">
        <v>13</v>
      </c>
      <c r="H26">
        <v>17</v>
      </c>
    </row>
    <row r="27" spans="1:8" x14ac:dyDescent="0.3">
      <c r="A27">
        <v>25</v>
      </c>
      <c r="B27">
        <v>26</v>
      </c>
      <c r="C27">
        <v>0.43940000000000001</v>
      </c>
      <c r="D27">
        <v>0.94</v>
      </c>
      <c r="E27">
        <v>0.25369999999999998</v>
      </c>
      <c r="F27">
        <v>1</v>
      </c>
      <c r="G27">
        <v>16</v>
      </c>
      <c r="H27">
        <v>17</v>
      </c>
    </row>
    <row r="28" spans="1:8" x14ac:dyDescent="0.3">
      <c r="A28">
        <v>26</v>
      </c>
      <c r="B28">
        <v>27</v>
      </c>
      <c r="C28">
        <v>0.42420000000000002</v>
      </c>
      <c r="D28">
        <v>1</v>
      </c>
      <c r="E28">
        <v>0.28360000000000002</v>
      </c>
      <c r="F28">
        <v>1</v>
      </c>
      <c r="G28">
        <v>8</v>
      </c>
      <c r="H28">
        <v>9</v>
      </c>
    </row>
    <row r="29" spans="1:8" x14ac:dyDescent="0.3">
      <c r="A29">
        <v>27</v>
      </c>
      <c r="B29">
        <v>28</v>
      </c>
      <c r="C29">
        <v>0.45450000000000002</v>
      </c>
      <c r="D29">
        <v>0.94</v>
      </c>
      <c r="E29">
        <v>0.19400000000000001</v>
      </c>
      <c r="F29">
        <v>2</v>
      </c>
      <c r="G29">
        <v>4</v>
      </c>
      <c r="H29">
        <v>6</v>
      </c>
    </row>
    <row r="30" spans="1:8" x14ac:dyDescent="0.3">
      <c r="A30">
        <v>28</v>
      </c>
      <c r="B30">
        <v>29</v>
      </c>
      <c r="C30">
        <v>0.19993</v>
      </c>
      <c r="D30">
        <v>0.94</v>
      </c>
      <c r="E30">
        <v>0.19400000000000001</v>
      </c>
      <c r="F30">
        <v>2</v>
      </c>
      <c r="G30">
        <v>1</v>
      </c>
      <c r="H30">
        <v>3</v>
      </c>
    </row>
    <row r="31" spans="1:8" x14ac:dyDescent="0.3">
      <c r="A31">
        <v>29</v>
      </c>
      <c r="B31">
        <v>30</v>
      </c>
      <c r="C31">
        <v>0.42420000000000002</v>
      </c>
      <c r="D31">
        <v>0.77</v>
      </c>
      <c r="E31">
        <v>0.29849999999999999</v>
      </c>
      <c r="F31">
        <v>0</v>
      </c>
      <c r="G31">
        <v>2</v>
      </c>
      <c r="H31">
        <v>2</v>
      </c>
    </row>
    <row r="32" spans="1:8" x14ac:dyDescent="0.3">
      <c r="A32">
        <v>30</v>
      </c>
      <c r="B32">
        <v>31</v>
      </c>
      <c r="C32">
        <v>0.40910000000000002</v>
      </c>
      <c r="D32">
        <v>0.76</v>
      </c>
      <c r="E32">
        <v>0.19400000000000001</v>
      </c>
      <c r="F32">
        <v>0</v>
      </c>
      <c r="G32">
        <v>1</v>
      </c>
      <c r="H32">
        <v>1</v>
      </c>
    </row>
    <row r="33" spans="1:8" x14ac:dyDescent="0.3">
      <c r="A33">
        <v>31</v>
      </c>
      <c r="B33">
        <v>32</v>
      </c>
      <c r="C33">
        <v>0.40910000000000002</v>
      </c>
      <c r="D33">
        <v>0.71</v>
      </c>
      <c r="E33">
        <v>0.22389999999999999</v>
      </c>
      <c r="F33">
        <v>0</v>
      </c>
      <c r="G33">
        <v>8</v>
      </c>
      <c r="H33">
        <v>8</v>
      </c>
    </row>
    <row r="34" spans="1:8" x14ac:dyDescent="0.3">
      <c r="A34">
        <v>32</v>
      </c>
      <c r="B34">
        <v>33</v>
      </c>
      <c r="C34">
        <v>0.19993</v>
      </c>
      <c r="D34">
        <v>0.76</v>
      </c>
      <c r="E34">
        <v>0.22389999999999999</v>
      </c>
      <c r="F34">
        <v>1</v>
      </c>
      <c r="G34">
        <v>19</v>
      </c>
      <c r="H34">
        <v>20</v>
      </c>
    </row>
    <row r="35" spans="1:8" x14ac:dyDescent="0.3">
      <c r="A35">
        <v>33</v>
      </c>
      <c r="B35">
        <v>34</v>
      </c>
      <c r="C35">
        <v>0.34849999999999998</v>
      </c>
      <c r="D35">
        <v>0.81</v>
      </c>
      <c r="E35">
        <v>0.22389999999999999</v>
      </c>
      <c r="F35">
        <v>7</v>
      </c>
      <c r="G35">
        <v>46</v>
      </c>
      <c r="H35">
        <v>53</v>
      </c>
    </row>
    <row r="36" spans="1:8" x14ac:dyDescent="0.3">
      <c r="A36">
        <v>34</v>
      </c>
      <c r="B36">
        <v>35</v>
      </c>
      <c r="C36">
        <v>0.33329999999999999</v>
      </c>
      <c r="D36">
        <v>0.71</v>
      </c>
      <c r="E36">
        <v>0.25369999999999998</v>
      </c>
      <c r="F36">
        <v>16</v>
      </c>
      <c r="G36">
        <v>54</v>
      </c>
      <c r="H36">
        <v>70</v>
      </c>
    </row>
    <row r="37" spans="1:8" x14ac:dyDescent="0.3">
      <c r="A37">
        <v>35</v>
      </c>
      <c r="B37">
        <v>36</v>
      </c>
      <c r="C37">
        <v>0.33329999999999999</v>
      </c>
      <c r="D37">
        <v>0.66</v>
      </c>
      <c r="E37">
        <v>0.29849999999999999</v>
      </c>
      <c r="F37">
        <v>20</v>
      </c>
      <c r="G37">
        <v>73</v>
      </c>
      <c r="H37">
        <v>93</v>
      </c>
    </row>
    <row r="38" spans="1:8" x14ac:dyDescent="0.3">
      <c r="A38">
        <v>36</v>
      </c>
      <c r="B38">
        <v>37</v>
      </c>
      <c r="C38">
        <v>0.34849999999999998</v>
      </c>
      <c r="D38">
        <v>0.66</v>
      </c>
      <c r="E38">
        <v>0.1343</v>
      </c>
      <c r="F38">
        <v>11</v>
      </c>
      <c r="G38">
        <v>64</v>
      </c>
      <c r="H38">
        <v>75</v>
      </c>
    </row>
    <row r="39" spans="1:8" x14ac:dyDescent="0.3">
      <c r="A39">
        <v>37</v>
      </c>
      <c r="B39">
        <v>38</v>
      </c>
      <c r="C39">
        <v>0.19993</v>
      </c>
      <c r="D39">
        <v>0.76</v>
      </c>
      <c r="E39">
        <v>0.19400000000000001</v>
      </c>
      <c r="F39">
        <v>4</v>
      </c>
      <c r="G39">
        <v>55</v>
      </c>
      <c r="H39">
        <v>59</v>
      </c>
    </row>
    <row r="40" spans="1:8" x14ac:dyDescent="0.3">
      <c r="A40">
        <v>38</v>
      </c>
      <c r="B40">
        <v>39</v>
      </c>
      <c r="C40">
        <v>0.33329999999999999</v>
      </c>
      <c r="D40">
        <v>0.81</v>
      </c>
      <c r="E40">
        <v>0.16420000000000001</v>
      </c>
      <c r="F40">
        <v>19</v>
      </c>
      <c r="G40">
        <v>55</v>
      </c>
      <c r="H40">
        <v>74</v>
      </c>
    </row>
    <row r="41" spans="1:8" x14ac:dyDescent="0.3">
      <c r="A41">
        <v>39</v>
      </c>
      <c r="B41">
        <v>40</v>
      </c>
      <c r="C41">
        <v>0.33329999999999999</v>
      </c>
      <c r="D41">
        <v>0.71</v>
      </c>
      <c r="E41">
        <v>0.16420000000000001</v>
      </c>
      <c r="F41">
        <v>9</v>
      </c>
      <c r="G41">
        <v>67</v>
      </c>
      <c r="H41">
        <v>76</v>
      </c>
    </row>
    <row r="42" spans="1:8" x14ac:dyDescent="0.3">
      <c r="A42">
        <v>40</v>
      </c>
      <c r="B42">
        <v>41</v>
      </c>
      <c r="C42">
        <v>0.33329999999999999</v>
      </c>
      <c r="D42">
        <v>0.56999999999999995</v>
      </c>
      <c r="E42">
        <v>0.19400000000000001</v>
      </c>
      <c r="F42">
        <v>7</v>
      </c>
      <c r="G42">
        <v>58</v>
      </c>
      <c r="H42">
        <v>65</v>
      </c>
    </row>
    <row r="43" spans="1:8" x14ac:dyDescent="0.3">
      <c r="A43">
        <v>41</v>
      </c>
      <c r="B43">
        <v>42</v>
      </c>
      <c r="C43">
        <v>0.33329999999999999</v>
      </c>
      <c r="D43">
        <v>0.46</v>
      </c>
      <c r="E43">
        <v>0.32840000000000003</v>
      </c>
      <c r="F43">
        <v>10</v>
      </c>
      <c r="G43">
        <v>43</v>
      </c>
      <c r="H43">
        <v>53</v>
      </c>
    </row>
    <row r="44" spans="1:8" x14ac:dyDescent="0.3">
      <c r="A44">
        <v>42</v>
      </c>
      <c r="B44">
        <v>43</v>
      </c>
      <c r="C44">
        <v>0.28789999999999999</v>
      </c>
      <c r="D44">
        <v>0.42</v>
      </c>
      <c r="E44">
        <v>0.44779999999999998</v>
      </c>
      <c r="F44">
        <v>1</v>
      </c>
      <c r="G44">
        <v>29</v>
      </c>
      <c r="H44">
        <v>30</v>
      </c>
    </row>
    <row r="45" spans="1:8" x14ac:dyDescent="0.3">
      <c r="A45">
        <v>43</v>
      </c>
      <c r="B45">
        <v>44</v>
      </c>
      <c r="C45">
        <v>0.19993</v>
      </c>
      <c r="D45">
        <v>0.39</v>
      </c>
      <c r="E45">
        <v>0.35820000000000002</v>
      </c>
      <c r="F45">
        <v>5</v>
      </c>
      <c r="G45">
        <v>17</v>
      </c>
      <c r="H45">
        <v>22</v>
      </c>
    </row>
    <row r="46" spans="1:8" x14ac:dyDescent="0.3">
      <c r="A46">
        <v>44</v>
      </c>
      <c r="B46">
        <v>45</v>
      </c>
      <c r="C46">
        <v>0.2273</v>
      </c>
      <c r="D46">
        <v>0.44</v>
      </c>
      <c r="E46">
        <v>0.32840000000000003</v>
      </c>
      <c r="F46">
        <v>11</v>
      </c>
      <c r="G46">
        <v>20</v>
      </c>
      <c r="H46">
        <v>31</v>
      </c>
    </row>
    <row r="47" spans="1:8" x14ac:dyDescent="0.3">
      <c r="A47">
        <v>45</v>
      </c>
      <c r="B47">
        <v>46</v>
      </c>
      <c r="C47">
        <v>0.21210000000000001</v>
      </c>
      <c r="D47">
        <v>0.44</v>
      </c>
      <c r="E47">
        <v>0.29849999999999999</v>
      </c>
      <c r="F47">
        <v>0</v>
      </c>
      <c r="G47">
        <v>9</v>
      </c>
      <c r="H47">
        <v>9</v>
      </c>
    </row>
    <row r="48" spans="1:8" x14ac:dyDescent="0.3">
      <c r="A48">
        <v>46</v>
      </c>
      <c r="B48">
        <v>47</v>
      </c>
      <c r="C48">
        <v>0.2273</v>
      </c>
      <c r="D48">
        <v>0.47</v>
      </c>
      <c r="E48">
        <v>0.16420000000000001</v>
      </c>
      <c r="F48">
        <v>0</v>
      </c>
      <c r="G48">
        <v>8</v>
      </c>
      <c r="H48">
        <v>8</v>
      </c>
    </row>
    <row r="49" spans="1:8" x14ac:dyDescent="0.3">
      <c r="A49">
        <v>47</v>
      </c>
      <c r="B49">
        <v>48</v>
      </c>
      <c r="C49">
        <v>0.19700000000000001</v>
      </c>
      <c r="D49">
        <v>0.44</v>
      </c>
      <c r="E49">
        <v>0.35820000000000002</v>
      </c>
      <c r="F49">
        <v>0</v>
      </c>
      <c r="G49">
        <v>5</v>
      </c>
      <c r="H49">
        <v>5</v>
      </c>
    </row>
    <row r="50" spans="1:8" x14ac:dyDescent="0.3">
      <c r="A50">
        <v>48</v>
      </c>
      <c r="B50">
        <v>49</v>
      </c>
      <c r="C50">
        <v>0.19993</v>
      </c>
      <c r="D50">
        <v>0.44</v>
      </c>
      <c r="E50">
        <v>0.41789999999999999</v>
      </c>
      <c r="F50">
        <v>0</v>
      </c>
      <c r="G50">
        <v>2</v>
      </c>
      <c r="H50">
        <v>2</v>
      </c>
    </row>
    <row r="51" spans="1:8" x14ac:dyDescent="0.3">
      <c r="A51">
        <v>49</v>
      </c>
      <c r="B51">
        <v>50</v>
      </c>
      <c r="C51">
        <v>0.13639999999999999</v>
      </c>
      <c r="D51">
        <v>0.47</v>
      </c>
      <c r="E51">
        <v>0.3881</v>
      </c>
      <c r="F51">
        <v>0</v>
      </c>
      <c r="G51">
        <v>1</v>
      </c>
      <c r="H51">
        <v>1</v>
      </c>
    </row>
    <row r="52" spans="1:8" x14ac:dyDescent="0.3">
      <c r="A52">
        <v>50</v>
      </c>
      <c r="B52">
        <v>51</v>
      </c>
      <c r="C52">
        <v>0.13639999999999999</v>
      </c>
      <c r="D52">
        <v>0.47</v>
      </c>
      <c r="E52">
        <v>0.28360000000000002</v>
      </c>
      <c r="F52">
        <v>0</v>
      </c>
      <c r="G52">
        <v>3</v>
      </c>
      <c r="H52">
        <v>3</v>
      </c>
    </row>
    <row r="53" spans="1:8" x14ac:dyDescent="0.3">
      <c r="A53">
        <v>51</v>
      </c>
      <c r="B53">
        <v>52</v>
      </c>
      <c r="C53">
        <v>0.1061</v>
      </c>
      <c r="D53">
        <v>0.5</v>
      </c>
      <c r="E53">
        <v>0.3881</v>
      </c>
      <c r="F53">
        <v>0</v>
      </c>
      <c r="G53">
        <v>30</v>
      </c>
      <c r="H53">
        <v>30</v>
      </c>
    </row>
    <row r="54" spans="1:8" x14ac:dyDescent="0.3">
      <c r="A54">
        <v>52</v>
      </c>
      <c r="B54">
        <v>53</v>
      </c>
      <c r="C54">
        <v>0.13639999999999999</v>
      </c>
      <c r="D54">
        <v>0.5</v>
      </c>
      <c r="E54">
        <v>0.19400000000000001</v>
      </c>
      <c r="F54">
        <v>1</v>
      </c>
      <c r="G54">
        <v>63</v>
      </c>
      <c r="H54">
        <v>64</v>
      </c>
    </row>
    <row r="55" spans="1:8" x14ac:dyDescent="0.3">
      <c r="A55">
        <v>53</v>
      </c>
      <c r="B55">
        <v>54</v>
      </c>
      <c r="C55">
        <v>0.1212</v>
      </c>
      <c r="D55">
        <v>0.5</v>
      </c>
      <c r="E55">
        <v>0.28360000000000002</v>
      </c>
      <c r="F55">
        <v>1</v>
      </c>
      <c r="G55">
        <v>153</v>
      </c>
      <c r="H55">
        <v>154</v>
      </c>
    </row>
    <row r="56" spans="1:8" x14ac:dyDescent="0.3">
      <c r="A56">
        <v>54</v>
      </c>
      <c r="B56">
        <v>55</v>
      </c>
      <c r="C56">
        <v>0.13639999999999999</v>
      </c>
      <c r="D56">
        <v>0.43</v>
      </c>
      <c r="E56">
        <v>0.3881</v>
      </c>
      <c r="F56">
        <v>7</v>
      </c>
      <c r="G56">
        <v>81</v>
      </c>
      <c r="H56">
        <v>88</v>
      </c>
    </row>
    <row r="57" spans="1:8" x14ac:dyDescent="0.3">
      <c r="A57">
        <v>55</v>
      </c>
      <c r="B57">
        <v>56</v>
      </c>
      <c r="C57">
        <v>0.16669999999999999</v>
      </c>
      <c r="D57">
        <v>0.43</v>
      </c>
      <c r="E57">
        <v>0.25369999999999998</v>
      </c>
      <c r="F57">
        <v>11</v>
      </c>
      <c r="G57">
        <v>33</v>
      </c>
      <c r="H57">
        <v>44</v>
      </c>
    </row>
    <row r="58" spans="1:8" x14ac:dyDescent="0.3">
      <c r="A58">
        <v>56</v>
      </c>
      <c r="B58">
        <v>57</v>
      </c>
      <c r="C58">
        <v>0.18179999999999999</v>
      </c>
      <c r="D58">
        <v>0.4</v>
      </c>
      <c r="E58">
        <v>0.32840000000000003</v>
      </c>
      <c r="F58">
        <v>10</v>
      </c>
      <c r="G58">
        <v>41</v>
      </c>
      <c r="H58">
        <v>51</v>
      </c>
    </row>
    <row r="59" spans="1:8" x14ac:dyDescent="0.3">
      <c r="A59">
        <v>57</v>
      </c>
      <c r="B59">
        <v>58</v>
      </c>
      <c r="C59">
        <v>0.21210000000000001</v>
      </c>
      <c r="D59">
        <v>0.35</v>
      </c>
      <c r="E59">
        <v>0.29849999999999999</v>
      </c>
      <c r="F59">
        <v>13</v>
      </c>
      <c r="G59">
        <v>48</v>
      </c>
      <c r="H59">
        <v>61</v>
      </c>
    </row>
    <row r="60" spans="1:8" x14ac:dyDescent="0.3">
      <c r="A60">
        <v>58</v>
      </c>
      <c r="B60">
        <v>59</v>
      </c>
      <c r="C60">
        <v>0.19993</v>
      </c>
      <c r="D60">
        <v>0.35</v>
      </c>
      <c r="E60">
        <v>0.28360000000000002</v>
      </c>
      <c r="F60">
        <v>8</v>
      </c>
      <c r="G60">
        <v>53</v>
      </c>
      <c r="H60">
        <v>61</v>
      </c>
    </row>
    <row r="61" spans="1:8" x14ac:dyDescent="0.3">
      <c r="A61">
        <v>59</v>
      </c>
      <c r="B61">
        <v>60</v>
      </c>
      <c r="C61">
        <v>0.2424</v>
      </c>
      <c r="D61">
        <v>0.3</v>
      </c>
      <c r="E61">
        <v>0.28360000000000002</v>
      </c>
      <c r="F61">
        <v>11</v>
      </c>
      <c r="G61">
        <v>66</v>
      </c>
      <c r="H61">
        <v>77</v>
      </c>
    </row>
    <row r="62" spans="1:8" x14ac:dyDescent="0.3">
      <c r="A62">
        <v>60</v>
      </c>
      <c r="B62">
        <v>61</v>
      </c>
      <c r="C62">
        <v>0.2424</v>
      </c>
      <c r="D62">
        <v>0.3</v>
      </c>
      <c r="E62">
        <v>0.25369999999999998</v>
      </c>
      <c r="F62">
        <v>14</v>
      </c>
      <c r="G62">
        <v>58</v>
      </c>
      <c r="H62">
        <v>72</v>
      </c>
    </row>
    <row r="63" spans="1:8" x14ac:dyDescent="0.3">
      <c r="A63">
        <v>61</v>
      </c>
      <c r="B63">
        <v>62</v>
      </c>
      <c r="C63">
        <v>0.2424</v>
      </c>
      <c r="D63">
        <v>0.3</v>
      </c>
      <c r="E63">
        <v>0.25369999999999998</v>
      </c>
      <c r="F63">
        <v>9</v>
      </c>
      <c r="G63">
        <v>67</v>
      </c>
      <c r="H63">
        <v>76</v>
      </c>
    </row>
    <row r="64" spans="1:8" x14ac:dyDescent="0.3">
      <c r="A64">
        <v>62</v>
      </c>
      <c r="B64">
        <v>63</v>
      </c>
      <c r="C64">
        <v>0.2273</v>
      </c>
      <c r="D64">
        <v>0.3</v>
      </c>
      <c r="E64">
        <v>0.22389999999999999</v>
      </c>
      <c r="F64">
        <v>11</v>
      </c>
      <c r="G64">
        <v>146</v>
      </c>
      <c r="H64">
        <v>157</v>
      </c>
    </row>
    <row r="65" spans="1:8" x14ac:dyDescent="0.3">
      <c r="A65">
        <v>63</v>
      </c>
      <c r="B65">
        <v>64</v>
      </c>
      <c r="C65">
        <v>0.2576</v>
      </c>
      <c r="D65">
        <v>0.32</v>
      </c>
      <c r="E65">
        <v>0.1045</v>
      </c>
      <c r="F65">
        <v>9</v>
      </c>
      <c r="G65">
        <v>148</v>
      </c>
      <c r="H65">
        <v>157</v>
      </c>
    </row>
    <row r="66" spans="1:8" x14ac:dyDescent="0.3">
      <c r="A66">
        <v>64</v>
      </c>
      <c r="B66">
        <v>65</v>
      </c>
      <c r="C66">
        <v>0.2576</v>
      </c>
      <c r="D66">
        <v>0.47</v>
      </c>
      <c r="E66">
        <v>0</v>
      </c>
      <c r="F66">
        <v>8</v>
      </c>
      <c r="G66">
        <v>102</v>
      </c>
      <c r="H66">
        <v>110</v>
      </c>
    </row>
    <row r="67" spans="1:8" x14ac:dyDescent="0.3">
      <c r="A67">
        <v>65</v>
      </c>
      <c r="B67">
        <v>66</v>
      </c>
      <c r="C67">
        <v>0.19993</v>
      </c>
      <c r="D67">
        <v>0.47</v>
      </c>
      <c r="E67">
        <v>0.1045</v>
      </c>
      <c r="F67">
        <v>3</v>
      </c>
      <c r="G67">
        <v>49</v>
      </c>
      <c r="H67">
        <v>52</v>
      </c>
    </row>
    <row r="68" spans="1:8" x14ac:dyDescent="0.3">
      <c r="A68">
        <v>66</v>
      </c>
      <c r="B68">
        <v>67</v>
      </c>
      <c r="C68">
        <v>0.19700000000000001</v>
      </c>
      <c r="D68">
        <v>0.64</v>
      </c>
      <c r="E68">
        <v>0.1343</v>
      </c>
      <c r="F68">
        <v>3</v>
      </c>
      <c r="G68">
        <v>49</v>
      </c>
      <c r="H68">
        <v>52</v>
      </c>
    </row>
    <row r="69" spans="1:8" x14ac:dyDescent="0.3">
      <c r="A69">
        <v>67</v>
      </c>
      <c r="B69">
        <v>68</v>
      </c>
      <c r="C69">
        <v>0.1515</v>
      </c>
      <c r="D69">
        <v>0.69</v>
      </c>
      <c r="E69">
        <v>0.1343</v>
      </c>
      <c r="F69">
        <v>0</v>
      </c>
      <c r="G69">
        <v>20</v>
      </c>
      <c r="H69">
        <v>20</v>
      </c>
    </row>
    <row r="70" spans="1:8" x14ac:dyDescent="0.3">
      <c r="A70">
        <v>68</v>
      </c>
      <c r="B70">
        <v>69</v>
      </c>
      <c r="C70">
        <v>0.21210000000000001</v>
      </c>
      <c r="D70">
        <v>0.55000000000000004</v>
      </c>
      <c r="E70">
        <v>0.1045</v>
      </c>
      <c r="F70">
        <v>1</v>
      </c>
      <c r="G70">
        <v>11</v>
      </c>
      <c r="H70">
        <v>12</v>
      </c>
    </row>
    <row r="71" spans="1:8" x14ac:dyDescent="0.3">
      <c r="A71">
        <v>69</v>
      </c>
      <c r="B71">
        <v>70</v>
      </c>
      <c r="C71">
        <v>0.19993</v>
      </c>
      <c r="D71">
        <v>0.55000000000000004</v>
      </c>
      <c r="E71">
        <v>0.1045</v>
      </c>
      <c r="F71">
        <v>0</v>
      </c>
      <c r="G71">
        <v>5</v>
      </c>
      <c r="H71">
        <v>5</v>
      </c>
    </row>
    <row r="72" spans="1:8" x14ac:dyDescent="0.3">
      <c r="A72">
        <v>70</v>
      </c>
      <c r="B72">
        <v>71</v>
      </c>
      <c r="C72">
        <v>0.18179999999999999</v>
      </c>
      <c r="D72">
        <v>0.59</v>
      </c>
      <c r="E72">
        <v>0.1045</v>
      </c>
      <c r="F72">
        <v>0</v>
      </c>
      <c r="G72">
        <v>2</v>
      </c>
      <c r="H72">
        <v>2</v>
      </c>
    </row>
    <row r="73" spans="1:8" x14ac:dyDescent="0.3">
      <c r="A73">
        <v>71</v>
      </c>
      <c r="B73">
        <v>72</v>
      </c>
      <c r="C73">
        <v>0.1515</v>
      </c>
      <c r="D73">
        <v>0.63</v>
      </c>
      <c r="E73">
        <v>0.1343</v>
      </c>
      <c r="F73">
        <v>0</v>
      </c>
      <c r="G73">
        <v>1</v>
      </c>
      <c r="H73">
        <v>1</v>
      </c>
    </row>
    <row r="74" spans="1:8" x14ac:dyDescent="0.3">
      <c r="A74">
        <v>72</v>
      </c>
      <c r="B74">
        <v>73</v>
      </c>
      <c r="C74">
        <v>0.18179999999999999</v>
      </c>
      <c r="D74">
        <v>0.63</v>
      </c>
      <c r="E74">
        <v>8.9599999999999999E-2</v>
      </c>
      <c r="F74">
        <v>0</v>
      </c>
      <c r="G74">
        <v>2</v>
      </c>
      <c r="H74">
        <v>2</v>
      </c>
    </row>
    <row r="75" spans="1:8" x14ac:dyDescent="0.3">
      <c r="A75">
        <v>73</v>
      </c>
      <c r="B75">
        <v>74</v>
      </c>
      <c r="C75">
        <v>0.1515</v>
      </c>
      <c r="D75">
        <v>0.68</v>
      </c>
      <c r="E75">
        <v>0.1045</v>
      </c>
      <c r="F75">
        <v>0</v>
      </c>
      <c r="G75">
        <v>4</v>
      </c>
      <c r="H75">
        <v>4</v>
      </c>
    </row>
    <row r="76" spans="1:8" x14ac:dyDescent="0.3">
      <c r="A76">
        <v>74</v>
      </c>
      <c r="B76">
        <v>75</v>
      </c>
      <c r="C76">
        <v>0.1515</v>
      </c>
      <c r="D76">
        <v>0.74</v>
      </c>
      <c r="E76">
        <v>0.1045</v>
      </c>
      <c r="F76">
        <v>0</v>
      </c>
      <c r="G76">
        <v>36</v>
      </c>
      <c r="H76">
        <v>36</v>
      </c>
    </row>
    <row r="77" spans="1:8" x14ac:dyDescent="0.3">
      <c r="A77">
        <v>75</v>
      </c>
      <c r="B77">
        <v>76</v>
      </c>
      <c r="C77">
        <v>0.1515</v>
      </c>
      <c r="D77">
        <v>0.74</v>
      </c>
      <c r="E77">
        <v>0.1343</v>
      </c>
      <c r="F77">
        <v>2</v>
      </c>
      <c r="G77">
        <v>92</v>
      </c>
      <c r="H77">
        <v>94</v>
      </c>
    </row>
    <row r="78" spans="1:8" x14ac:dyDescent="0.3">
      <c r="A78">
        <v>76</v>
      </c>
      <c r="B78">
        <v>77</v>
      </c>
      <c r="C78">
        <v>0.1515</v>
      </c>
      <c r="D78">
        <v>0.69</v>
      </c>
      <c r="E78">
        <v>0.16420000000000001</v>
      </c>
      <c r="F78">
        <v>2</v>
      </c>
      <c r="G78">
        <v>177</v>
      </c>
      <c r="H78">
        <v>179</v>
      </c>
    </row>
    <row r="79" spans="1:8" x14ac:dyDescent="0.3">
      <c r="A79">
        <v>77</v>
      </c>
      <c r="B79">
        <v>78</v>
      </c>
      <c r="C79">
        <v>0.1515</v>
      </c>
      <c r="D79">
        <v>0.64</v>
      </c>
      <c r="E79">
        <v>0.22389999999999999</v>
      </c>
      <c r="F79">
        <v>2</v>
      </c>
      <c r="G79">
        <v>98</v>
      </c>
      <c r="H79">
        <v>100</v>
      </c>
    </row>
    <row r="80" spans="1:8" x14ac:dyDescent="0.3">
      <c r="A80">
        <v>78</v>
      </c>
      <c r="B80">
        <v>79</v>
      </c>
      <c r="C80">
        <v>0.13639999999999999</v>
      </c>
      <c r="D80">
        <v>0.69</v>
      </c>
      <c r="E80">
        <v>0.32840000000000003</v>
      </c>
      <c r="F80">
        <v>5</v>
      </c>
      <c r="G80">
        <v>37</v>
      </c>
      <c r="H80">
        <v>42</v>
      </c>
    </row>
    <row r="81" spans="1:8" x14ac:dyDescent="0.3">
      <c r="A81">
        <v>79</v>
      </c>
      <c r="B81">
        <v>80</v>
      </c>
      <c r="C81">
        <v>0.21210000000000001</v>
      </c>
      <c r="D81">
        <v>0.51</v>
      </c>
      <c r="E81">
        <v>0.29849999999999999</v>
      </c>
      <c r="F81">
        <v>7</v>
      </c>
      <c r="G81">
        <v>50</v>
      </c>
      <c r="H81">
        <v>57</v>
      </c>
    </row>
    <row r="82" spans="1:8" x14ac:dyDescent="0.3">
      <c r="A82">
        <v>80</v>
      </c>
      <c r="B82">
        <v>81</v>
      </c>
      <c r="C82">
        <v>0.2273</v>
      </c>
      <c r="D82">
        <v>0.51</v>
      </c>
      <c r="E82">
        <v>0.16420000000000001</v>
      </c>
      <c r="F82">
        <v>12</v>
      </c>
      <c r="G82">
        <v>66</v>
      </c>
      <c r="H82">
        <v>78</v>
      </c>
    </row>
    <row r="83" spans="1:8" x14ac:dyDescent="0.3">
      <c r="A83">
        <v>81</v>
      </c>
      <c r="B83">
        <v>82</v>
      </c>
      <c r="C83">
        <v>0.2273</v>
      </c>
      <c r="D83">
        <v>0.56000000000000005</v>
      </c>
      <c r="E83">
        <v>0.19400000000000001</v>
      </c>
      <c r="F83">
        <v>18</v>
      </c>
      <c r="G83">
        <v>79</v>
      </c>
      <c r="H83">
        <v>97</v>
      </c>
    </row>
    <row r="84" spans="1:8" x14ac:dyDescent="0.3">
      <c r="A84">
        <v>82</v>
      </c>
      <c r="B84">
        <v>83</v>
      </c>
      <c r="C84">
        <v>0.2576</v>
      </c>
      <c r="D84">
        <v>0.52</v>
      </c>
      <c r="E84">
        <v>0.22389999999999999</v>
      </c>
      <c r="F84">
        <v>9</v>
      </c>
      <c r="G84">
        <v>54</v>
      </c>
      <c r="H84">
        <v>63</v>
      </c>
    </row>
    <row r="85" spans="1:8" x14ac:dyDescent="0.3">
      <c r="A85">
        <v>83</v>
      </c>
      <c r="B85">
        <v>84</v>
      </c>
      <c r="C85">
        <v>0.2727</v>
      </c>
      <c r="D85">
        <v>0.52</v>
      </c>
      <c r="E85">
        <v>0.25369999999999998</v>
      </c>
      <c r="F85">
        <v>17</v>
      </c>
      <c r="G85">
        <v>48</v>
      </c>
      <c r="H85">
        <v>65</v>
      </c>
    </row>
    <row r="86" spans="1:8" x14ac:dyDescent="0.3">
      <c r="A86">
        <v>84</v>
      </c>
      <c r="B86">
        <v>85</v>
      </c>
      <c r="C86">
        <v>0.28789999999999999</v>
      </c>
      <c r="D86">
        <v>0.49</v>
      </c>
      <c r="E86">
        <v>0.25369999999999998</v>
      </c>
      <c r="F86">
        <v>15</v>
      </c>
      <c r="G86">
        <v>68</v>
      </c>
      <c r="H86">
        <v>83</v>
      </c>
    </row>
    <row r="87" spans="1:8" x14ac:dyDescent="0.3">
      <c r="A87">
        <v>85</v>
      </c>
      <c r="B87">
        <v>86</v>
      </c>
      <c r="C87">
        <v>0.2727</v>
      </c>
      <c r="D87">
        <v>0.48</v>
      </c>
      <c r="E87">
        <v>0.22389999999999999</v>
      </c>
      <c r="F87">
        <v>10</v>
      </c>
      <c r="G87">
        <v>202</v>
      </c>
      <c r="H87">
        <v>212</v>
      </c>
    </row>
    <row r="88" spans="1:8" x14ac:dyDescent="0.3">
      <c r="A88">
        <v>86</v>
      </c>
      <c r="B88">
        <v>87</v>
      </c>
      <c r="C88">
        <v>0.2576</v>
      </c>
      <c r="D88">
        <v>0.48</v>
      </c>
      <c r="E88">
        <v>0.19400000000000001</v>
      </c>
      <c r="F88">
        <v>3</v>
      </c>
      <c r="G88">
        <v>179</v>
      </c>
      <c r="H88">
        <v>182</v>
      </c>
    </row>
    <row r="89" spans="1:8" x14ac:dyDescent="0.3">
      <c r="A89">
        <v>87</v>
      </c>
      <c r="B89">
        <v>88</v>
      </c>
      <c r="C89">
        <v>0.2576</v>
      </c>
      <c r="D89">
        <v>0.48</v>
      </c>
      <c r="E89">
        <v>0.1045</v>
      </c>
      <c r="F89">
        <v>2</v>
      </c>
      <c r="G89">
        <v>110</v>
      </c>
      <c r="H89">
        <v>112</v>
      </c>
    </row>
    <row r="90" spans="1:8" x14ac:dyDescent="0.3">
      <c r="A90">
        <v>88</v>
      </c>
      <c r="B90">
        <v>89</v>
      </c>
      <c r="C90">
        <v>0.2576</v>
      </c>
      <c r="D90">
        <v>0.48</v>
      </c>
      <c r="E90">
        <v>0.1045</v>
      </c>
      <c r="F90">
        <v>1</v>
      </c>
      <c r="G90">
        <v>53</v>
      </c>
      <c r="H90">
        <v>54</v>
      </c>
    </row>
    <row r="91" spans="1:8" x14ac:dyDescent="0.3">
      <c r="A91">
        <v>89</v>
      </c>
      <c r="B91">
        <v>90</v>
      </c>
      <c r="C91">
        <v>0.2727</v>
      </c>
      <c r="D91">
        <v>0.64</v>
      </c>
      <c r="E91">
        <v>0</v>
      </c>
      <c r="F91">
        <v>0</v>
      </c>
      <c r="G91">
        <v>48</v>
      </c>
      <c r="H91">
        <v>48</v>
      </c>
    </row>
    <row r="92" spans="1:8" x14ac:dyDescent="0.3">
      <c r="A92">
        <v>90</v>
      </c>
      <c r="B92">
        <v>91</v>
      </c>
      <c r="C92">
        <v>0.2576</v>
      </c>
      <c r="D92">
        <v>0.64</v>
      </c>
      <c r="E92">
        <v>8.9599999999999999E-2</v>
      </c>
      <c r="F92">
        <v>1</v>
      </c>
      <c r="G92">
        <v>34</v>
      </c>
      <c r="H92">
        <v>35</v>
      </c>
    </row>
    <row r="93" spans="1:8" x14ac:dyDescent="0.3">
      <c r="A93">
        <v>91</v>
      </c>
      <c r="B93">
        <v>92</v>
      </c>
      <c r="C93">
        <v>0.2273</v>
      </c>
      <c r="D93">
        <v>0.69</v>
      </c>
      <c r="E93">
        <v>8.9599999999999999E-2</v>
      </c>
      <c r="F93">
        <v>2</v>
      </c>
      <c r="G93">
        <v>9</v>
      </c>
      <c r="H93">
        <v>11</v>
      </c>
    </row>
    <row r="94" spans="1:8" x14ac:dyDescent="0.3">
      <c r="A94">
        <v>92</v>
      </c>
      <c r="B94">
        <v>93</v>
      </c>
      <c r="C94">
        <v>0.2576</v>
      </c>
      <c r="D94">
        <v>0.64</v>
      </c>
      <c r="E94">
        <v>0</v>
      </c>
      <c r="F94">
        <v>0</v>
      </c>
      <c r="G94">
        <v>6</v>
      </c>
      <c r="H94">
        <v>6</v>
      </c>
    </row>
    <row r="95" spans="1:8" x14ac:dyDescent="0.3">
      <c r="A95">
        <v>93</v>
      </c>
      <c r="B95">
        <v>94</v>
      </c>
      <c r="C95">
        <v>0.19700000000000001</v>
      </c>
      <c r="D95">
        <v>0.74</v>
      </c>
      <c r="E95">
        <v>8.9599999999999999E-2</v>
      </c>
      <c r="F95">
        <v>0</v>
      </c>
      <c r="G95">
        <v>6</v>
      </c>
      <c r="H95">
        <v>6</v>
      </c>
    </row>
    <row r="96" spans="1:8" x14ac:dyDescent="0.3">
      <c r="A96">
        <v>94</v>
      </c>
      <c r="B96">
        <v>95</v>
      </c>
      <c r="C96">
        <v>0.19700000000000001</v>
      </c>
      <c r="D96">
        <v>0.74</v>
      </c>
      <c r="E96">
        <v>8.9599999999999999E-2</v>
      </c>
      <c r="F96">
        <v>0</v>
      </c>
      <c r="G96">
        <v>2</v>
      </c>
      <c r="H96">
        <v>2</v>
      </c>
    </row>
    <row r="97" spans="1:8" x14ac:dyDescent="0.3">
      <c r="A97">
        <v>95</v>
      </c>
      <c r="B97">
        <v>96</v>
      </c>
      <c r="C97">
        <v>0.2273</v>
      </c>
      <c r="D97">
        <v>0.48</v>
      </c>
      <c r="E97">
        <v>0.22389999999999999</v>
      </c>
      <c r="F97">
        <v>0</v>
      </c>
      <c r="G97">
        <v>2</v>
      </c>
      <c r="H97">
        <v>2</v>
      </c>
    </row>
    <row r="98" spans="1:8" x14ac:dyDescent="0.3">
      <c r="A98">
        <v>96</v>
      </c>
      <c r="B98">
        <v>97</v>
      </c>
      <c r="C98">
        <v>0.2273</v>
      </c>
      <c r="D98">
        <v>0.47</v>
      </c>
      <c r="E98">
        <v>0.16420000000000001</v>
      </c>
      <c r="F98">
        <v>0</v>
      </c>
      <c r="G98">
        <v>3</v>
      </c>
      <c r="H98">
        <v>3</v>
      </c>
    </row>
    <row r="99" spans="1:8" x14ac:dyDescent="0.3">
      <c r="A99">
        <v>97</v>
      </c>
      <c r="B99">
        <v>98</v>
      </c>
      <c r="C99">
        <v>0.19700000000000001</v>
      </c>
      <c r="D99">
        <v>0.47</v>
      </c>
      <c r="E99">
        <v>0.22389999999999999</v>
      </c>
      <c r="F99">
        <v>0</v>
      </c>
      <c r="G99">
        <v>33</v>
      </c>
      <c r="H99">
        <v>33</v>
      </c>
    </row>
    <row r="100" spans="1:8" x14ac:dyDescent="0.3">
      <c r="A100">
        <v>98</v>
      </c>
      <c r="B100">
        <v>99</v>
      </c>
      <c r="C100">
        <v>0.18179999999999999</v>
      </c>
      <c r="D100">
        <v>0.43</v>
      </c>
      <c r="E100">
        <v>0.19400000000000001</v>
      </c>
      <c r="F100">
        <v>1</v>
      </c>
      <c r="G100">
        <v>87</v>
      </c>
      <c r="H100">
        <v>88</v>
      </c>
    </row>
    <row r="101" spans="1:8" x14ac:dyDescent="0.3">
      <c r="A101">
        <v>99</v>
      </c>
      <c r="B101">
        <v>100</v>
      </c>
      <c r="C101">
        <v>0.18179999999999999</v>
      </c>
      <c r="D101">
        <v>0.4</v>
      </c>
      <c r="E101">
        <v>0.29849999999999999</v>
      </c>
      <c r="F101">
        <v>3</v>
      </c>
      <c r="G101">
        <v>192</v>
      </c>
      <c r="H101">
        <v>195</v>
      </c>
    </row>
    <row r="102" spans="1:8" x14ac:dyDescent="0.3">
      <c r="A102">
        <v>100</v>
      </c>
      <c r="B102">
        <v>101</v>
      </c>
      <c r="C102">
        <v>0.19700000000000001</v>
      </c>
      <c r="D102">
        <v>0.37</v>
      </c>
      <c r="E102">
        <v>0.32840000000000003</v>
      </c>
      <c r="F102">
        <v>6</v>
      </c>
      <c r="G102">
        <v>109</v>
      </c>
      <c r="H102">
        <v>115</v>
      </c>
    </row>
    <row r="103" spans="1:8" x14ac:dyDescent="0.3">
      <c r="A103">
        <v>101</v>
      </c>
      <c r="B103">
        <v>102</v>
      </c>
      <c r="C103">
        <v>0.19700000000000001</v>
      </c>
      <c r="D103">
        <v>0.37</v>
      </c>
      <c r="E103">
        <v>0.32840000000000003</v>
      </c>
      <c r="F103">
        <v>4</v>
      </c>
      <c r="G103">
        <v>53</v>
      </c>
      <c r="H103">
        <v>57</v>
      </c>
    </row>
    <row r="104" spans="1:8" x14ac:dyDescent="0.3">
      <c r="A104">
        <v>102</v>
      </c>
      <c r="B104">
        <v>103</v>
      </c>
      <c r="C104">
        <v>0.2273</v>
      </c>
      <c r="D104">
        <v>0.33</v>
      </c>
      <c r="E104">
        <v>0.32840000000000003</v>
      </c>
      <c r="F104">
        <v>12</v>
      </c>
      <c r="G104">
        <v>34</v>
      </c>
      <c r="H104">
        <v>46</v>
      </c>
    </row>
    <row r="105" spans="1:8" x14ac:dyDescent="0.3">
      <c r="A105">
        <v>103</v>
      </c>
      <c r="B105">
        <v>104</v>
      </c>
      <c r="C105">
        <v>0.2273</v>
      </c>
      <c r="D105">
        <v>0.33</v>
      </c>
      <c r="E105">
        <v>0.32840000000000003</v>
      </c>
      <c r="F105">
        <v>5</v>
      </c>
      <c r="G105">
        <v>74</v>
      </c>
      <c r="H105">
        <v>79</v>
      </c>
    </row>
    <row r="106" spans="1:8" x14ac:dyDescent="0.3">
      <c r="A106">
        <v>104</v>
      </c>
      <c r="B106">
        <v>105</v>
      </c>
      <c r="C106">
        <v>0.2576</v>
      </c>
      <c r="D106">
        <v>0.3</v>
      </c>
      <c r="E106">
        <v>0.29849999999999999</v>
      </c>
      <c r="F106">
        <v>6</v>
      </c>
      <c r="G106">
        <v>65</v>
      </c>
      <c r="H106">
        <v>71</v>
      </c>
    </row>
    <row r="107" spans="1:8" x14ac:dyDescent="0.3">
      <c r="A107">
        <v>105</v>
      </c>
      <c r="B107">
        <v>106</v>
      </c>
      <c r="C107">
        <v>0.28789999999999999</v>
      </c>
      <c r="D107">
        <v>0.28000000000000003</v>
      </c>
      <c r="E107">
        <v>0.19400000000000001</v>
      </c>
      <c r="F107">
        <v>10</v>
      </c>
      <c r="G107">
        <v>52</v>
      </c>
      <c r="H107">
        <v>62</v>
      </c>
    </row>
    <row r="108" spans="1:8" x14ac:dyDescent="0.3">
      <c r="A108">
        <v>106</v>
      </c>
      <c r="B108">
        <v>107</v>
      </c>
      <c r="C108">
        <v>0.28789999999999999</v>
      </c>
      <c r="D108">
        <v>0.28000000000000003</v>
      </c>
      <c r="E108">
        <v>0.19400000000000001</v>
      </c>
      <c r="F108">
        <v>7</v>
      </c>
      <c r="G108">
        <v>55</v>
      </c>
      <c r="H108">
        <v>62</v>
      </c>
    </row>
    <row r="109" spans="1:8" x14ac:dyDescent="0.3">
      <c r="A109">
        <v>107</v>
      </c>
      <c r="B109">
        <v>108</v>
      </c>
      <c r="C109">
        <v>0.31819999999999998</v>
      </c>
      <c r="D109">
        <v>0.28000000000000003</v>
      </c>
      <c r="E109">
        <v>8.9599999999999999E-2</v>
      </c>
      <c r="F109">
        <v>4</v>
      </c>
      <c r="G109">
        <v>85</v>
      </c>
      <c r="H109">
        <v>89</v>
      </c>
    </row>
    <row r="110" spans="1:8" x14ac:dyDescent="0.3">
      <c r="A110">
        <v>108</v>
      </c>
      <c r="B110">
        <v>109</v>
      </c>
      <c r="C110">
        <v>0.2273</v>
      </c>
      <c r="D110">
        <v>0.38</v>
      </c>
      <c r="E110">
        <v>0.19400000000000001</v>
      </c>
      <c r="F110">
        <v>4</v>
      </c>
      <c r="G110">
        <v>186</v>
      </c>
      <c r="H110">
        <v>190</v>
      </c>
    </row>
    <row r="111" spans="1:8" x14ac:dyDescent="0.3">
      <c r="A111">
        <v>109</v>
      </c>
      <c r="B111">
        <v>110</v>
      </c>
      <c r="C111">
        <v>0.2424</v>
      </c>
      <c r="D111">
        <v>0.38</v>
      </c>
      <c r="E111">
        <v>0.1343</v>
      </c>
      <c r="F111">
        <v>3</v>
      </c>
      <c r="G111">
        <v>166</v>
      </c>
      <c r="H111">
        <v>169</v>
      </c>
    </row>
    <row r="112" spans="1:8" x14ac:dyDescent="0.3">
      <c r="A112">
        <v>110</v>
      </c>
      <c r="B112">
        <v>111</v>
      </c>
      <c r="C112">
        <v>0.2576</v>
      </c>
      <c r="D112">
        <v>0.38</v>
      </c>
      <c r="E112">
        <v>0.1045</v>
      </c>
      <c r="F112">
        <v>5</v>
      </c>
      <c r="G112">
        <v>127</v>
      </c>
      <c r="H112">
        <v>132</v>
      </c>
    </row>
    <row r="113" spans="1:8" x14ac:dyDescent="0.3">
      <c r="A113">
        <v>111</v>
      </c>
      <c r="B113">
        <v>112</v>
      </c>
      <c r="C113">
        <v>0.2273</v>
      </c>
      <c r="D113">
        <v>0.47</v>
      </c>
      <c r="E113">
        <v>0.16420000000000001</v>
      </c>
      <c r="F113">
        <v>7</v>
      </c>
      <c r="G113">
        <v>82</v>
      </c>
      <c r="H113">
        <v>89</v>
      </c>
    </row>
    <row r="114" spans="1:8" x14ac:dyDescent="0.3">
      <c r="A114">
        <v>112</v>
      </c>
      <c r="B114">
        <v>113</v>
      </c>
      <c r="C114">
        <v>0.19700000000000001</v>
      </c>
      <c r="D114">
        <v>0.51</v>
      </c>
      <c r="E114">
        <v>0.19400000000000001</v>
      </c>
      <c r="F114">
        <v>3</v>
      </c>
      <c r="G114">
        <v>40</v>
      </c>
      <c r="H114">
        <v>43</v>
      </c>
    </row>
    <row r="115" spans="1:8" x14ac:dyDescent="0.3">
      <c r="A115">
        <v>113</v>
      </c>
      <c r="B115">
        <v>114</v>
      </c>
      <c r="C115">
        <v>0.19700000000000001</v>
      </c>
      <c r="D115">
        <v>0.55000000000000004</v>
      </c>
      <c r="E115">
        <v>0.1343</v>
      </c>
      <c r="F115">
        <v>1</v>
      </c>
      <c r="G115">
        <v>41</v>
      </c>
      <c r="H115">
        <v>42</v>
      </c>
    </row>
    <row r="116" spans="1:8" x14ac:dyDescent="0.3">
      <c r="A116">
        <v>114</v>
      </c>
      <c r="B116">
        <v>115</v>
      </c>
      <c r="C116">
        <v>0.2576</v>
      </c>
      <c r="D116">
        <v>0.47</v>
      </c>
      <c r="E116">
        <v>0</v>
      </c>
      <c r="F116">
        <v>1</v>
      </c>
      <c r="G116">
        <v>18</v>
      </c>
      <c r="H116">
        <v>19</v>
      </c>
    </row>
    <row r="117" spans="1:8" x14ac:dyDescent="0.3">
      <c r="A117">
        <v>115</v>
      </c>
      <c r="B117">
        <v>116</v>
      </c>
      <c r="C117">
        <v>0.2424</v>
      </c>
      <c r="D117">
        <v>0.55000000000000004</v>
      </c>
      <c r="E117">
        <v>0</v>
      </c>
      <c r="F117">
        <v>0</v>
      </c>
      <c r="G117">
        <v>11</v>
      </c>
      <c r="H117">
        <v>11</v>
      </c>
    </row>
    <row r="118" spans="1:8" x14ac:dyDescent="0.3">
      <c r="A118">
        <v>116</v>
      </c>
      <c r="B118">
        <v>117</v>
      </c>
      <c r="C118">
        <v>0.2273</v>
      </c>
      <c r="D118">
        <v>0.64</v>
      </c>
      <c r="E118">
        <v>0</v>
      </c>
      <c r="F118">
        <v>0</v>
      </c>
      <c r="G118">
        <v>4</v>
      </c>
      <c r="H118">
        <v>4</v>
      </c>
    </row>
    <row r="119" spans="1:8" x14ac:dyDescent="0.3">
      <c r="A119">
        <v>117</v>
      </c>
      <c r="B119">
        <v>118</v>
      </c>
      <c r="C119">
        <v>0.2273</v>
      </c>
      <c r="D119">
        <v>0.64</v>
      </c>
      <c r="E119">
        <v>0</v>
      </c>
      <c r="F119">
        <v>0</v>
      </c>
      <c r="G119">
        <v>2</v>
      </c>
      <c r="H119">
        <v>2</v>
      </c>
    </row>
    <row r="120" spans="1:8" x14ac:dyDescent="0.3">
      <c r="A120">
        <v>118</v>
      </c>
      <c r="B120">
        <v>119</v>
      </c>
      <c r="C120">
        <v>0.19700000000000001</v>
      </c>
      <c r="D120">
        <v>0.64</v>
      </c>
      <c r="E120">
        <v>8.9599999999999999E-2</v>
      </c>
      <c r="F120">
        <v>0</v>
      </c>
      <c r="G120">
        <v>1</v>
      </c>
      <c r="H120">
        <v>1</v>
      </c>
    </row>
    <row r="121" spans="1:8" x14ac:dyDescent="0.3">
      <c r="A121">
        <v>119</v>
      </c>
      <c r="B121">
        <v>120</v>
      </c>
      <c r="C121">
        <v>0.18179999999999999</v>
      </c>
      <c r="D121">
        <v>0.69</v>
      </c>
      <c r="E121">
        <v>8.9599999999999999E-2</v>
      </c>
      <c r="F121">
        <v>0</v>
      </c>
      <c r="G121">
        <v>4</v>
      </c>
      <c r="H121">
        <v>4</v>
      </c>
    </row>
    <row r="122" spans="1:8" x14ac:dyDescent="0.3">
      <c r="A122">
        <v>120</v>
      </c>
      <c r="B122">
        <v>121</v>
      </c>
      <c r="C122">
        <v>0.16669999999999999</v>
      </c>
      <c r="D122">
        <v>0.63</v>
      </c>
      <c r="E122">
        <v>0.1045</v>
      </c>
      <c r="F122">
        <v>0</v>
      </c>
      <c r="G122">
        <v>36</v>
      </c>
      <c r="H122">
        <v>36</v>
      </c>
    </row>
    <row r="123" spans="1:8" x14ac:dyDescent="0.3">
      <c r="A123">
        <v>121</v>
      </c>
      <c r="B123">
        <v>122</v>
      </c>
      <c r="C123">
        <v>0.2273</v>
      </c>
      <c r="D123">
        <v>0.59</v>
      </c>
      <c r="E123">
        <v>0</v>
      </c>
      <c r="F123">
        <v>0</v>
      </c>
      <c r="G123">
        <v>95</v>
      </c>
      <c r="H123">
        <v>95</v>
      </c>
    </row>
    <row r="124" spans="1:8" x14ac:dyDescent="0.3">
      <c r="A124">
        <v>122</v>
      </c>
      <c r="B124">
        <v>123</v>
      </c>
      <c r="C124">
        <v>0.2273</v>
      </c>
      <c r="D124">
        <v>0.59</v>
      </c>
      <c r="E124">
        <v>0</v>
      </c>
      <c r="F124">
        <v>3</v>
      </c>
      <c r="G124">
        <v>216</v>
      </c>
      <c r="H124">
        <v>219</v>
      </c>
    </row>
    <row r="125" spans="1:8" x14ac:dyDescent="0.3">
      <c r="A125">
        <v>123</v>
      </c>
      <c r="B125">
        <v>124</v>
      </c>
      <c r="C125">
        <v>0.2424</v>
      </c>
      <c r="D125">
        <v>0.51</v>
      </c>
      <c r="E125">
        <v>0</v>
      </c>
      <c r="F125">
        <v>6</v>
      </c>
      <c r="G125">
        <v>116</v>
      </c>
      <c r="H125">
        <v>122</v>
      </c>
    </row>
    <row r="126" spans="1:8" x14ac:dyDescent="0.3">
      <c r="A126">
        <v>124</v>
      </c>
      <c r="B126">
        <v>125</v>
      </c>
      <c r="C126">
        <v>0.2576</v>
      </c>
      <c r="D126">
        <v>0.47</v>
      </c>
      <c r="E126">
        <v>0</v>
      </c>
      <c r="F126">
        <v>3</v>
      </c>
      <c r="G126">
        <v>42</v>
      </c>
      <c r="H126">
        <v>45</v>
      </c>
    </row>
    <row r="127" spans="1:8" x14ac:dyDescent="0.3">
      <c r="A127">
        <v>125</v>
      </c>
      <c r="B127">
        <v>126</v>
      </c>
      <c r="C127">
        <v>0.2576</v>
      </c>
      <c r="D127">
        <v>0.44</v>
      </c>
      <c r="E127">
        <v>8.9599999999999999E-2</v>
      </c>
      <c r="F127">
        <v>2</v>
      </c>
      <c r="G127">
        <v>57</v>
      </c>
      <c r="H127">
        <v>59</v>
      </c>
    </row>
    <row r="128" spans="1:8" x14ac:dyDescent="0.3">
      <c r="A128">
        <v>126</v>
      </c>
      <c r="B128">
        <v>127</v>
      </c>
      <c r="C128">
        <v>0.28789999999999999</v>
      </c>
      <c r="D128">
        <v>0.35</v>
      </c>
      <c r="E128">
        <v>0</v>
      </c>
      <c r="F128">
        <v>6</v>
      </c>
      <c r="G128">
        <v>78</v>
      </c>
      <c r="H128">
        <v>84</v>
      </c>
    </row>
    <row r="129" spans="1:8" x14ac:dyDescent="0.3">
      <c r="A129">
        <v>127</v>
      </c>
      <c r="B129">
        <v>128</v>
      </c>
      <c r="C129">
        <v>0.2727</v>
      </c>
      <c r="D129">
        <v>0.35</v>
      </c>
      <c r="E129">
        <v>0.1045</v>
      </c>
      <c r="F129">
        <v>12</v>
      </c>
      <c r="G129">
        <v>55</v>
      </c>
      <c r="H129">
        <v>67</v>
      </c>
    </row>
    <row r="130" spans="1:8" x14ac:dyDescent="0.3">
      <c r="A130">
        <v>128</v>
      </c>
      <c r="B130">
        <v>129</v>
      </c>
      <c r="C130">
        <v>0.2727</v>
      </c>
      <c r="D130">
        <v>0.36</v>
      </c>
      <c r="E130">
        <v>0.16420000000000001</v>
      </c>
      <c r="F130">
        <v>11</v>
      </c>
      <c r="G130">
        <v>59</v>
      </c>
      <c r="H130">
        <v>70</v>
      </c>
    </row>
    <row r="131" spans="1:8" x14ac:dyDescent="0.3">
      <c r="A131">
        <v>129</v>
      </c>
      <c r="B131">
        <v>130</v>
      </c>
      <c r="C131">
        <v>0.2727</v>
      </c>
      <c r="D131">
        <v>0.36</v>
      </c>
      <c r="E131">
        <v>0</v>
      </c>
      <c r="F131">
        <v>8</v>
      </c>
      <c r="G131">
        <v>54</v>
      </c>
      <c r="H131">
        <v>62</v>
      </c>
    </row>
    <row r="132" spans="1:8" x14ac:dyDescent="0.3">
      <c r="A132">
        <v>130</v>
      </c>
      <c r="B132">
        <v>131</v>
      </c>
      <c r="C132">
        <v>0.2576</v>
      </c>
      <c r="D132">
        <v>0.38</v>
      </c>
      <c r="E132">
        <v>0.16420000000000001</v>
      </c>
      <c r="F132">
        <v>12</v>
      </c>
      <c r="G132">
        <v>74</v>
      </c>
      <c r="H132">
        <v>86</v>
      </c>
    </row>
    <row r="133" spans="1:8" x14ac:dyDescent="0.3">
      <c r="A133">
        <v>131</v>
      </c>
      <c r="B133">
        <v>132</v>
      </c>
      <c r="C133">
        <v>0.2273</v>
      </c>
      <c r="D133">
        <v>0.51</v>
      </c>
      <c r="E133">
        <v>0.16420000000000001</v>
      </c>
      <c r="F133">
        <v>9</v>
      </c>
      <c r="G133">
        <v>163</v>
      </c>
      <c r="H133">
        <v>172</v>
      </c>
    </row>
    <row r="134" spans="1:8" x14ac:dyDescent="0.3">
      <c r="A134">
        <v>132</v>
      </c>
      <c r="B134">
        <v>133</v>
      </c>
      <c r="C134">
        <v>0.2273</v>
      </c>
      <c r="D134">
        <v>0.51</v>
      </c>
      <c r="E134">
        <v>0.1343</v>
      </c>
      <c r="F134">
        <v>5</v>
      </c>
      <c r="G134">
        <v>158</v>
      </c>
      <c r="H134">
        <v>163</v>
      </c>
    </row>
    <row r="135" spans="1:8" x14ac:dyDescent="0.3">
      <c r="A135">
        <v>133</v>
      </c>
      <c r="B135">
        <v>134</v>
      </c>
      <c r="C135">
        <v>0.2576</v>
      </c>
      <c r="D135">
        <v>0.55000000000000004</v>
      </c>
      <c r="E135">
        <v>8.9599999999999999E-2</v>
      </c>
      <c r="F135">
        <v>3</v>
      </c>
      <c r="G135">
        <v>109</v>
      </c>
      <c r="H135">
        <v>112</v>
      </c>
    </row>
    <row r="136" spans="1:8" x14ac:dyDescent="0.3">
      <c r="A136">
        <v>134</v>
      </c>
      <c r="B136">
        <v>135</v>
      </c>
      <c r="C136">
        <v>0.21210000000000001</v>
      </c>
      <c r="D136">
        <v>0.51</v>
      </c>
      <c r="E136">
        <v>0.16420000000000001</v>
      </c>
      <c r="F136">
        <v>3</v>
      </c>
      <c r="G136">
        <v>66</v>
      </c>
      <c r="H136">
        <v>69</v>
      </c>
    </row>
    <row r="137" spans="1:8" x14ac:dyDescent="0.3">
      <c r="A137">
        <v>135</v>
      </c>
      <c r="B137">
        <v>136</v>
      </c>
      <c r="C137">
        <v>0.21210000000000001</v>
      </c>
      <c r="D137">
        <v>0.55000000000000004</v>
      </c>
      <c r="E137">
        <v>0.22389999999999999</v>
      </c>
      <c r="F137">
        <v>0</v>
      </c>
      <c r="G137">
        <v>48</v>
      </c>
      <c r="H137">
        <v>48</v>
      </c>
    </row>
    <row r="138" spans="1:8" x14ac:dyDescent="0.3">
      <c r="A138">
        <v>136</v>
      </c>
      <c r="B138">
        <v>137</v>
      </c>
      <c r="C138">
        <v>0.21210000000000001</v>
      </c>
      <c r="D138">
        <v>0.51</v>
      </c>
      <c r="E138">
        <v>0.28360000000000002</v>
      </c>
      <c r="F138">
        <v>1</v>
      </c>
      <c r="G138">
        <v>51</v>
      </c>
      <c r="H138">
        <v>52</v>
      </c>
    </row>
    <row r="139" spans="1:8" x14ac:dyDescent="0.3">
      <c r="A139">
        <v>137</v>
      </c>
      <c r="B139">
        <v>138</v>
      </c>
      <c r="C139">
        <v>0.19700000000000001</v>
      </c>
      <c r="D139">
        <v>0.59</v>
      </c>
      <c r="E139">
        <v>0.19400000000000001</v>
      </c>
      <c r="F139">
        <v>4</v>
      </c>
      <c r="G139">
        <v>19</v>
      </c>
      <c r="H139">
        <v>23</v>
      </c>
    </row>
    <row r="140" spans="1:8" x14ac:dyDescent="0.3">
      <c r="A140">
        <v>138</v>
      </c>
      <c r="B140">
        <v>139</v>
      </c>
      <c r="C140">
        <v>0.19700000000000001</v>
      </c>
      <c r="D140">
        <v>0.64</v>
      </c>
      <c r="E140">
        <v>0.19400000000000001</v>
      </c>
      <c r="F140">
        <v>4</v>
      </c>
      <c r="G140">
        <v>13</v>
      </c>
      <c r="H140">
        <v>17</v>
      </c>
    </row>
    <row r="141" spans="1:8" x14ac:dyDescent="0.3">
      <c r="A141">
        <v>139</v>
      </c>
      <c r="B141">
        <v>140</v>
      </c>
      <c r="C141">
        <v>0.19700000000000001</v>
      </c>
      <c r="D141">
        <v>0.69</v>
      </c>
      <c r="E141">
        <v>0.22389999999999999</v>
      </c>
      <c r="F141">
        <v>2</v>
      </c>
      <c r="G141">
        <v>5</v>
      </c>
      <c r="H141">
        <v>7</v>
      </c>
    </row>
    <row r="142" spans="1:8" x14ac:dyDescent="0.3">
      <c r="A142">
        <v>140</v>
      </c>
      <c r="B142">
        <v>141</v>
      </c>
      <c r="C142">
        <v>0.19700000000000001</v>
      </c>
      <c r="D142">
        <v>0.69</v>
      </c>
      <c r="E142">
        <v>0.22389999999999999</v>
      </c>
      <c r="F142">
        <v>0</v>
      </c>
      <c r="G142">
        <v>1</v>
      </c>
      <c r="H142">
        <v>1</v>
      </c>
    </row>
    <row r="143" spans="1:8" x14ac:dyDescent="0.3">
      <c r="A143">
        <v>141</v>
      </c>
      <c r="B143">
        <v>142</v>
      </c>
      <c r="C143">
        <v>0.21210000000000001</v>
      </c>
      <c r="D143">
        <v>0.69</v>
      </c>
      <c r="E143">
        <v>0.1343</v>
      </c>
      <c r="F143">
        <v>0</v>
      </c>
      <c r="G143">
        <v>1</v>
      </c>
      <c r="H143">
        <v>1</v>
      </c>
    </row>
    <row r="144" spans="1:8" x14ac:dyDescent="0.3">
      <c r="A144">
        <v>142</v>
      </c>
      <c r="B144">
        <v>143</v>
      </c>
      <c r="C144">
        <v>0.2727</v>
      </c>
      <c r="D144">
        <v>0.55000000000000004</v>
      </c>
      <c r="E144">
        <v>0</v>
      </c>
      <c r="F144">
        <v>0</v>
      </c>
      <c r="G144">
        <v>5</v>
      </c>
      <c r="H144">
        <v>5</v>
      </c>
    </row>
    <row r="145" spans="1:8" x14ac:dyDescent="0.3">
      <c r="A145">
        <v>143</v>
      </c>
      <c r="B145">
        <v>144</v>
      </c>
      <c r="C145">
        <v>0.2576</v>
      </c>
      <c r="D145">
        <v>0.69</v>
      </c>
      <c r="E145">
        <v>0</v>
      </c>
      <c r="F145">
        <v>8</v>
      </c>
      <c r="G145">
        <v>26</v>
      </c>
      <c r="H145">
        <v>34</v>
      </c>
    </row>
    <row r="146" spans="1:8" x14ac:dyDescent="0.3">
      <c r="A146">
        <v>144</v>
      </c>
      <c r="B146">
        <v>145</v>
      </c>
      <c r="C146">
        <v>0.21210000000000001</v>
      </c>
      <c r="D146">
        <v>0.69</v>
      </c>
      <c r="E146">
        <v>0.1343</v>
      </c>
      <c r="F146">
        <v>8</v>
      </c>
      <c r="G146">
        <v>76</v>
      </c>
      <c r="H146">
        <v>84</v>
      </c>
    </row>
    <row r="147" spans="1:8" x14ac:dyDescent="0.3">
      <c r="A147">
        <v>145</v>
      </c>
      <c r="B147">
        <v>146</v>
      </c>
      <c r="C147">
        <v>0.19700000000000001</v>
      </c>
      <c r="D147">
        <v>0.51</v>
      </c>
      <c r="E147">
        <v>0.25369999999999998</v>
      </c>
      <c r="F147">
        <v>20</v>
      </c>
      <c r="G147">
        <v>190</v>
      </c>
      <c r="H147">
        <v>210</v>
      </c>
    </row>
    <row r="148" spans="1:8" x14ac:dyDescent="0.3">
      <c r="A148">
        <v>146</v>
      </c>
      <c r="B148">
        <v>147</v>
      </c>
      <c r="C148">
        <v>0.18179999999999999</v>
      </c>
      <c r="D148">
        <v>0.47</v>
      </c>
      <c r="E148">
        <v>0.29849999999999999</v>
      </c>
      <c r="F148">
        <v>9</v>
      </c>
      <c r="G148">
        <v>125</v>
      </c>
      <c r="H148">
        <v>134</v>
      </c>
    </row>
    <row r="149" spans="1:8" x14ac:dyDescent="0.3">
      <c r="A149">
        <v>147</v>
      </c>
      <c r="B149">
        <v>148</v>
      </c>
      <c r="C149">
        <v>0.19700000000000001</v>
      </c>
      <c r="D149">
        <v>0.37</v>
      </c>
      <c r="E149">
        <v>0.32840000000000003</v>
      </c>
      <c r="F149">
        <v>16</v>
      </c>
      <c r="G149">
        <v>47</v>
      </c>
      <c r="H149">
        <v>63</v>
      </c>
    </row>
    <row r="150" spans="1:8" x14ac:dyDescent="0.3">
      <c r="A150">
        <v>148</v>
      </c>
      <c r="B150">
        <v>149</v>
      </c>
      <c r="C150">
        <v>0.19700000000000001</v>
      </c>
      <c r="D150">
        <v>0.4</v>
      </c>
      <c r="E150">
        <v>0.22389999999999999</v>
      </c>
      <c r="F150">
        <v>19</v>
      </c>
      <c r="G150">
        <v>48</v>
      </c>
      <c r="H150">
        <v>67</v>
      </c>
    </row>
    <row r="151" spans="1:8" x14ac:dyDescent="0.3">
      <c r="A151">
        <v>149</v>
      </c>
      <c r="B151">
        <v>150</v>
      </c>
      <c r="C151">
        <v>0.19700000000000001</v>
      </c>
      <c r="D151">
        <v>0.37</v>
      </c>
      <c r="E151">
        <v>0.25369999999999998</v>
      </c>
      <c r="F151">
        <v>9</v>
      </c>
      <c r="G151">
        <v>50</v>
      </c>
      <c r="H151">
        <v>59</v>
      </c>
    </row>
    <row r="152" spans="1:8" x14ac:dyDescent="0.3">
      <c r="A152">
        <v>150</v>
      </c>
      <c r="B152">
        <v>151</v>
      </c>
      <c r="C152">
        <v>0.18179999999999999</v>
      </c>
      <c r="D152">
        <v>0.37</v>
      </c>
      <c r="E152">
        <v>0.28360000000000002</v>
      </c>
      <c r="F152">
        <v>9</v>
      </c>
      <c r="G152">
        <v>64</v>
      </c>
      <c r="H152">
        <v>73</v>
      </c>
    </row>
    <row r="153" spans="1:8" x14ac:dyDescent="0.3">
      <c r="A153">
        <v>151</v>
      </c>
      <c r="B153">
        <v>152</v>
      </c>
      <c r="C153">
        <v>0.19700000000000001</v>
      </c>
      <c r="D153">
        <v>0.4</v>
      </c>
      <c r="E153">
        <v>0.25369999999999998</v>
      </c>
      <c r="F153">
        <v>7</v>
      </c>
      <c r="G153">
        <v>43</v>
      </c>
      <c r="H153">
        <v>50</v>
      </c>
    </row>
    <row r="154" spans="1:8" x14ac:dyDescent="0.3">
      <c r="A154">
        <v>152</v>
      </c>
      <c r="B154">
        <v>153</v>
      </c>
      <c r="C154">
        <v>0.21210000000000001</v>
      </c>
      <c r="D154">
        <v>0.37</v>
      </c>
      <c r="E154">
        <v>0.16420000000000001</v>
      </c>
      <c r="F154">
        <v>9</v>
      </c>
      <c r="G154">
        <v>63</v>
      </c>
      <c r="H154">
        <v>72</v>
      </c>
    </row>
    <row r="155" spans="1:8" x14ac:dyDescent="0.3">
      <c r="A155">
        <v>153</v>
      </c>
      <c r="B155">
        <v>154</v>
      </c>
      <c r="C155">
        <v>0.21210000000000001</v>
      </c>
      <c r="D155">
        <v>0.37</v>
      </c>
      <c r="E155">
        <v>0.16420000000000001</v>
      </c>
      <c r="F155">
        <v>5</v>
      </c>
      <c r="G155">
        <v>82</v>
      </c>
      <c r="H155">
        <v>87</v>
      </c>
    </row>
    <row r="156" spans="1:8" x14ac:dyDescent="0.3">
      <c r="A156">
        <v>154</v>
      </c>
      <c r="B156">
        <v>155</v>
      </c>
      <c r="C156">
        <v>0.2576</v>
      </c>
      <c r="D156">
        <v>0.37</v>
      </c>
      <c r="E156">
        <v>0</v>
      </c>
      <c r="F156">
        <v>9</v>
      </c>
      <c r="G156">
        <v>178</v>
      </c>
      <c r="H156">
        <v>187</v>
      </c>
    </row>
    <row r="157" spans="1:8" x14ac:dyDescent="0.3">
      <c r="A157">
        <v>155</v>
      </c>
      <c r="B157">
        <v>156</v>
      </c>
      <c r="C157">
        <v>0.2273</v>
      </c>
      <c r="D157">
        <v>0.4</v>
      </c>
      <c r="E157">
        <v>8.9599999999999999E-2</v>
      </c>
      <c r="F157">
        <v>7</v>
      </c>
      <c r="G157">
        <v>116</v>
      </c>
      <c r="H157">
        <v>123</v>
      </c>
    </row>
    <row r="158" spans="1:8" x14ac:dyDescent="0.3">
      <c r="A158">
        <v>156</v>
      </c>
      <c r="B158">
        <v>157</v>
      </c>
      <c r="C158">
        <v>0.19700000000000001</v>
      </c>
      <c r="D158">
        <v>0.55000000000000004</v>
      </c>
      <c r="E158">
        <v>8.9599999999999999E-2</v>
      </c>
      <c r="F158">
        <v>3</v>
      </c>
      <c r="G158">
        <v>92</v>
      </c>
      <c r="H158">
        <v>95</v>
      </c>
    </row>
    <row r="159" spans="1:8" x14ac:dyDescent="0.3">
      <c r="A159">
        <v>157</v>
      </c>
      <c r="B159">
        <v>158</v>
      </c>
      <c r="C159">
        <v>0.21210000000000001</v>
      </c>
      <c r="D159">
        <v>0.47</v>
      </c>
      <c r="E159">
        <v>0.1045</v>
      </c>
      <c r="F159">
        <v>1</v>
      </c>
      <c r="G159">
        <v>50</v>
      </c>
      <c r="H159">
        <v>51</v>
      </c>
    </row>
    <row r="160" spans="1:8" x14ac:dyDescent="0.3">
      <c r="A160">
        <v>158</v>
      </c>
      <c r="B160">
        <v>159</v>
      </c>
      <c r="C160">
        <v>0.19700000000000001</v>
      </c>
      <c r="D160">
        <v>0.47</v>
      </c>
      <c r="E160">
        <v>0.1343</v>
      </c>
      <c r="F160">
        <v>0</v>
      </c>
      <c r="G160">
        <v>39</v>
      </c>
      <c r="H160">
        <v>39</v>
      </c>
    </row>
    <row r="161" spans="1:8" x14ac:dyDescent="0.3">
      <c r="A161">
        <v>159</v>
      </c>
      <c r="B161">
        <v>160</v>
      </c>
      <c r="C161">
        <v>0.19700000000000001</v>
      </c>
      <c r="D161">
        <v>0.43</v>
      </c>
      <c r="E161">
        <v>0.16420000000000001</v>
      </c>
      <c r="F161">
        <v>2</v>
      </c>
      <c r="G161">
        <v>34</v>
      </c>
      <c r="H161">
        <v>36</v>
      </c>
    </row>
    <row r="162" spans="1:8" x14ac:dyDescent="0.3">
      <c r="A162">
        <v>160</v>
      </c>
      <c r="B162">
        <v>161</v>
      </c>
      <c r="C162">
        <v>0.19700000000000001</v>
      </c>
      <c r="D162">
        <v>0.51</v>
      </c>
      <c r="E162">
        <v>0.16420000000000001</v>
      </c>
      <c r="F162">
        <v>1</v>
      </c>
      <c r="G162">
        <v>14</v>
      </c>
      <c r="H162">
        <v>15</v>
      </c>
    </row>
    <row r="163" spans="1:8" x14ac:dyDescent="0.3">
      <c r="A163">
        <v>161</v>
      </c>
      <c r="B163">
        <v>162</v>
      </c>
      <c r="C163">
        <v>0.19700000000000001</v>
      </c>
      <c r="D163">
        <v>0.51</v>
      </c>
      <c r="E163">
        <v>0.16420000000000001</v>
      </c>
      <c r="F163">
        <v>1</v>
      </c>
      <c r="G163">
        <v>24</v>
      </c>
      <c r="H163">
        <v>25</v>
      </c>
    </row>
    <row r="164" spans="1:8" x14ac:dyDescent="0.3">
      <c r="A164">
        <v>162</v>
      </c>
      <c r="B164">
        <v>163</v>
      </c>
      <c r="C164">
        <v>0.21210000000000001</v>
      </c>
      <c r="D164">
        <v>0.55000000000000004</v>
      </c>
      <c r="E164">
        <v>8.9599999999999999E-2</v>
      </c>
      <c r="F164">
        <v>1</v>
      </c>
      <c r="G164">
        <v>15</v>
      </c>
      <c r="H164">
        <v>16</v>
      </c>
    </row>
    <row r="165" spans="1:8" x14ac:dyDescent="0.3">
      <c r="A165">
        <v>163</v>
      </c>
      <c r="B165">
        <v>164</v>
      </c>
      <c r="C165">
        <v>0.2424</v>
      </c>
      <c r="D165">
        <v>0.55000000000000004</v>
      </c>
      <c r="E165">
        <v>0</v>
      </c>
      <c r="F165">
        <v>3</v>
      </c>
      <c r="G165">
        <v>13</v>
      </c>
      <c r="H165">
        <v>16</v>
      </c>
    </row>
    <row r="166" spans="1:8" x14ac:dyDescent="0.3">
      <c r="A166">
        <v>164</v>
      </c>
      <c r="B166">
        <v>165</v>
      </c>
      <c r="C166">
        <v>0.19700000000000001</v>
      </c>
      <c r="D166">
        <v>0.55000000000000004</v>
      </c>
      <c r="E166">
        <v>0.16420000000000001</v>
      </c>
      <c r="F166">
        <v>0</v>
      </c>
      <c r="G166">
        <v>7</v>
      </c>
      <c r="H166">
        <v>7</v>
      </c>
    </row>
    <row r="167" spans="1:8" x14ac:dyDescent="0.3">
      <c r="A167">
        <v>165</v>
      </c>
      <c r="B167">
        <v>166</v>
      </c>
      <c r="C167">
        <v>0.19700000000000001</v>
      </c>
      <c r="D167">
        <v>0.55000000000000004</v>
      </c>
      <c r="E167">
        <v>0.16420000000000001</v>
      </c>
      <c r="F167">
        <v>0</v>
      </c>
      <c r="G167">
        <v>1</v>
      </c>
      <c r="H167">
        <v>1</v>
      </c>
    </row>
    <row r="168" spans="1:8" x14ac:dyDescent="0.3">
      <c r="A168">
        <v>166</v>
      </c>
      <c r="B168">
        <v>167</v>
      </c>
      <c r="C168">
        <v>0.16669999999999999</v>
      </c>
      <c r="D168">
        <v>0.74</v>
      </c>
      <c r="E168">
        <v>0.16420000000000001</v>
      </c>
      <c r="F168">
        <v>0</v>
      </c>
      <c r="G168">
        <v>5</v>
      </c>
      <c r="H168">
        <v>5</v>
      </c>
    </row>
    <row r="169" spans="1:8" x14ac:dyDescent="0.3">
      <c r="A169">
        <v>167</v>
      </c>
      <c r="B169">
        <v>168</v>
      </c>
      <c r="C169">
        <v>0.16669999999999999</v>
      </c>
      <c r="D169">
        <v>0.74</v>
      </c>
      <c r="E169">
        <v>0.16420000000000001</v>
      </c>
      <c r="F169">
        <v>0</v>
      </c>
      <c r="G169">
        <v>2</v>
      </c>
      <c r="H169">
        <v>2</v>
      </c>
    </row>
    <row r="170" spans="1:8" x14ac:dyDescent="0.3">
      <c r="A170">
        <v>168</v>
      </c>
      <c r="B170">
        <v>169</v>
      </c>
      <c r="C170">
        <v>0.18179999999999999</v>
      </c>
      <c r="D170">
        <v>0.74</v>
      </c>
      <c r="E170">
        <v>0.1045</v>
      </c>
      <c r="F170">
        <v>1</v>
      </c>
      <c r="G170">
        <v>8</v>
      </c>
      <c r="H170">
        <v>9</v>
      </c>
    </row>
    <row r="171" spans="1:8" x14ac:dyDescent="0.3">
      <c r="A171">
        <v>169</v>
      </c>
      <c r="B171">
        <v>170</v>
      </c>
      <c r="C171">
        <v>0.18179999999999999</v>
      </c>
      <c r="D171">
        <v>0.93</v>
      </c>
      <c r="E171">
        <v>0.1045</v>
      </c>
      <c r="F171">
        <v>0</v>
      </c>
      <c r="G171">
        <v>15</v>
      </c>
      <c r="H171">
        <v>15</v>
      </c>
    </row>
    <row r="172" spans="1:8" x14ac:dyDescent="0.3">
      <c r="A172">
        <v>170</v>
      </c>
      <c r="B172">
        <v>171</v>
      </c>
      <c r="C172">
        <v>0.18179999999999999</v>
      </c>
      <c r="D172">
        <v>0.93</v>
      </c>
      <c r="E172">
        <v>0.1045</v>
      </c>
      <c r="F172">
        <v>0</v>
      </c>
      <c r="G172">
        <v>20</v>
      </c>
      <c r="H172">
        <v>20</v>
      </c>
    </row>
    <row r="173" spans="1:8" x14ac:dyDescent="0.3">
      <c r="A173">
        <v>171</v>
      </c>
      <c r="B173">
        <v>172</v>
      </c>
      <c r="C173">
        <v>0.19700000000000001</v>
      </c>
      <c r="D173">
        <v>0.8</v>
      </c>
      <c r="E173">
        <v>0.16420000000000001</v>
      </c>
      <c r="F173">
        <v>5</v>
      </c>
      <c r="G173">
        <v>56</v>
      </c>
      <c r="H173">
        <v>61</v>
      </c>
    </row>
    <row r="174" spans="1:8" x14ac:dyDescent="0.3">
      <c r="A174">
        <v>172</v>
      </c>
      <c r="B174">
        <v>173</v>
      </c>
      <c r="C174">
        <v>0.18179999999999999</v>
      </c>
      <c r="D174">
        <v>0.69</v>
      </c>
      <c r="E174">
        <v>0.3881</v>
      </c>
      <c r="F174">
        <v>2</v>
      </c>
      <c r="G174">
        <v>60</v>
      </c>
      <c r="H174">
        <v>62</v>
      </c>
    </row>
    <row r="175" spans="1:8" x14ac:dyDescent="0.3">
      <c r="A175">
        <v>173</v>
      </c>
      <c r="B175">
        <v>174</v>
      </c>
      <c r="C175">
        <v>0.18179999999999999</v>
      </c>
      <c r="D175">
        <v>0.59</v>
      </c>
      <c r="E175">
        <v>0.35820000000000002</v>
      </c>
      <c r="F175">
        <v>8</v>
      </c>
      <c r="G175">
        <v>90</v>
      </c>
      <c r="H175">
        <v>98</v>
      </c>
    </row>
    <row r="176" spans="1:8" x14ac:dyDescent="0.3">
      <c r="A176">
        <v>174</v>
      </c>
      <c r="B176">
        <v>175</v>
      </c>
      <c r="C176">
        <v>0.18179999999999999</v>
      </c>
      <c r="D176">
        <v>0.44</v>
      </c>
      <c r="E176">
        <v>0.32840000000000003</v>
      </c>
      <c r="F176">
        <v>7</v>
      </c>
      <c r="G176">
        <v>95</v>
      </c>
      <c r="H176">
        <v>102</v>
      </c>
    </row>
    <row r="177" spans="1:8" x14ac:dyDescent="0.3">
      <c r="A177">
        <v>175</v>
      </c>
      <c r="B177">
        <v>176</v>
      </c>
      <c r="C177">
        <v>0.16669999999999999</v>
      </c>
      <c r="D177">
        <v>0.32</v>
      </c>
      <c r="E177">
        <v>0.49249999999999999</v>
      </c>
      <c r="F177">
        <v>12</v>
      </c>
      <c r="G177">
        <v>83</v>
      </c>
      <c r="H177">
        <v>95</v>
      </c>
    </row>
    <row r="178" spans="1:8" x14ac:dyDescent="0.3">
      <c r="A178">
        <v>176</v>
      </c>
      <c r="B178">
        <v>177</v>
      </c>
      <c r="C178">
        <v>0.16669999999999999</v>
      </c>
      <c r="D178">
        <v>0.32</v>
      </c>
      <c r="E178">
        <v>0.44779999999999998</v>
      </c>
      <c r="F178">
        <v>5</v>
      </c>
      <c r="G178">
        <v>69</v>
      </c>
      <c r="H178">
        <v>74</v>
      </c>
    </row>
    <row r="179" spans="1:8" x14ac:dyDescent="0.3">
      <c r="A179">
        <v>177</v>
      </c>
      <c r="B179">
        <v>178</v>
      </c>
      <c r="C179">
        <v>0.13639999999999999</v>
      </c>
      <c r="D179">
        <v>0.28999999999999998</v>
      </c>
      <c r="E179">
        <v>0.44779999999999998</v>
      </c>
      <c r="F179">
        <v>8</v>
      </c>
      <c r="G179">
        <v>68</v>
      </c>
      <c r="H179">
        <v>76</v>
      </c>
    </row>
    <row r="180" spans="1:8" x14ac:dyDescent="0.3">
      <c r="A180">
        <v>178</v>
      </c>
      <c r="B180">
        <v>179</v>
      </c>
      <c r="C180">
        <v>0.1212</v>
      </c>
      <c r="D180">
        <v>0.37</v>
      </c>
      <c r="E180">
        <v>0.55220000000000002</v>
      </c>
      <c r="F180">
        <v>5</v>
      </c>
      <c r="G180">
        <v>64</v>
      </c>
      <c r="H180">
        <v>69</v>
      </c>
    </row>
    <row r="181" spans="1:8" x14ac:dyDescent="0.3">
      <c r="A181">
        <v>179</v>
      </c>
      <c r="B181">
        <v>180</v>
      </c>
      <c r="C181">
        <v>0.1212</v>
      </c>
      <c r="D181">
        <v>0.39</v>
      </c>
      <c r="E181">
        <v>0.29849999999999999</v>
      </c>
      <c r="F181">
        <v>3</v>
      </c>
      <c r="G181">
        <v>52</v>
      </c>
      <c r="H181">
        <v>55</v>
      </c>
    </row>
    <row r="182" spans="1:8" x14ac:dyDescent="0.3">
      <c r="A182">
        <v>180</v>
      </c>
      <c r="B182">
        <v>181</v>
      </c>
      <c r="C182">
        <v>0.1212</v>
      </c>
      <c r="D182">
        <v>0.36</v>
      </c>
      <c r="E182">
        <v>0.25369999999999998</v>
      </c>
      <c r="F182">
        <v>4</v>
      </c>
      <c r="G182">
        <v>26</v>
      </c>
      <c r="H182">
        <v>30</v>
      </c>
    </row>
    <row r="183" spans="1:8" x14ac:dyDescent="0.3">
      <c r="A183">
        <v>181</v>
      </c>
      <c r="B183">
        <v>182</v>
      </c>
      <c r="C183">
        <v>0.1212</v>
      </c>
      <c r="D183">
        <v>0.36</v>
      </c>
      <c r="E183">
        <v>0.25369999999999998</v>
      </c>
      <c r="F183">
        <v>0</v>
      </c>
      <c r="G183">
        <v>28</v>
      </c>
      <c r="H183">
        <v>28</v>
      </c>
    </row>
    <row r="184" spans="1:8" x14ac:dyDescent="0.3">
      <c r="A184">
        <v>182</v>
      </c>
      <c r="B184">
        <v>183</v>
      </c>
      <c r="C184">
        <v>0.1061</v>
      </c>
      <c r="D184">
        <v>0.39</v>
      </c>
      <c r="E184">
        <v>0.35820000000000002</v>
      </c>
      <c r="F184">
        <v>2</v>
      </c>
      <c r="G184">
        <v>35</v>
      </c>
      <c r="H184">
        <v>37</v>
      </c>
    </row>
    <row r="185" spans="1:8" x14ac:dyDescent="0.3">
      <c r="A185">
        <v>183</v>
      </c>
      <c r="B185">
        <v>184</v>
      </c>
      <c r="C185">
        <v>0.1061</v>
      </c>
      <c r="D185">
        <v>0.36</v>
      </c>
      <c r="E185">
        <v>0.3881</v>
      </c>
      <c r="F185">
        <v>1</v>
      </c>
      <c r="G185">
        <v>33</v>
      </c>
      <c r="H185">
        <v>34</v>
      </c>
    </row>
    <row r="186" spans="1:8" x14ac:dyDescent="0.3">
      <c r="A186">
        <v>184</v>
      </c>
      <c r="B186">
        <v>185</v>
      </c>
      <c r="C186">
        <v>6.0600000000000001E-2</v>
      </c>
      <c r="D186">
        <v>0.39</v>
      </c>
      <c r="E186">
        <v>0.44779999999999998</v>
      </c>
      <c r="F186">
        <v>0</v>
      </c>
      <c r="G186">
        <v>22</v>
      </c>
      <c r="H186">
        <v>22</v>
      </c>
    </row>
    <row r="187" spans="1:8" x14ac:dyDescent="0.3">
      <c r="A187">
        <v>185</v>
      </c>
      <c r="B187">
        <v>186</v>
      </c>
      <c r="C187">
        <v>7.5800000000000006E-2</v>
      </c>
      <c r="D187">
        <v>0.42</v>
      </c>
      <c r="E187">
        <v>0.3881</v>
      </c>
      <c r="F187">
        <v>1</v>
      </c>
      <c r="G187">
        <v>24</v>
      </c>
      <c r="H187">
        <v>25</v>
      </c>
    </row>
    <row r="188" spans="1:8" x14ac:dyDescent="0.3">
      <c r="A188">
        <v>186</v>
      </c>
      <c r="B188">
        <v>187</v>
      </c>
      <c r="C188">
        <v>6.0600000000000001E-2</v>
      </c>
      <c r="D188">
        <v>0.42</v>
      </c>
      <c r="E188">
        <v>0.4627</v>
      </c>
      <c r="F188">
        <v>0</v>
      </c>
      <c r="G188">
        <v>12</v>
      </c>
      <c r="H188">
        <v>12</v>
      </c>
    </row>
    <row r="189" spans="1:8" x14ac:dyDescent="0.3">
      <c r="A189">
        <v>187</v>
      </c>
      <c r="B189">
        <v>188</v>
      </c>
      <c r="C189">
        <v>6.0600000000000001E-2</v>
      </c>
      <c r="D189">
        <v>0.46</v>
      </c>
      <c r="E189">
        <v>0.4627</v>
      </c>
      <c r="F189">
        <v>0</v>
      </c>
      <c r="G189">
        <v>11</v>
      </c>
      <c r="H189">
        <v>11</v>
      </c>
    </row>
    <row r="190" spans="1:8" x14ac:dyDescent="0.3">
      <c r="A190">
        <v>188</v>
      </c>
      <c r="B190">
        <v>189</v>
      </c>
      <c r="C190">
        <v>7.5800000000000006E-2</v>
      </c>
      <c r="D190">
        <v>0.46</v>
      </c>
      <c r="E190">
        <v>0.41789999999999999</v>
      </c>
      <c r="F190">
        <v>0</v>
      </c>
      <c r="G190">
        <v>4</v>
      </c>
      <c r="H190">
        <v>4</v>
      </c>
    </row>
    <row r="191" spans="1:8" x14ac:dyDescent="0.3">
      <c r="A191">
        <v>189</v>
      </c>
      <c r="B191">
        <v>190</v>
      </c>
      <c r="C191">
        <v>9.0899999999999995E-2</v>
      </c>
      <c r="D191">
        <v>0.53</v>
      </c>
      <c r="E191">
        <v>0.19400000000000001</v>
      </c>
      <c r="F191">
        <v>0</v>
      </c>
      <c r="G191">
        <v>1</v>
      </c>
      <c r="H191">
        <v>1</v>
      </c>
    </row>
    <row r="192" spans="1:8" x14ac:dyDescent="0.3">
      <c r="A192">
        <v>190</v>
      </c>
      <c r="B192">
        <v>191</v>
      </c>
      <c r="C192">
        <v>9.0899999999999995E-2</v>
      </c>
      <c r="D192">
        <v>0.53</v>
      </c>
      <c r="E192">
        <v>0.19400000000000001</v>
      </c>
      <c r="F192">
        <v>0</v>
      </c>
      <c r="G192">
        <v>1</v>
      </c>
      <c r="H192">
        <v>1</v>
      </c>
    </row>
    <row r="193" spans="1:8" x14ac:dyDescent="0.3">
      <c r="A193">
        <v>191</v>
      </c>
      <c r="B193">
        <v>192</v>
      </c>
      <c r="C193">
        <v>9.0899999999999995E-2</v>
      </c>
      <c r="D193">
        <v>0.49</v>
      </c>
      <c r="E193">
        <v>0.28360000000000002</v>
      </c>
      <c r="F193">
        <v>0</v>
      </c>
      <c r="G193">
        <v>1</v>
      </c>
      <c r="H193">
        <v>1</v>
      </c>
    </row>
    <row r="194" spans="1:8" x14ac:dyDescent="0.3">
      <c r="A194">
        <v>192</v>
      </c>
      <c r="B194">
        <v>193</v>
      </c>
      <c r="C194">
        <v>9.0899999999999995E-2</v>
      </c>
      <c r="D194">
        <v>0.53</v>
      </c>
      <c r="E194">
        <v>0.19400000000000001</v>
      </c>
      <c r="F194">
        <v>1</v>
      </c>
      <c r="G194">
        <v>5</v>
      </c>
      <c r="H194">
        <v>6</v>
      </c>
    </row>
    <row r="195" spans="1:8" x14ac:dyDescent="0.3">
      <c r="A195">
        <v>193</v>
      </c>
      <c r="B195">
        <v>194</v>
      </c>
      <c r="C195">
        <v>9.0899999999999995E-2</v>
      </c>
      <c r="D195">
        <v>0.49</v>
      </c>
      <c r="E195">
        <v>0.28360000000000002</v>
      </c>
      <c r="F195">
        <v>0</v>
      </c>
      <c r="G195">
        <v>10</v>
      </c>
      <c r="H195">
        <v>10</v>
      </c>
    </row>
    <row r="196" spans="1:8" x14ac:dyDescent="0.3">
      <c r="A196">
        <v>194</v>
      </c>
      <c r="B196">
        <v>195</v>
      </c>
      <c r="C196">
        <v>7.5800000000000006E-2</v>
      </c>
      <c r="D196">
        <v>0.46</v>
      </c>
      <c r="E196">
        <v>0.52239999999999998</v>
      </c>
      <c r="F196">
        <v>0</v>
      </c>
      <c r="G196">
        <v>19</v>
      </c>
      <c r="H196">
        <v>19</v>
      </c>
    </row>
    <row r="197" spans="1:8" x14ac:dyDescent="0.3">
      <c r="A197">
        <v>195</v>
      </c>
      <c r="B197">
        <v>196</v>
      </c>
      <c r="C197">
        <v>0.1061</v>
      </c>
      <c r="D197">
        <v>0.43</v>
      </c>
      <c r="E197">
        <v>0.3881</v>
      </c>
      <c r="F197">
        <v>0</v>
      </c>
      <c r="G197">
        <v>49</v>
      </c>
      <c r="H197">
        <v>49</v>
      </c>
    </row>
    <row r="198" spans="1:8" x14ac:dyDescent="0.3">
      <c r="A198">
        <v>196</v>
      </c>
      <c r="B198">
        <v>197</v>
      </c>
      <c r="C198">
        <v>0.1212</v>
      </c>
      <c r="D198">
        <v>0.4</v>
      </c>
      <c r="E198">
        <v>0.52239999999999998</v>
      </c>
      <c r="F198">
        <v>2</v>
      </c>
      <c r="G198">
        <v>47</v>
      </c>
      <c r="H198">
        <v>49</v>
      </c>
    </row>
    <row r="199" spans="1:8" x14ac:dyDescent="0.3">
      <c r="A199">
        <v>197</v>
      </c>
      <c r="B199">
        <v>198</v>
      </c>
      <c r="C199">
        <v>0.13639999999999999</v>
      </c>
      <c r="D199">
        <v>0.37</v>
      </c>
      <c r="E199">
        <v>0.44779999999999998</v>
      </c>
      <c r="F199">
        <v>4</v>
      </c>
      <c r="G199">
        <v>79</v>
      </c>
      <c r="H199">
        <v>83</v>
      </c>
    </row>
    <row r="200" spans="1:8" x14ac:dyDescent="0.3">
      <c r="A200">
        <v>198</v>
      </c>
      <c r="B200">
        <v>199</v>
      </c>
      <c r="C200">
        <v>0.16669999999999999</v>
      </c>
      <c r="D200">
        <v>0.34</v>
      </c>
      <c r="E200">
        <v>0.44779999999999998</v>
      </c>
      <c r="F200">
        <v>6</v>
      </c>
      <c r="G200">
        <v>69</v>
      </c>
      <c r="H200">
        <v>75</v>
      </c>
    </row>
    <row r="201" spans="1:8" x14ac:dyDescent="0.3">
      <c r="A201">
        <v>199</v>
      </c>
      <c r="B201">
        <v>200</v>
      </c>
      <c r="C201">
        <v>0.18179999999999999</v>
      </c>
      <c r="D201">
        <v>0.32</v>
      </c>
      <c r="E201">
        <v>0.4627</v>
      </c>
      <c r="F201">
        <v>8</v>
      </c>
      <c r="G201">
        <v>64</v>
      </c>
      <c r="H201">
        <v>72</v>
      </c>
    </row>
    <row r="202" spans="1:8" x14ac:dyDescent="0.3">
      <c r="A202">
        <v>200</v>
      </c>
      <c r="B202">
        <v>201</v>
      </c>
      <c r="C202">
        <v>0.19700000000000001</v>
      </c>
      <c r="D202">
        <v>0.35</v>
      </c>
      <c r="E202">
        <v>0.35820000000000002</v>
      </c>
      <c r="F202">
        <v>5</v>
      </c>
      <c r="G202">
        <v>77</v>
      </c>
      <c r="H202">
        <v>82</v>
      </c>
    </row>
    <row r="203" spans="1:8" x14ac:dyDescent="0.3">
      <c r="A203">
        <v>201</v>
      </c>
      <c r="B203">
        <v>202</v>
      </c>
      <c r="C203">
        <v>0.16669999999999999</v>
      </c>
      <c r="D203">
        <v>0.34</v>
      </c>
      <c r="E203">
        <v>0.44779999999999998</v>
      </c>
      <c r="F203">
        <v>13</v>
      </c>
      <c r="G203">
        <v>79</v>
      </c>
      <c r="H203">
        <v>92</v>
      </c>
    </row>
    <row r="204" spans="1:8" x14ac:dyDescent="0.3">
      <c r="A204">
        <v>202</v>
      </c>
      <c r="B204">
        <v>203</v>
      </c>
      <c r="C204">
        <v>0.1515</v>
      </c>
      <c r="D204">
        <v>0.37</v>
      </c>
      <c r="E204">
        <v>0.3881</v>
      </c>
      <c r="F204">
        <v>3</v>
      </c>
      <c r="G204">
        <v>59</v>
      </c>
      <c r="H204">
        <v>62</v>
      </c>
    </row>
    <row r="205" spans="1:8" x14ac:dyDescent="0.3">
      <c r="A205">
        <v>203</v>
      </c>
      <c r="B205">
        <v>204</v>
      </c>
      <c r="C205">
        <v>0.13639999999999999</v>
      </c>
      <c r="D205">
        <v>0.4</v>
      </c>
      <c r="E205">
        <v>0.32840000000000003</v>
      </c>
      <c r="F205">
        <v>4</v>
      </c>
      <c r="G205">
        <v>44</v>
      </c>
      <c r="H205">
        <v>48</v>
      </c>
    </row>
    <row r="206" spans="1:8" x14ac:dyDescent="0.3">
      <c r="A206">
        <v>204</v>
      </c>
      <c r="B206">
        <v>205</v>
      </c>
      <c r="C206">
        <v>0.13639999999999999</v>
      </c>
      <c r="D206">
        <v>0.43</v>
      </c>
      <c r="E206">
        <v>0.32840000000000003</v>
      </c>
      <c r="F206">
        <v>1</v>
      </c>
      <c r="G206">
        <v>40</v>
      </c>
      <c r="H206">
        <v>41</v>
      </c>
    </row>
    <row r="207" spans="1:8" x14ac:dyDescent="0.3">
      <c r="A207">
        <v>205</v>
      </c>
      <c r="B207">
        <v>206</v>
      </c>
      <c r="C207">
        <v>0.1212</v>
      </c>
      <c r="D207">
        <v>0.46</v>
      </c>
      <c r="E207">
        <v>0.25369999999999998</v>
      </c>
      <c r="F207">
        <v>0</v>
      </c>
      <c r="G207">
        <v>38</v>
      </c>
      <c r="H207">
        <v>38</v>
      </c>
    </row>
    <row r="208" spans="1:8" x14ac:dyDescent="0.3">
      <c r="A208">
        <v>206</v>
      </c>
      <c r="B208">
        <v>207</v>
      </c>
      <c r="C208">
        <v>0.1061</v>
      </c>
      <c r="D208">
        <v>0.46</v>
      </c>
      <c r="E208">
        <v>0.41789999999999999</v>
      </c>
      <c r="F208">
        <v>1</v>
      </c>
      <c r="G208">
        <v>19</v>
      </c>
      <c r="H208">
        <v>20</v>
      </c>
    </row>
    <row r="209" spans="1:8" x14ac:dyDescent="0.3">
      <c r="A209">
        <v>207</v>
      </c>
      <c r="B209">
        <v>208</v>
      </c>
      <c r="C209">
        <v>0.1212</v>
      </c>
      <c r="D209">
        <v>0.46</v>
      </c>
      <c r="E209">
        <v>0.29849999999999999</v>
      </c>
      <c r="F209">
        <v>5</v>
      </c>
      <c r="G209">
        <v>10</v>
      </c>
      <c r="H209">
        <v>15</v>
      </c>
    </row>
    <row r="210" spans="1:8" x14ac:dyDescent="0.3">
      <c r="A210">
        <v>208</v>
      </c>
      <c r="B210">
        <v>209</v>
      </c>
      <c r="C210">
        <v>0.13639999999999999</v>
      </c>
      <c r="D210">
        <v>0.5</v>
      </c>
      <c r="E210">
        <v>0.19400000000000001</v>
      </c>
      <c r="F210">
        <v>0</v>
      </c>
      <c r="G210">
        <v>6</v>
      </c>
      <c r="H210">
        <v>6</v>
      </c>
    </row>
    <row r="211" spans="1:8" x14ac:dyDescent="0.3">
      <c r="A211">
        <v>209</v>
      </c>
      <c r="B211">
        <v>210</v>
      </c>
      <c r="C211">
        <v>0.1212</v>
      </c>
      <c r="D211">
        <v>0.5</v>
      </c>
      <c r="E211">
        <v>0.28360000000000002</v>
      </c>
      <c r="F211">
        <v>2</v>
      </c>
      <c r="G211">
        <v>3</v>
      </c>
      <c r="H211">
        <v>5</v>
      </c>
    </row>
    <row r="212" spans="1:8" x14ac:dyDescent="0.3">
      <c r="A212">
        <v>210</v>
      </c>
      <c r="B212">
        <v>211</v>
      </c>
      <c r="C212">
        <v>0.1212</v>
      </c>
      <c r="D212">
        <v>0.5</v>
      </c>
      <c r="E212">
        <v>0.28360000000000002</v>
      </c>
      <c r="F212">
        <v>1</v>
      </c>
      <c r="G212">
        <v>0</v>
      </c>
      <c r="H212">
        <v>1</v>
      </c>
    </row>
    <row r="213" spans="1:8" x14ac:dyDescent="0.3">
      <c r="A213">
        <v>211</v>
      </c>
      <c r="B213">
        <v>212</v>
      </c>
      <c r="C213">
        <v>0.1212</v>
      </c>
      <c r="D213">
        <v>0.5</v>
      </c>
      <c r="E213">
        <v>0.22389999999999999</v>
      </c>
      <c r="F213">
        <v>0</v>
      </c>
      <c r="G213">
        <v>3</v>
      </c>
      <c r="H213">
        <v>3</v>
      </c>
    </row>
    <row r="214" spans="1:8" x14ac:dyDescent="0.3">
      <c r="A214">
        <v>212</v>
      </c>
      <c r="B214">
        <v>213</v>
      </c>
      <c r="C214">
        <v>0.1212</v>
      </c>
      <c r="D214">
        <v>0.5</v>
      </c>
      <c r="E214">
        <v>0.22389999999999999</v>
      </c>
      <c r="F214">
        <v>0</v>
      </c>
      <c r="G214">
        <v>1</v>
      </c>
      <c r="H214">
        <v>1</v>
      </c>
    </row>
    <row r="215" spans="1:8" x14ac:dyDescent="0.3">
      <c r="A215">
        <v>213</v>
      </c>
      <c r="B215">
        <v>214</v>
      </c>
      <c r="C215">
        <v>0.1212</v>
      </c>
      <c r="D215">
        <v>0.54</v>
      </c>
      <c r="E215">
        <v>0.1343</v>
      </c>
      <c r="F215">
        <v>1</v>
      </c>
      <c r="G215">
        <v>2</v>
      </c>
      <c r="H215">
        <v>3</v>
      </c>
    </row>
    <row r="216" spans="1:8" x14ac:dyDescent="0.3">
      <c r="A216">
        <v>214</v>
      </c>
      <c r="B216">
        <v>215</v>
      </c>
      <c r="C216">
        <v>0.1061</v>
      </c>
      <c r="D216">
        <v>0.54</v>
      </c>
      <c r="E216">
        <v>0.25369999999999998</v>
      </c>
      <c r="F216">
        <v>0</v>
      </c>
      <c r="G216">
        <v>3</v>
      </c>
      <c r="H216">
        <v>3</v>
      </c>
    </row>
    <row r="217" spans="1:8" x14ac:dyDescent="0.3">
      <c r="A217">
        <v>215</v>
      </c>
      <c r="B217">
        <v>216</v>
      </c>
      <c r="C217">
        <v>0.1212</v>
      </c>
      <c r="D217">
        <v>0.5</v>
      </c>
      <c r="E217">
        <v>0.28360000000000002</v>
      </c>
      <c r="F217">
        <v>0</v>
      </c>
      <c r="G217">
        <v>31</v>
      </c>
      <c r="H217">
        <v>31</v>
      </c>
    </row>
    <row r="218" spans="1:8" x14ac:dyDescent="0.3">
      <c r="A218">
        <v>216</v>
      </c>
      <c r="B218">
        <v>217</v>
      </c>
      <c r="C218">
        <v>0.1212</v>
      </c>
      <c r="D218">
        <v>0.5</v>
      </c>
      <c r="E218">
        <v>0.22389999999999999</v>
      </c>
      <c r="F218">
        <v>2</v>
      </c>
      <c r="G218">
        <v>75</v>
      </c>
      <c r="H218">
        <v>77</v>
      </c>
    </row>
    <row r="219" spans="1:8" x14ac:dyDescent="0.3">
      <c r="A219">
        <v>217</v>
      </c>
      <c r="B219">
        <v>218</v>
      </c>
      <c r="C219">
        <v>0.1212</v>
      </c>
      <c r="D219">
        <v>0.5</v>
      </c>
      <c r="E219">
        <v>0.28360000000000002</v>
      </c>
      <c r="F219">
        <v>4</v>
      </c>
      <c r="G219">
        <v>184</v>
      </c>
      <c r="H219">
        <v>188</v>
      </c>
    </row>
    <row r="220" spans="1:8" x14ac:dyDescent="0.3">
      <c r="A220">
        <v>218</v>
      </c>
      <c r="B220">
        <v>219</v>
      </c>
      <c r="C220">
        <v>0.1212</v>
      </c>
      <c r="D220">
        <v>0.5</v>
      </c>
      <c r="E220">
        <v>0.25369999999999998</v>
      </c>
      <c r="F220">
        <v>2</v>
      </c>
      <c r="G220">
        <v>92</v>
      </c>
      <c r="H220">
        <v>94</v>
      </c>
    </row>
    <row r="221" spans="1:8" x14ac:dyDescent="0.3">
      <c r="A221">
        <v>219</v>
      </c>
      <c r="B221">
        <v>220</v>
      </c>
      <c r="C221">
        <v>0.1212</v>
      </c>
      <c r="D221">
        <v>0.5</v>
      </c>
      <c r="E221">
        <v>0.29849999999999999</v>
      </c>
      <c r="F221">
        <v>0</v>
      </c>
      <c r="G221">
        <v>31</v>
      </c>
      <c r="H221">
        <v>31</v>
      </c>
    </row>
    <row r="222" spans="1:8" x14ac:dyDescent="0.3">
      <c r="A222">
        <v>220</v>
      </c>
      <c r="B222">
        <v>221</v>
      </c>
      <c r="C222">
        <v>0.13639999999999999</v>
      </c>
      <c r="D222">
        <v>0.47</v>
      </c>
      <c r="E222">
        <v>0.28360000000000002</v>
      </c>
      <c r="F222">
        <v>2</v>
      </c>
      <c r="G222">
        <v>28</v>
      </c>
      <c r="H222">
        <v>30</v>
      </c>
    </row>
    <row r="223" spans="1:8" x14ac:dyDescent="0.3">
      <c r="A223">
        <v>221</v>
      </c>
      <c r="B223">
        <v>222</v>
      </c>
      <c r="C223">
        <v>0.18179999999999999</v>
      </c>
      <c r="D223">
        <v>0.4</v>
      </c>
      <c r="E223">
        <v>0.28360000000000002</v>
      </c>
      <c r="F223">
        <v>5</v>
      </c>
      <c r="G223">
        <v>47</v>
      </c>
      <c r="H223">
        <v>52</v>
      </c>
    </row>
    <row r="224" spans="1:8" x14ac:dyDescent="0.3">
      <c r="A224">
        <v>222</v>
      </c>
      <c r="B224">
        <v>223</v>
      </c>
      <c r="C224">
        <v>0.18179999999999999</v>
      </c>
      <c r="D224">
        <v>0.4</v>
      </c>
      <c r="E224">
        <v>0.28360000000000002</v>
      </c>
      <c r="F224">
        <v>4</v>
      </c>
      <c r="G224">
        <v>50</v>
      </c>
      <c r="H224">
        <v>54</v>
      </c>
    </row>
    <row r="225" spans="1:8" x14ac:dyDescent="0.3">
      <c r="A225">
        <v>223</v>
      </c>
      <c r="B225">
        <v>224</v>
      </c>
      <c r="C225">
        <v>0.19700000000000001</v>
      </c>
      <c r="D225">
        <v>0.4</v>
      </c>
      <c r="E225">
        <v>0.22389999999999999</v>
      </c>
      <c r="F225">
        <v>0</v>
      </c>
      <c r="G225">
        <v>47</v>
      </c>
      <c r="H225">
        <v>47</v>
      </c>
    </row>
    <row r="226" spans="1:8" x14ac:dyDescent="0.3">
      <c r="A226">
        <v>224</v>
      </c>
      <c r="B226">
        <v>225</v>
      </c>
      <c r="C226">
        <v>0.19700000000000001</v>
      </c>
      <c r="D226">
        <v>0.4</v>
      </c>
      <c r="E226">
        <v>0.22389999999999999</v>
      </c>
      <c r="F226">
        <v>2</v>
      </c>
      <c r="G226">
        <v>43</v>
      </c>
      <c r="H226">
        <v>45</v>
      </c>
    </row>
    <row r="227" spans="1:8" x14ac:dyDescent="0.3">
      <c r="A227">
        <v>225</v>
      </c>
      <c r="B227">
        <v>226</v>
      </c>
      <c r="C227">
        <v>0.21210000000000001</v>
      </c>
      <c r="D227">
        <v>0.4</v>
      </c>
      <c r="E227">
        <v>0.1343</v>
      </c>
      <c r="F227">
        <v>4</v>
      </c>
      <c r="G227">
        <v>70</v>
      </c>
      <c r="H227">
        <v>74</v>
      </c>
    </row>
    <row r="228" spans="1:8" x14ac:dyDescent="0.3">
      <c r="A228">
        <v>226</v>
      </c>
      <c r="B228">
        <v>227</v>
      </c>
      <c r="C228">
        <v>0.2273</v>
      </c>
      <c r="D228">
        <v>0.4</v>
      </c>
      <c r="E228">
        <v>0.1045</v>
      </c>
      <c r="F228">
        <v>4</v>
      </c>
      <c r="G228">
        <v>174</v>
      </c>
      <c r="H228">
        <v>178</v>
      </c>
    </row>
    <row r="229" spans="1:8" x14ac:dyDescent="0.3">
      <c r="A229">
        <v>227</v>
      </c>
      <c r="B229">
        <v>228</v>
      </c>
      <c r="C229">
        <v>0.19700000000000001</v>
      </c>
      <c r="D229">
        <v>0.4</v>
      </c>
      <c r="E229">
        <v>0.22389999999999999</v>
      </c>
      <c r="F229">
        <v>1</v>
      </c>
      <c r="G229">
        <v>154</v>
      </c>
      <c r="H229">
        <v>155</v>
      </c>
    </row>
    <row r="230" spans="1:8" x14ac:dyDescent="0.3">
      <c r="A230">
        <v>228</v>
      </c>
      <c r="B230">
        <v>229</v>
      </c>
      <c r="C230">
        <v>0.16669999999999999</v>
      </c>
      <c r="D230">
        <v>0.47</v>
      </c>
      <c r="E230">
        <v>0.16420000000000001</v>
      </c>
      <c r="F230">
        <v>3</v>
      </c>
      <c r="G230">
        <v>92</v>
      </c>
      <c r="H230">
        <v>95</v>
      </c>
    </row>
    <row r="231" spans="1:8" x14ac:dyDescent="0.3">
      <c r="A231">
        <v>229</v>
      </c>
      <c r="B231">
        <v>230</v>
      </c>
      <c r="C231">
        <v>0.16669999999999999</v>
      </c>
      <c r="D231">
        <v>0.5</v>
      </c>
      <c r="E231">
        <v>0.16420000000000001</v>
      </c>
      <c r="F231">
        <v>1</v>
      </c>
      <c r="G231">
        <v>73</v>
      </c>
      <c r="H231">
        <v>74</v>
      </c>
    </row>
    <row r="232" spans="1:8" x14ac:dyDescent="0.3">
      <c r="A232">
        <v>230</v>
      </c>
      <c r="B232">
        <v>231</v>
      </c>
      <c r="C232">
        <v>0.13639999999999999</v>
      </c>
      <c r="D232">
        <v>0.59</v>
      </c>
      <c r="E232">
        <v>0.19400000000000001</v>
      </c>
      <c r="F232">
        <v>1</v>
      </c>
      <c r="G232">
        <v>37</v>
      </c>
      <c r="H232">
        <v>38</v>
      </c>
    </row>
    <row r="233" spans="1:8" x14ac:dyDescent="0.3">
      <c r="A233">
        <v>231</v>
      </c>
      <c r="B233">
        <v>232</v>
      </c>
      <c r="C233">
        <v>0.1515</v>
      </c>
      <c r="D233">
        <v>0.59</v>
      </c>
      <c r="E233">
        <v>0.16420000000000001</v>
      </c>
      <c r="F233">
        <v>2</v>
      </c>
      <c r="G233">
        <v>22</v>
      </c>
      <c r="H233">
        <v>24</v>
      </c>
    </row>
    <row r="234" spans="1:8" x14ac:dyDescent="0.3">
      <c r="A234">
        <v>232</v>
      </c>
      <c r="B234">
        <v>233</v>
      </c>
      <c r="C234">
        <v>0.1515</v>
      </c>
      <c r="D234">
        <v>0.59</v>
      </c>
      <c r="E234">
        <v>0.16420000000000001</v>
      </c>
      <c r="F234">
        <v>0</v>
      </c>
      <c r="G234">
        <v>18</v>
      </c>
      <c r="H234">
        <v>18</v>
      </c>
    </row>
    <row r="235" spans="1:8" x14ac:dyDescent="0.3">
      <c r="A235">
        <v>233</v>
      </c>
      <c r="B235">
        <v>234</v>
      </c>
      <c r="C235">
        <v>0.16669999999999999</v>
      </c>
      <c r="D235">
        <v>0.59</v>
      </c>
      <c r="E235">
        <v>0.1045</v>
      </c>
      <c r="F235">
        <v>2</v>
      </c>
      <c r="G235">
        <v>10</v>
      </c>
      <c r="H235">
        <v>12</v>
      </c>
    </row>
    <row r="236" spans="1:8" x14ac:dyDescent="0.3">
      <c r="A236">
        <v>234</v>
      </c>
      <c r="B236">
        <v>235</v>
      </c>
      <c r="C236">
        <v>0.1515</v>
      </c>
      <c r="D236">
        <v>0.59</v>
      </c>
      <c r="E236">
        <v>0.16420000000000001</v>
      </c>
      <c r="F236">
        <v>0</v>
      </c>
      <c r="G236">
        <v>3</v>
      </c>
      <c r="H236">
        <v>3</v>
      </c>
    </row>
    <row r="237" spans="1:8" x14ac:dyDescent="0.3">
      <c r="A237">
        <v>235</v>
      </c>
      <c r="B237">
        <v>236</v>
      </c>
      <c r="C237">
        <v>0.1515</v>
      </c>
      <c r="D237">
        <v>0.55000000000000004</v>
      </c>
      <c r="E237">
        <v>0.19400000000000001</v>
      </c>
      <c r="F237">
        <v>0</v>
      </c>
      <c r="G237">
        <v>3</v>
      </c>
      <c r="H237">
        <v>3</v>
      </c>
    </row>
    <row r="238" spans="1:8" x14ac:dyDescent="0.3">
      <c r="A238">
        <v>236</v>
      </c>
      <c r="B238">
        <v>237</v>
      </c>
      <c r="C238">
        <v>0.18179999999999999</v>
      </c>
      <c r="D238">
        <v>0.55000000000000004</v>
      </c>
      <c r="E238">
        <v>0.1343</v>
      </c>
      <c r="F238">
        <v>0</v>
      </c>
      <c r="G238">
        <v>6</v>
      </c>
      <c r="H238">
        <v>6</v>
      </c>
    </row>
    <row r="239" spans="1:8" x14ac:dyDescent="0.3">
      <c r="A239">
        <v>237</v>
      </c>
      <c r="B239">
        <v>238</v>
      </c>
      <c r="C239">
        <v>0.18179999999999999</v>
      </c>
      <c r="D239">
        <v>0.55000000000000004</v>
      </c>
      <c r="E239">
        <v>0.1343</v>
      </c>
      <c r="F239">
        <v>0</v>
      </c>
      <c r="G239">
        <v>27</v>
      </c>
      <c r="H239">
        <v>27</v>
      </c>
    </row>
    <row r="240" spans="1:8" x14ac:dyDescent="0.3">
      <c r="A240">
        <v>238</v>
      </c>
      <c r="B240">
        <v>239</v>
      </c>
      <c r="C240">
        <v>0.2273</v>
      </c>
      <c r="D240">
        <v>0.55000000000000004</v>
      </c>
      <c r="E240">
        <v>0</v>
      </c>
      <c r="F240">
        <v>2</v>
      </c>
      <c r="G240">
        <v>97</v>
      </c>
      <c r="H240">
        <v>99</v>
      </c>
    </row>
    <row r="241" spans="1:8" x14ac:dyDescent="0.3">
      <c r="A241">
        <v>239</v>
      </c>
      <c r="B241">
        <v>240</v>
      </c>
      <c r="C241">
        <v>0.21210000000000001</v>
      </c>
      <c r="D241">
        <v>0.51</v>
      </c>
      <c r="E241">
        <v>8.9599999999999999E-2</v>
      </c>
      <c r="F241">
        <v>3</v>
      </c>
      <c r="G241">
        <v>214</v>
      </c>
      <c r="H241">
        <v>217</v>
      </c>
    </row>
    <row r="242" spans="1:8" x14ac:dyDescent="0.3">
      <c r="A242">
        <v>240</v>
      </c>
      <c r="B242">
        <v>241</v>
      </c>
      <c r="C242">
        <v>0.19700000000000001</v>
      </c>
      <c r="D242">
        <v>0.51</v>
      </c>
      <c r="E242">
        <v>0.16420000000000001</v>
      </c>
      <c r="F242">
        <v>3</v>
      </c>
      <c r="G242">
        <v>127</v>
      </c>
      <c r="H242">
        <v>130</v>
      </c>
    </row>
    <row r="243" spans="1:8" x14ac:dyDescent="0.3">
      <c r="A243">
        <v>241</v>
      </c>
      <c r="B243">
        <v>242</v>
      </c>
      <c r="C243">
        <v>0.21210000000000001</v>
      </c>
      <c r="D243">
        <v>0.51</v>
      </c>
      <c r="E243">
        <v>0.16420000000000001</v>
      </c>
      <c r="F243">
        <v>3</v>
      </c>
      <c r="G243">
        <v>51</v>
      </c>
      <c r="H243">
        <v>54</v>
      </c>
    </row>
    <row r="244" spans="1:8" x14ac:dyDescent="0.3">
      <c r="A244">
        <v>242</v>
      </c>
      <c r="B244">
        <v>243</v>
      </c>
      <c r="C244">
        <v>0.21210000000000001</v>
      </c>
      <c r="D244">
        <v>0.47</v>
      </c>
      <c r="E244">
        <v>0.1343</v>
      </c>
      <c r="F244">
        <v>4</v>
      </c>
      <c r="G244">
        <v>31</v>
      </c>
      <c r="H244">
        <v>35</v>
      </c>
    </row>
    <row r="245" spans="1:8" x14ac:dyDescent="0.3">
      <c r="A245">
        <v>243</v>
      </c>
      <c r="B245">
        <v>244</v>
      </c>
      <c r="C245">
        <v>0.2273</v>
      </c>
      <c r="D245">
        <v>0.51</v>
      </c>
      <c r="E245">
        <v>0.1045</v>
      </c>
      <c r="F245">
        <v>2</v>
      </c>
      <c r="G245">
        <v>55</v>
      </c>
      <c r="H245">
        <v>57</v>
      </c>
    </row>
    <row r="246" spans="1:8" x14ac:dyDescent="0.3">
      <c r="A246">
        <v>244</v>
      </c>
      <c r="B246">
        <v>245</v>
      </c>
      <c r="C246">
        <v>0.2273</v>
      </c>
      <c r="D246">
        <v>0.59</v>
      </c>
      <c r="E246">
        <v>8.9599999999999999E-2</v>
      </c>
      <c r="F246">
        <v>6</v>
      </c>
      <c r="G246">
        <v>46</v>
      </c>
      <c r="H246">
        <v>52</v>
      </c>
    </row>
    <row r="247" spans="1:8" x14ac:dyDescent="0.3">
      <c r="A247">
        <v>245</v>
      </c>
      <c r="B247">
        <v>246</v>
      </c>
      <c r="C247">
        <v>0.2273</v>
      </c>
      <c r="D247">
        <v>0.59</v>
      </c>
      <c r="E247">
        <v>8.9599999999999999E-2</v>
      </c>
      <c r="F247">
        <v>3</v>
      </c>
      <c r="G247">
        <v>60</v>
      </c>
      <c r="H247">
        <v>63</v>
      </c>
    </row>
    <row r="248" spans="1:8" x14ac:dyDescent="0.3">
      <c r="A248">
        <v>246</v>
      </c>
      <c r="B248">
        <v>247</v>
      </c>
      <c r="C248">
        <v>0.19700000000000001</v>
      </c>
      <c r="D248">
        <v>0.8</v>
      </c>
      <c r="E248">
        <v>8.9599999999999999E-2</v>
      </c>
      <c r="F248">
        <v>2</v>
      </c>
      <c r="G248">
        <v>45</v>
      </c>
      <c r="H248">
        <v>47</v>
      </c>
    </row>
    <row r="249" spans="1:8" x14ac:dyDescent="0.3">
      <c r="A249">
        <v>247</v>
      </c>
      <c r="B249">
        <v>248</v>
      </c>
      <c r="C249">
        <v>0.1515</v>
      </c>
      <c r="D249">
        <v>0.86</v>
      </c>
      <c r="E249">
        <v>0.22389999999999999</v>
      </c>
      <c r="F249">
        <v>4</v>
      </c>
      <c r="G249">
        <v>72</v>
      </c>
      <c r="H249">
        <v>76</v>
      </c>
    </row>
    <row r="250" spans="1:8" x14ac:dyDescent="0.3">
      <c r="A250">
        <v>248</v>
      </c>
      <c r="B250">
        <v>249</v>
      </c>
      <c r="C250">
        <v>0.1515</v>
      </c>
      <c r="D250">
        <v>0.86</v>
      </c>
      <c r="E250">
        <v>0.22389999999999999</v>
      </c>
      <c r="F250">
        <v>6</v>
      </c>
      <c r="G250">
        <v>130</v>
      </c>
      <c r="H250">
        <v>136</v>
      </c>
    </row>
    <row r="251" spans="1:8" x14ac:dyDescent="0.3">
      <c r="A251">
        <v>249</v>
      </c>
      <c r="B251">
        <v>250</v>
      </c>
      <c r="C251">
        <v>0.18179999999999999</v>
      </c>
      <c r="D251">
        <v>0.93</v>
      </c>
      <c r="E251">
        <v>0.1045</v>
      </c>
      <c r="F251">
        <v>1</v>
      </c>
      <c r="G251">
        <v>94</v>
      </c>
      <c r="H251">
        <v>95</v>
      </c>
    </row>
    <row r="252" spans="1:8" x14ac:dyDescent="0.3">
      <c r="A252">
        <v>250</v>
      </c>
      <c r="B252">
        <v>251</v>
      </c>
      <c r="C252">
        <v>0.2273</v>
      </c>
      <c r="D252">
        <v>0.93</v>
      </c>
      <c r="E252">
        <v>0</v>
      </c>
      <c r="F252">
        <v>0</v>
      </c>
      <c r="G252">
        <v>51</v>
      </c>
      <c r="H252">
        <v>51</v>
      </c>
    </row>
    <row r="253" spans="1:8" x14ac:dyDescent="0.3">
      <c r="A253">
        <v>251</v>
      </c>
      <c r="B253">
        <v>252</v>
      </c>
      <c r="C253">
        <v>0.1515</v>
      </c>
      <c r="D253">
        <v>0.93</v>
      </c>
      <c r="E253">
        <v>0.19400000000000001</v>
      </c>
      <c r="F253">
        <v>0</v>
      </c>
      <c r="G253">
        <v>32</v>
      </c>
      <c r="H253">
        <v>32</v>
      </c>
    </row>
    <row r="254" spans="1:8" x14ac:dyDescent="0.3">
      <c r="A254">
        <v>252</v>
      </c>
      <c r="B254">
        <v>253</v>
      </c>
      <c r="C254">
        <v>0.19700000000000001</v>
      </c>
      <c r="D254">
        <v>0.86</v>
      </c>
      <c r="E254">
        <v>8.9599999999999999E-2</v>
      </c>
      <c r="F254">
        <v>0</v>
      </c>
      <c r="G254">
        <v>20</v>
      </c>
      <c r="H254">
        <v>20</v>
      </c>
    </row>
    <row r="255" spans="1:8" x14ac:dyDescent="0.3">
      <c r="A255">
        <v>253</v>
      </c>
      <c r="B255">
        <v>254</v>
      </c>
      <c r="C255">
        <v>0.18179999999999999</v>
      </c>
      <c r="D255">
        <v>0.93</v>
      </c>
      <c r="E255">
        <v>0.1045</v>
      </c>
      <c r="F255">
        <v>1</v>
      </c>
      <c r="G255">
        <v>28</v>
      </c>
      <c r="H255">
        <v>29</v>
      </c>
    </row>
    <row r="256" spans="1:8" x14ac:dyDescent="0.3">
      <c r="A256">
        <v>254</v>
      </c>
      <c r="B256">
        <v>255</v>
      </c>
      <c r="C256">
        <v>0.19700000000000001</v>
      </c>
      <c r="D256">
        <v>0.93</v>
      </c>
      <c r="E256">
        <v>8.9599999999999999E-2</v>
      </c>
      <c r="F256">
        <v>1</v>
      </c>
      <c r="G256">
        <v>18</v>
      </c>
      <c r="H256">
        <v>19</v>
      </c>
    </row>
    <row r="257" spans="1:8" x14ac:dyDescent="0.3">
      <c r="A257">
        <v>255</v>
      </c>
      <c r="B257">
        <v>256</v>
      </c>
      <c r="C257">
        <v>0.19700000000000001</v>
      </c>
      <c r="D257">
        <v>0.86</v>
      </c>
      <c r="E257">
        <v>8.9599999999999999E-2</v>
      </c>
      <c r="F257">
        <v>0</v>
      </c>
      <c r="G257">
        <v>7</v>
      </c>
      <c r="H257">
        <v>7</v>
      </c>
    </row>
    <row r="258" spans="1:8" x14ac:dyDescent="0.3">
      <c r="A258">
        <v>256</v>
      </c>
      <c r="B258">
        <v>257</v>
      </c>
      <c r="C258">
        <v>0.18179999999999999</v>
      </c>
      <c r="D258">
        <v>0.86</v>
      </c>
      <c r="E258">
        <v>0.1045</v>
      </c>
      <c r="F258">
        <v>0</v>
      </c>
      <c r="G258">
        <v>6</v>
      </c>
      <c r="H258">
        <v>6</v>
      </c>
    </row>
    <row r="259" spans="1:8" x14ac:dyDescent="0.3">
      <c r="A259">
        <v>257</v>
      </c>
      <c r="B259">
        <v>258</v>
      </c>
      <c r="C259">
        <v>0.1515</v>
      </c>
      <c r="D259">
        <v>0.86</v>
      </c>
      <c r="E259">
        <v>0.1343</v>
      </c>
      <c r="F259">
        <v>0</v>
      </c>
      <c r="G259">
        <v>1</v>
      </c>
      <c r="H259">
        <v>1</v>
      </c>
    </row>
    <row r="260" spans="1:8" x14ac:dyDescent="0.3">
      <c r="A260">
        <v>258</v>
      </c>
      <c r="B260">
        <v>259</v>
      </c>
      <c r="C260">
        <v>0.1515</v>
      </c>
      <c r="D260">
        <v>0.86</v>
      </c>
      <c r="E260">
        <v>0.16420000000000001</v>
      </c>
      <c r="F260">
        <v>0</v>
      </c>
      <c r="G260">
        <v>5</v>
      </c>
      <c r="H260">
        <v>5</v>
      </c>
    </row>
    <row r="261" spans="1:8" x14ac:dyDescent="0.3">
      <c r="A261">
        <v>259</v>
      </c>
      <c r="B261">
        <v>260</v>
      </c>
      <c r="C261">
        <v>0.1515</v>
      </c>
      <c r="D261">
        <v>0.93</v>
      </c>
      <c r="E261">
        <v>0.1343</v>
      </c>
      <c r="F261">
        <v>0</v>
      </c>
      <c r="G261">
        <v>16</v>
      </c>
      <c r="H261">
        <v>16</v>
      </c>
    </row>
    <row r="262" spans="1:8" x14ac:dyDescent="0.3">
      <c r="A262">
        <v>260</v>
      </c>
      <c r="B262">
        <v>261</v>
      </c>
      <c r="C262">
        <v>0.1515</v>
      </c>
      <c r="D262">
        <v>0.69</v>
      </c>
      <c r="E262">
        <v>0.1343</v>
      </c>
      <c r="F262">
        <v>0</v>
      </c>
      <c r="G262">
        <v>54</v>
      </c>
      <c r="H262">
        <v>54</v>
      </c>
    </row>
    <row r="263" spans="1:8" x14ac:dyDescent="0.3">
      <c r="A263">
        <v>261</v>
      </c>
      <c r="B263">
        <v>262</v>
      </c>
      <c r="C263">
        <v>0.16669999999999999</v>
      </c>
      <c r="D263">
        <v>0.59</v>
      </c>
      <c r="E263">
        <v>0.16420000000000001</v>
      </c>
      <c r="F263">
        <v>3</v>
      </c>
      <c r="G263">
        <v>125</v>
      </c>
      <c r="H263">
        <v>128</v>
      </c>
    </row>
    <row r="264" spans="1:8" x14ac:dyDescent="0.3">
      <c r="A264">
        <v>262</v>
      </c>
      <c r="B264">
        <v>263</v>
      </c>
      <c r="C264">
        <v>0.13639999999999999</v>
      </c>
      <c r="D264">
        <v>0.59</v>
      </c>
      <c r="E264">
        <v>0.32840000000000003</v>
      </c>
      <c r="F264">
        <v>3</v>
      </c>
      <c r="G264">
        <v>78</v>
      </c>
      <c r="H264">
        <v>81</v>
      </c>
    </row>
    <row r="265" spans="1:8" x14ac:dyDescent="0.3">
      <c r="A265">
        <v>263</v>
      </c>
      <c r="B265">
        <v>264</v>
      </c>
      <c r="C265">
        <v>0.18179999999999999</v>
      </c>
      <c r="D265">
        <v>0.55000000000000004</v>
      </c>
      <c r="E265">
        <v>0.22389999999999999</v>
      </c>
      <c r="F265">
        <v>0</v>
      </c>
      <c r="G265">
        <v>39</v>
      </c>
      <c r="H265">
        <v>39</v>
      </c>
    </row>
    <row r="266" spans="1:8" x14ac:dyDescent="0.3">
      <c r="A266">
        <v>264</v>
      </c>
      <c r="B266">
        <v>265</v>
      </c>
      <c r="C266">
        <v>0.18179999999999999</v>
      </c>
      <c r="D266">
        <v>0.51</v>
      </c>
      <c r="E266">
        <v>0.3881</v>
      </c>
      <c r="F266">
        <v>3</v>
      </c>
      <c r="G266">
        <v>32</v>
      </c>
      <c r="H266">
        <v>35</v>
      </c>
    </row>
    <row r="267" spans="1:8" x14ac:dyDescent="0.3">
      <c r="A267">
        <v>265</v>
      </c>
      <c r="B267">
        <v>266</v>
      </c>
      <c r="C267">
        <v>0.1515</v>
      </c>
      <c r="D267">
        <v>0.47</v>
      </c>
      <c r="E267">
        <v>0.58209999999999995</v>
      </c>
      <c r="F267">
        <v>3</v>
      </c>
      <c r="G267">
        <v>52</v>
      </c>
      <c r="H267">
        <v>55</v>
      </c>
    </row>
    <row r="268" spans="1:8" x14ac:dyDescent="0.3">
      <c r="A268">
        <v>266</v>
      </c>
      <c r="B268">
        <v>267</v>
      </c>
      <c r="C268">
        <v>0.19700000000000001</v>
      </c>
      <c r="D268">
        <v>0.44</v>
      </c>
      <c r="E268">
        <v>0.35820000000000002</v>
      </c>
      <c r="F268">
        <v>0</v>
      </c>
      <c r="G268">
        <v>49</v>
      </c>
      <c r="H268">
        <v>49</v>
      </c>
    </row>
    <row r="269" spans="1:8" x14ac:dyDescent="0.3">
      <c r="A269">
        <v>267</v>
      </c>
      <c r="B269">
        <v>268</v>
      </c>
      <c r="C269">
        <v>0.18179999999999999</v>
      </c>
      <c r="D269">
        <v>0.47</v>
      </c>
      <c r="E269">
        <v>0.32840000000000003</v>
      </c>
      <c r="F269">
        <v>0</v>
      </c>
      <c r="G269">
        <v>44</v>
      </c>
      <c r="H269">
        <v>44</v>
      </c>
    </row>
    <row r="270" spans="1:8" x14ac:dyDescent="0.3">
      <c r="A270">
        <v>268</v>
      </c>
      <c r="B270">
        <v>269</v>
      </c>
      <c r="C270">
        <v>0.16669999999999999</v>
      </c>
      <c r="D270">
        <v>0.47</v>
      </c>
      <c r="E270">
        <v>0.41789999999999999</v>
      </c>
      <c r="F270">
        <v>1</v>
      </c>
      <c r="G270">
        <v>48</v>
      </c>
      <c r="H270">
        <v>49</v>
      </c>
    </row>
    <row r="271" spans="1:8" x14ac:dyDescent="0.3">
      <c r="A271">
        <v>269</v>
      </c>
      <c r="B271">
        <v>270</v>
      </c>
      <c r="C271">
        <v>0.19700000000000001</v>
      </c>
      <c r="D271">
        <v>0.44</v>
      </c>
      <c r="E271">
        <v>0.32840000000000003</v>
      </c>
      <c r="F271">
        <v>5</v>
      </c>
      <c r="G271">
        <v>63</v>
      </c>
      <c r="H271">
        <v>68</v>
      </c>
    </row>
    <row r="272" spans="1:8" x14ac:dyDescent="0.3">
      <c r="A272">
        <v>270</v>
      </c>
      <c r="B272">
        <v>271</v>
      </c>
      <c r="C272">
        <v>0.18179999999999999</v>
      </c>
      <c r="D272">
        <v>0.47</v>
      </c>
      <c r="E272">
        <v>0.35820000000000002</v>
      </c>
      <c r="F272">
        <v>0</v>
      </c>
      <c r="G272">
        <v>139</v>
      </c>
      <c r="H272">
        <v>139</v>
      </c>
    </row>
    <row r="273" spans="1:8" x14ac:dyDescent="0.3">
      <c r="A273">
        <v>271</v>
      </c>
      <c r="B273">
        <v>272</v>
      </c>
      <c r="C273">
        <v>0.1515</v>
      </c>
      <c r="D273">
        <v>0.47</v>
      </c>
      <c r="E273">
        <v>0.52239999999999998</v>
      </c>
      <c r="F273">
        <v>2</v>
      </c>
      <c r="G273">
        <v>135</v>
      </c>
      <c r="H273">
        <v>137</v>
      </c>
    </row>
    <row r="274" spans="1:8" x14ac:dyDescent="0.3">
      <c r="A274">
        <v>272</v>
      </c>
      <c r="B274">
        <v>273</v>
      </c>
      <c r="C274">
        <v>0.1515</v>
      </c>
      <c r="D274">
        <v>0.47</v>
      </c>
      <c r="E274">
        <v>0.41789999999999999</v>
      </c>
      <c r="F274">
        <v>1</v>
      </c>
      <c r="G274">
        <v>82</v>
      </c>
      <c r="H274">
        <v>83</v>
      </c>
    </row>
    <row r="275" spans="1:8" x14ac:dyDescent="0.3">
      <c r="A275">
        <v>273</v>
      </c>
      <c r="B275">
        <v>274</v>
      </c>
      <c r="C275">
        <v>0.13639999999999999</v>
      </c>
      <c r="D275">
        <v>0.5</v>
      </c>
      <c r="E275">
        <v>0.32840000000000003</v>
      </c>
      <c r="F275">
        <v>2</v>
      </c>
      <c r="G275">
        <v>54</v>
      </c>
      <c r="H275">
        <v>56</v>
      </c>
    </row>
    <row r="276" spans="1:8" x14ac:dyDescent="0.3">
      <c r="A276">
        <v>274</v>
      </c>
      <c r="B276">
        <v>275</v>
      </c>
      <c r="C276">
        <v>0.13639999999999999</v>
      </c>
      <c r="D276">
        <v>0.55000000000000004</v>
      </c>
      <c r="E276">
        <v>0.32840000000000003</v>
      </c>
      <c r="F276">
        <v>0</v>
      </c>
      <c r="G276">
        <v>57</v>
      </c>
      <c r="H276">
        <v>57</v>
      </c>
    </row>
    <row r="277" spans="1:8" x14ac:dyDescent="0.3">
      <c r="A277">
        <v>275</v>
      </c>
      <c r="B277">
        <v>276</v>
      </c>
      <c r="C277">
        <v>0.1212</v>
      </c>
      <c r="D277">
        <v>0.55000000000000004</v>
      </c>
      <c r="E277">
        <v>0.44779999999999998</v>
      </c>
      <c r="F277">
        <v>1</v>
      </c>
      <c r="G277">
        <v>32</v>
      </c>
      <c r="H277">
        <v>33</v>
      </c>
    </row>
    <row r="278" spans="1:8" x14ac:dyDescent="0.3">
      <c r="A278">
        <v>276</v>
      </c>
      <c r="B278">
        <v>277</v>
      </c>
      <c r="C278">
        <v>0.1061</v>
      </c>
      <c r="D278">
        <v>0.59</v>
      </c>
      <c r="E278">
        <v>0.41789999999999999</v>
      </c>
      <c r="F278">
        <v>1</v>
      </c>
      <c r="G278">
        <v>19</v>
      </c>
      <c r="H278">
        <v>20</v>
      </c>
    </row>
    <row r="279" spans="1:8" x14ac:dyDescent="0.3">
      <c r="A279">
        <v>277</v>
      </c>
      <c r="B279">
        <v>278</v>
      </c>
      <c r="C279">
        <v>0.1212</v>
      </c>
      <c r="D279">
        <v>0.59</v>
      </c>
      <c r="E279">
        <v>0.28360000000000002</v>
      </c>
      <c r="F279">
        <v>1</v>
      </c>
      <c r="G279">
        <v>6</v>
      </c>
      <c r="H279">
        <v>7</v>
      </c>
    </row>
    <row r="280" spans="1:8" x14ac:dyDescent="0.3">
      <c r="A280">
        <v>278</v>
      </c>
      <c r="B280">
        <v>279</v>
      </c>
      <c r="C280">
        <v>0.1212</v>
      </c>
      <c r="D280">
        <v>0.5</v>
      </c>
      <c r="E280">
        <v>0.28360000000000002</v>
      </c>
      <c r="F280">
        <v>0</v>
      </c>
      <c r="G280">
        <v>2</v>
      </c>
      <c r="H280">
        <v>2</v>
      </c>
    </row>
    <row r="281" spans="1:8" x14ac:dyDescent="0.3">
      <c r="A281">
        <v>279</v>
      </c>
      <c r="B281">
        <v>280</v>
      </c>
      <c r="C281">
        <v>0.1212</v>
      </c>
      <c r="D281">
        <v>0.5</v>
      </c>
      <c r="E281">
        <v>0.35820000000000002</v>
      </c>
      <c r="F281">
        <v>0</v>
      </c>
      <c r="G281">
        <v>2</v>
      </c>
      <c r="H281">
        <v>2</v>
      </c>
    </row>
    <row r="282" spans="1:8" x14ac:dyDescent="0.3">
      <c r="A282">
        <v>280</v>
      </c>
      <c r="B282">
        <v>281</v>
      </c>
      <c r="C282">
        <v>0.1212</v>
      </c>
      <c r="D282">
        <v>0.5</v>
      </c>
      <c r="E282">
        <v>0.32840000000000003</v>
      </c>
      <c r="F282">
        <v>0</v>
      </c>
      <c r="G282">
        <v>3</v>
      </c>
      <c r="H282">
        <v>3</v>
      </c>
    </row>
    <row r="283" spans="1:8" x14ac:dyDescent="0.3">
      <c r="A283">
        <v>281</v>
      </c>
      <c r="B283">
        <v>282</v>
      </c>
      <c r="C283">
        <v>0.1212</v>
      </c>
      <c r="D283">
        <v>0.5</v>
      </c>
      <c r="E283">
        <v>0.25369999999999998</v>
      </c>
      <c r="F283">
        <v>0</v>
      </c>
      <c r="G283">
        <v>4</v>
      </c>
      <c r="H283">
        <v>4</v>
      </c>
    </row>
    <row r="284" spans="1:8" x14ac:dyDescent="0.3">
      <c r="A284">
        <v>282</v>
      </c>
      <c r="B284">
        <v>283</v>
      </c>
      <c r="C284">
        <v>0.1212</v>
      </c>
      <c r="D284">
        <v>0.5</v>
      </c>
      <c r="E284">
        <v>0.29849999999999999</v>
      </c>
      <c r="F284">
        <v>0</v>
      </c>
      <c r="G284">
        <v>3</v>
      </c>
      <c r="H284">
        <v>3</v>
      </c>
    </row>
    <row r="285" spans="1:8" x14ac:dyDescent="0.3">
      <c r="A285">
        <v>283</v>
      </c>
      <c r="B285">
        <v>284</v>
      </c>
      <c r="C285">
        <v>0.1515</v>
      </c>
      <c r="D285">
        <v>0.54</v>
      </c>
      <c r="E285">
        <v>0.1343</v>
      </c>
      <c r="F285">
        <v>0</v>
      </c>
      <c r="G285">
        <v>28</v>
      </c>
      <c r="H285">
        <v>28</v>
      </c>
    </row>
    <row r="286" spans="1:8" x14ac:dyDescent="0.3">
      <c r="A286">
        <v>284</v>
      </c>
      <c r="B286">
        <v>285</v>
      </c>
      <c r="C286">
        <v>0.1515</v>
      </c>
      <c r="D286">
        <v>0.54</v>
      </c>
      <c r="E286">
        <v>0.1343</v>
      </c>
      <c r="F286">
        <v>0</v>
      </c>
      <c r="G286">
        <v>72</v>
      </c>
      <c r="H286">
        <v>72</v>
      </c>
    </row>
    <row r="287" spans="1:8" x14ac:dyDescent="0.3">
      <c r="A287">
        <v>285</v>
      </c>
      <c r="B287">
        <v>286</v>
      </c>
      <c r="C287">
        <v>0.13639999999999999</v>
      </c>
      <c r="D287">
        <v>0.5</v>
      </c>
      <c r="E287">
        <v>0.19400000000000001</v>
      </c>
      <c r="F287">
        <v>5</v>
      </c>
      <c r="G287">
        <v>197</v>
      </c>
      <c r="H287">
        <v>202</v>
      </c>
    </row>
    <row r="288" spans="1:8" x14ac:dyDescent="0.3">
      <c r="A288">
        <v>286</v>
      </c>
      <c r="B288">
        <v>287</v>
      </c>
      <c r="C288">
        <v>0.1212</v>
      </c>
      <c r="D288">
        <v>0.5</v>
      </c>
      <c r="E288">
        <v>0.32840000000000003</v>
      </c>
      <c r="F288">
        <v>2</v>
      </c>
      <c r="G288">
        <v>137</v>
      </c>
      <c r="H288">
        <v>139</v>
      </c>
    </row>
    <row r="289" spans="1:8" x14ac:dyDescent="0.3">
      <c r="A289">
        <v>287</v>
      </c>
      <c r="B289">
        <v>288</v>
      </c>
      <c r="C289">
        <v>0.13639999999999999</v>
      </c>
      <c r="D289">
        <v>0.5</v>
      </c>
      <c r="E289">
        <v>0.35820000000000002</v>
      </c>
      <c r="F289">
        <v>2</v>
      </c>
      <c r="G289">
        <v>36</v>
      </c>
      <c r="H289">
        <v>38</v>
      </c>
    </row>
    <row r="290" spans="1:8" x14ac:dyDescent="0.3">
      <c r="A290">
        <v>288</v>
      </c>
      <c r="B290">
        <v>289</v>
      </c>
      <c r="C290">
        <v>0.16669999999999999</v>
      </c>
      <c r="D290">
        <v>0.44</v>
      </c>
      <c r="E290">
        <v>0.44779999999999998</v>
      </c>
      <c r="F290">
        <v>4</v>
      </c>
      <c r="G290">
        <v>33</v>
      </c>
      <c r="H290">
        <v>37</v>
      </c>
    </row>
    <row r="291" spans="1:8" x14ac:dyDescent="0.3">
      <c r="A291">
        <v>289</v>
      </c>
      <c r="B291">
        <v>290</v>
      </c>
      <c r="C291">
        <v>0.16669999999999999</v>
      </c>
      <c r="D291">
        <v>0.44</v>
      </c>
      <c r="E291">
        <v>0.41789999999999999</v>
      </c>
      <c r="F291">
        <v>3</v>
      </c>
      <c r="G291">
        <v>49</v>
      </c>
      <c r="H291">
        <v>52</v>
      </c>
    </row>
    <row r="292" spans="1:8" x14ac:dyDescent="0.3">
      <c r="A292">
        <v>290</v>
      </c>
      <c r="B292">
        <v>291</v>
      </c>
      <c r="C292">
        <v>0.19700000000000001</v>
      </c>
      <c r="D292">
        <v>0.41</v>
      </c>
      <c r="E292">
        <v>0.44779999999999998</v>
      </c>
      <c r="F292">
        <v>2</v>
      </c>
      <c r="G292">
        <v>81</v>
      </c>
      <c r="H292">
        <v>83</v>
      </c>
    </row>
    <row r="293" spans="1:8" x14ac:dyDescent="0.3">
      <c r="A293">
        <v>291</v>
      </c>
      <c r="B293">
        <v>292</v>
      </c>
      <c r="C293">
        <v>0.19700000000000001</v>
      </c>
      <c r="D293">
        <v>0.41</v>
      </c>
      <c r="E293">
        <v>0.3881</v>
      </c>
      <c r="F293">
        <v>3</v>
      </c>
      <c r="G293">
        <v>39</v>
      </c>
      <c r="H293">
        <v>42</v>
      </c>
    </row>
    <row r="294" spans="1:8" x14ac:dyDescent="0.3">
      <c r="A294">
        <v>292</v>
      </c>
      <c r="B294">
        <v>293</v>
      </c>
      <c r="C294">
        <v>0.21210000000000001</v>
      </c>
      <c r="D294">
        <v>0.38</v>
      </c>
      <c r="E294">
        <v>0.29849999999999999</v>
      </c>
      <c r="F294">
        <v>5</v>
      </c>
      <c r="G294">
        <v>55</v>
      </c>
      <c r="H294">
        <v>60</v>
      </c>
    </row>
    <row r="295" spans="1:8" x14ac:dyDescent="0.3">
      <c r="A295">
        <v>293</v>
      </c>
      <c r="B295">
        <v>294</v>
      </c>
      <c r="C295">
        <v>0.21210000000000001</v>
      </c>
      <c r="D295">
        <v>0.38</v>
      </c>
      <c r="E295">
        <v>0.35820000000000002</v>
      </c>
      <c r="F295">
        <v>2</v>
      </c>
      <c r="G295">
        <v>76</v>
      </c>
      <c r="H295">
        <v>78</v>
      </c>
    </row>
    <row r="296" spans="1:8" x14ac:dyDescent="0.3">
      <c r="A296">
        <v>294</v>
      </c>
      <c r="B296">
        <v>295</v>
      </c>
      <c r="C296">
        <v>0.18179999999999999</v>
      </c>
      <c r="D296">
        <v>0.4</v>
      </c>
      <c r="E296">
        <v>0.28360000000000002</v>
      </c>
      <c r="F296">
        <v>4</v>
      </c>
      <c r="G296">
        <v>158</v>
      </c>
      <c r="H296">
        <v>162</v>
      </c>
    </row>
    <row r="297" spans="1:8" x14ac:dyDescent="0.3">
      <c r="A297">
        <v>295</v>
      </c>
      <c r="B297">
        <v>296</v>
      </c>
      <c r="C297">
        <v>0.18179999999999999</v>
      </c>
      <c r="D297">
        <v>0.4</v>
      </c>
      <c r="E297">
        <v>0.32840000000000003</v>
      </c>
      <c r="F297">
        <v>3</v>
      </c>
      <c r="G297">
        <v>141</v>
      </c>
      <c r="H297">
        <v>144</v>
      </c>
    </row>
    <row r="298" spans="1:8" x14ac:dyDescent="0.3">
      <c r="A298">
        <v>296</v>
      </c>
      <c r="B298">
        <v>297</v>
      </c>
      <c r="C298">
        <v>0.1515</v>
      </c>
      <c r="D298">
        <v>0.47</v>
      </c>
      <c r="E298">
        <v>0.25369999999999998</v>
      </c>
      <c r="F298">
        <v>1</v>
      </c>
      <c r="G298">
        <v>98</v>
      </c>
      <c r="H298">
        <v>99</v>
      </c>
    </row>
    <row r="299" spans="1:8" x14ac:dyDescent="0.3">
      <c r="A299">
        <v>297</v>
      </c>
      <c r="B299">
        <v>298</v>
      </c>
      <c r="C299">
        <v>0.1515</v>
      </c>
      <c r="D299">
        <v>0.47</v>
      </c>
      <c r="E299">
        <v>0.22389999999999999</v>
      </c>
      <c r="F299">
        <v>0</v>
      </c>
      <c r="G299">
        <v>64</v>
      </c>
      <c r="H299">
        <v>64</v>
      </c>
    </row>
    <row r="300" spans="1:8" x14ac:dyDescent="0.3">
      <c r="A300">
        <v>298</v>
      </c>
      <c r="B300">
        <v>299</v>
      </c>
      <c r="C300">
        <v>0.1212</v>
      </c>
      <c r="D300">
        <v>0.46</v>
      </c>
      <c r="E300">
        <v>0.29849999999999999</v>
      </c>
      <c r="F300">
        <v>0</v>
      </c>
      <c r="G300">
        <v>40</v>
      </c>
      <c r="H300">
        <v>40</v>
      </c>
    </row>
    <row r="301" spans="1:8" x14ac:dyDescent="0.3">
      <c r="A301">
        <v>299</v>
      </c>
      <c r="B301">
        <v>300</v>
      </c>
      <c r="C301">
        <v>0.1212</v>
      </c>
      <c r="D301">
        <v>0.46</v>
      </c>
      <c r="E301">
        <v>0.32840000000000003</v>
      </c>
      <c r="F301">
        <v>0</v>
      </c>
      <c r="G301">
        <v>30</v>
      </c>
      <c r="H301">
        <v>30</v>
      </c>
    </row>
    <row r="302" spans="1:8" x14ac:dyDescent="0.3">
      <c r="A302">
        <v>300</v>
      </c>
      <c r="B302">
        <v>301</v>
      </c>
      <c r="C302">
        <v>0.13639999999999999</v>
      </c>
      <c r="D302">
        <v>0.5</v>
      </c>
      <c r="E302">
        <v>0.19400000000000001</v>
      </c>
      <c r="F302">
        <v>1</v>
      </c>
      <c r="G302">
        <v>14</v>
      </c>
      <c r="H302">
        <v>15</v>
      </c>
    </row>
    <row r="303" spans="1:8" x14ac:dyDescent="0.3">
      <c r="A303">
        <v>301</v>
      </c>
      <c r="B303">
        <v>302</v>
      </c>
      <c r="C303">
        <v>0.13639999999999999</v>
      </c>
      <c r="D303">
        <v>0.5</v>
      </c>
      <c r="E303">
        <v>0.19400000000000001</v>
      </c>
      <c r="F303">
        <v>0</v>
      </c>
      <c r="G303">
        <v>14</v>
      </c>
      <c r="H303">
        <v>14</v>
      </c>
    </row>
    <row r="304" spans="1:8" x14ac:dyDescent="0.3">
      <c r="A304">
        <v>302</v>
      </c>
      <c r="B304">
        <v>303</v>
      </c>
      <c r="C304">
        <v>0.1212</v>
      </c>
      <c r="D304">
        <v>0.54</v>
      </c>
      <c r="E304">
        <v>0.16420000000000001</v>
      </c>
      <c r="F304">
        <v>0</v>
      </c>
      <c r="G304">
        <v>5</v>
      </c>
      <c r="H304">
        <v>5</v>
      </c>
    </row>
    <row r="305" spans="1:8" x14ac:dyDescent="0.3">
      <c r="A305">
        <v>303</v>
      </c>
      <c r="B305">
        <v>304</v>
      </c>
      <c r="C305">
        <v>0.1212</v>
      </c>
      <c r="D305">
        <v>0.54</v>
      </c>
      <c r="E305">
        <v>0.1343</v>
      </c>
      <c r="F305">
        <v>0</v>
      </c>
      <c r="G305">
        <v>1</v>
      </c>
      <c r="H305">
        <v>1</v>
      </c>
    </row>
    <row r="306" spans="1:8" x14ac:dyDescent="0.3">
      <c r="A306">
        <v>304</v>
      </c>
      <c r="B306">
        <v>305</v>
      </c>
      <c r="C306">
        <v>0.13639999999999999</v>
      </c>
      <c r="D306">
        <v>0.54</v>
      </c>
      <c r="E306">
        <v>0.1045</v>
      </c>
      <c r="F306">
        <v>0</v>
      </c>
      <c r="G306">
        <v>1</v>
      </c>
      <c r="H306">
        <v>1</v>
      </c>
    </row>
    <row r="307" spans="1:8" x14ac:dyDescent="0.3">
      <c r="A307">
        <v>305</v>
      </c>
      <c r="B307">
        <v>306</v>
      </c>
      <c r="C307">
        <v>0.13639999999999999</v>
      </c>
      <c r="D307">
        <v>0.54</v>
      </c>
      <c r="E307">
        <v>8.9599999999999999E-2</v>
      </c>
      <c r="F307">
        <v>0</v>
      </c>
      <c r="G307">
        <v>8</v>
      </c>
      <c r="H307">
        <v>8</v>
      </c>
    </row>
    <row r="308" spans="1:8" x14ac:dyDescent="0.3">
      <c r="A308">
        <v>306</v>
      </c>
      <c r="B308">
        <v>307</v>
      </c>
      <c r="C308">
        <v>0.18179999999999999</v>
      </c>
      <c r="D308">
        <v>0.54</v>
      </c>
      <c r="E308">
        <v>0</v>
      </c>
      <c r="F308">
        <v>0</v>
      </c>
      <c r="G308">
        <v>17</v>
      </c>
      <c r="H308">
        <v>17</v>
      </c>
    </row>
    <row r="309" spans="1:8" x14ac:dyDescent="0.3">
      <c r="A309">
        <v>307</v>
      </c>
      <c r="B309">
        <v>308</v>
      </c>
      <c r="C309">
        <v>0.1212</v>
      </c>
      <c r="D309">
        <v>0.74</v>
      </c>
      <c r="E309">
        <v>0.16420000000000001</v>
      </c>
      <c r="F309">
        <v>0</v>
      </c>
      <c r="G309">
        <v>70</v>
      </c>
      <c r="H309">
        <v>70</v>
      </c>
    </row>
    <row r="310" spans="1:8" x14ac:dyDescent="0.3">
      <c r="A310">
        <v>308</v>
      </c>
      <c r="B310">
        <v>309</v>
      </c>
      <c r="C310">
        <v>0.16669999999999999</v>
      </c>
      <c r="D310">
        <v>0.68</v>
      </c>
      <c r="E310">
        <v>0</v>
      </c>
      <c r="F310">
        <v>2</v>
      </c>
      <c r="G310">
        <v>156</v>
      </c>
      <c r="H310">
        <v>158</v>
      </c>
    </row>
    <row r="311" spans="1:8" x14ac:dyDescent="0.3">
      <c r="A311">
        <v>309</v>
      </c>
      <c r="B311">
        <v>310</v>
      </c>
      <c r="C311">
        <v>0.1515</v>
      </c>
      <c r="D311">
        <v>0.69</v>
      </c>
      <c r="E311">
        <v>0.1343</v>
      </c>
      <c r="F311">
        <v>0</v>
      </c>
      <c r="G311">
        <v>117</v>
      </c>
      <c r="H311">
        <v>117</v>
      </c>
    </row>
    <row r="312" spans="1:8" x14ac:dyDescent="0.3">
      <c r="A312">
        <v>310</v>
      </c>
      <c r="B312">
        <v>311</v>
      </c>
      <c r="C312">
        <v>0.18179999999999999</v>
      </c>
      <c r="D312">
        <v>0.55000000000000004</v>
      </c>
      <c r="E312">
        <v>0.19400000000000001</v>
      </c>
      <c r="F312">
        <v>4</v>
      </c>
      <c r="G312">
        <v>40</v>
      </c>
      <c r="H312">
        <v>44</v>
      </c>
    </row>
    <row r="313" spans="1:8" x14ac:dyDescent="0.3">
      <c r="A313">
        <v>311</v>
      </c>
      <c r="B313">
        <v>312</v>
      </c>
      <c r="C313">
        <v>0.16669999999999999</v>
      </c>
      <c r="D313">
        <v>0.51</v>
      </c>
      <c r="E313">
        <v>0.28360000000000002</v>
      </c>
      <c r="F313">
        <v>6</v>
      </c>
      <c r="G313">
        <v>47</v>
      </c>
      <c r="H313">
        <v>53</v>
      </c>
    </row>
    <row r="314" spans="1:8" x14ac:dyDescent="0.3">
      <c r="A314">
        <v>312</v>
      </c>
      <c r="B314">
        <v>313</v>
      </c>
      <c r="C314">
        <v>0.19700000000000001</v>
      </c>
      <c r="D314">
        <v>0.44</v>
      </c>
      <c r="E314">
        <v>0.25369999999999998</v>
      </c>
      <c r="F314">
        <v>2</v>
      </c>
      <c r="G314">
        <v>59</v>
      </c>
      <c r="H314">
        <v>61</v>
      </c>
    </row>
    <row r="315" spans="1:8" x14ac:dyDescent="0.3">
      <c r="A315">
        <v>313</v>
      </c>
      <c r="B315">
        <v>314</v>
      </c>
      <c r="C315">
        <v>0.19700000000000001</v>
      </c>
      <c r="D315">
        <v>0.37</v>
      </c>
      <c r="E315">
        <v>0.3881</v>
      </c>
      <c r="F315">
        <v>4</v>
      </c>
      <c r="G315">
        <v>73</v>
      </c>
      <c r="H315">
        <v>77</v>
      </c>
    </row>
    <row r="316" spans="1:8" x14ac:dyDescent="0.3">
      <c r="A316">
        <v>314</v>
      </c>
      <c r="B316">
        <v>315</v>
      </c>
      <c r="C316">
        <v>0.21210000000000001</v>
      </c>
      <c r="D316">
        <v>0.41</v>
      </c>
      <c r="E316">
        <v>0.28360000000000002</v>
      </c>
      <c r="F316">
        <v>5</v>
      </c>
      <c r="G316">
        <v>59</v>
      </c>
      <c r="H316">
        <v>64</v>
      </c>
    </row>
    <row r="317" spans="1:8" x14ac:dyDescent="0.3">
      <c r="A317">
        <v>315</v>
      </c>
      <c r="B317">
        <v>316</v>
      </c>
      <c r="C317">
        <v>0.2424</v>
      </c>
      <c r="D317">
        <v>0.38</v>
      </c>
      <c r="E317">
        <v>0.16420000000000001</v>
      </c>
      <c r="F317">
        <v>9</v>
      </c>
      <c r="G317">
        <v>59</v>
      </c>
      <c r="H317">
        <v>68</v>
      </c>
    </row>
    <row r="318" spans="1:8" x14ac:dyDescent="0.3">
      <c r="A318">
        <v>316</v>
      </c>
      <c r="B318">
        <v>317</v>
      </c>
      <c r="C318">
        <v>0.2424</v>
      </c>
      <c r="D318">
        <v>0.41</v>
      </c>
      <c r="E318">
        <v>0.1045</v>
      </c>
      <c r="F318">
        <v>3</v>
      </c>
      <c r="G318">
        <v>87</v>
      </c>
      <c r="H318">
        <v>90</v>
      </c>
    </row>
    <row r="319" spans="1:8" x14ac:dyDescent="0.3">
      <c r="A319">
        <v>317</v>
      </c>
      <c r="B319">
        <v>318</v>
      </c>
      <c r="C319">
        <v>0.2273</v>
      </c>
      <c r="D319">
        <v>0.41</v>
      </c>
      <c r="E319">
        <v>0.16420000000000001</v>
      </c>
      <c r="F319">
        <v>4</v>
      </c>
      <c r="G319">
        <v>155</v>
      </c>
      <c r="H319">
        <v>159</v>
      </c>
    </row>
    <row r="320" spans="1:8" x14ac:dyDescent="0.3">
      <c r="A320">
        <v>318</v>
      </c>
      <c r="B320">
        <v>319</v>
      </c>
      <c r="C320">
        <v>0.2576</v>
      </c>
      <c r="D320">
        <v>0.47</v>
      </c>
      <c r="E320">
        <v>0</v>
      </c>
      <c r="F320">
        <v>5</v>
      </c>
      <c r="G320">
        <v>134</v>
      </c>
      <c r="H320">
        <v>139</v>
      </c>
    </row>
    <row r="321" spans="1:8" x14ac:dyDescent="0.3">
      <c r="A321">
        <v>319</v>
      </c>
      <c r="B321">
        <v>320</v>
      </c>
      <c r="C321">
        <v>0.19700000000000001</v>
      </c>
      <c r="D321">
        <v>0.59</v>
      </c>
      <c r="E321">
        <v>8.9599999999999999E-2</v>
      </c>
      <c r="F321">
        <v>3</v>
      </c>
      <c r="G321">
        <v>89</v>
      </c>
      <c r="H321">
        <v>92</v>
      </c>
    </row>
    <row r="322" spans="1:8" x14ac:dyDescent="0.3">
      <c r="A322">
        <v>320</v>
      </c>
      <c r="B322">
        <v>321</v>
      </c>
      <c r="C322">
        <v>0.2424</v>
      </c>
      <c r="D322">
        <v>0.59</v>
      </c>
      <c r="E322">
        <v>0</v>
      </c>
      <c r="F322">
        <v>0</v>
      </c>
      <c r="G322">
        <v>68</v>
      </c>
      <c r="H322">
        <v>68</v>
      </c>
    </row>
    <row r="323" spans="1:8" x14ac:dyDescent="0.3">
      <c r="A323">
        <v>321</v>
      </c>
      <c r="B323">
        <v>322</v>
      </c>
      <c r="C323">
        <v>0.2273</v>
      </c>
      <c r="D323">
        <v>0.69</v>
      </c>
      <c r="E323">
        <v>0</v>
      </c>
      <c r="F323">
        <v>4</v>
      </c>
      <c r="G323">
        <v>48</v>
      </c>
      <c r="H323">
        <v>52</v>
      </c>
    </row>
    <row r="324" spans="1:8" x14ac:dyDescent="0.3">
      <c r="A324">
        <v>322</v>
      </c>
      <c r="B324">
        <v>323</v>
      </c>
      <c r="C324">
        <v>0.2273</v>
      </c>
      <c r="D324">
        <v>0.69</v>
      </c>
      <c r="E324">
        <v>0</v>
      </c>
      <c r="F324">
        <v>2</v>
      </c>
      <c r="G324">
        <v>34</v>
      </c>
      <c r="H324">
        <v>36</v>
      </c>
    </row>
    <row r="325" spans="1:8" x14ac:dyDescent="0.3">
      <c r="A325">
        <v>323</v>
      </c>
      <c r="B325">
        <v>324</v>
      </c>
      <c r="C325">
        <v>0.2424</v>
      </c>
      <c r="D325">
        <v>0.55000000000000004</v>
      </c>
      <c r="E325">
        <v>0</v>
      </c>
      <c r="F325">
        <v>1</v>
      </c>
      <c r="G325">
        <v>26</v>
      </c>
      <c r="H325">
        <v>27</v>
      </c>
    </row>
    <row r="326" spans="1:8" x14ac:dyDescent="0.3">
      <c r="A326">
        <v>324</v>
      </c>
      <c r="B326">
        <v>325</v>
      </c>
      <c r="C326">
        <v>0.2424</v>
      </c>
      <c r="D326">
        <v>0.55000000000000004</v>
      </c>
      <c r="E326">
        <v>0</v>
      </c>
      <c r="F326">
        <v>3</v>
      </c>
      <c r="G326">
        <v>25</v>
      </c>
      <c r="H326">
        <v>28</v>
      </c>
    </row>
    <row r="327" spans="1:8" x14ac:dyDescent="0.3">
      <c r="A327">
        <v>325</v>
      </c>
      <c r="B327">
        <v>326</v>
      </c>
      <c r="C327">
        <v>0.19700000000000001</v>
      </c>
      <c r="D327">
        <v>0.59</v>
      </c>
      <c r="E327">
        <v>8.9599999999999999E-2</v>
      </c>
      <c r="F327">
        <v>2</v>
      </c>
      <c r="G327">
        <v>18</v>
      </c>
      <c r="H327">
        <v>20</v>
      </c>
    </row>
    <row r="328" spans="1:8" x14ac:dyDescent="0.3">
      <c r="A328">
        <v>326</v>
      </c>
      <c r="B328">
        <v>327</v>
      </c>
      <c r="C328">
        <v>0.19700000000000001</v>
      </c>
      <c r="D328">
        <v>0.59</v>
      </c>
      <c r="E328">
        <v>8.9599999999999999E-2</v>
      </c>
      <c r="F328">
        <v>0</v>
      </c>
      <c r="G328">
        <v>12</v>
      </c>
      <c r="H328">
        <v>12</v>
      </c>
    </row>
    <row r="329" spans="1:8" x14ac:dyDescent="0.3">
      <c r="A329">
        <v>327</v>
      </c>
      <c r="B329">
        <v>328</v>
      </c>
      <c r="C329">
        <v>0.2273</v>
      </c>
      <c r="D329">
        <v>0.59</v>
      </c>
      <c r="E329">
        <v>0</v>
      </c>
      <c r="F329">
        <v>1</v>
      </c>
      <c r="G329">
        <v>7</v>
      </c>
      <c r="H329">
        <v>8</v>
      </c>
    </row>
    <row r="330" spans="1:8" x14ac:dyDescent="0.3">
      <c r="A330">
        <v>328</v>
      </c>
      <c r="B330">
        <v>329</v>
      </c>
      <c r="C330">
        <v>0.2273</v>
      </c>
      <c r="D330">
        <v>0.59</v>
      </c>
      <c r="E330">
        <v>0</v>
      </c>
      <c r="F330">
        <v>0</v>
      </c>
      <c r="G330">
        <v>5</v>
      </c>
      <c r="H330">
        <v>5</v>
      </c>
    </row>
    <row r="331" spans="1:8" x14ac:dyDescent="0.3">
      <c r="A331">
        <v>329</v>
      </c>
      <c r="B331">
        <v>330</v>
      </c>
      <c r="C331">
        <v>0.2273</v>
      </c>
      <c r="D331">
        <v>0.59</v>
      </c>
      <c r="E331">
        <v>0</v>
      </c>
      <c r="F331">
        <v>0</v>
      </c>
      <c r="G331">
        <v>1</v>
      </c>
      <c r="H331">
        <v>1</v>
      </c>
    </row>
    <row r="332" spans="1:8" x14ac:dyDescent="0.3">
      <c r="A332">
        <v>330</v>
      </c>
      <c r="B332">
        <v>331</v>
      </c>
      <c r="C332">
        <v>0.16669999999999999</v>
      </c>
      <c r="D332">
        <v>0.63</v>
      </c>
      <c r="E332">
        <v>0.1045</v>
      </c>
      <c r="F332">
        <v>1</v>
      </c>
      <c r="G332">
        <v>2</v>
      </c>
      <c r="H332">
        <v>3</v>
      </c>
    </row>
    <row r="333" spans="1:8" x14ac:dyDescent="0.3">
      <c r="A333">
        <v>331</v>
      </c>
      <c r="B333">
        <v>332</v>
      </c>
      <c r="C333">
        <v>0.21210000000000001</v>
      </c>
      <c r="D333">
        <v>0.63</v>
      </c>
      <c r="E333">
        <v>0</v>
      </c>
      <c r="F333">
        <v>1</v>
      </c>
      <c r="G333">
        <v>9</v>
      </c>
      <c r="H333">
        <v>10</v>
      </c>
    </row>
    <row r="334" spans="1:8" x14ac:dyDescent="0.3">
      <c r="A334">
        <v>332</v>
      </c>
      <c r="B334">
        <v>333</v>
      </c>
      <c r="C334">
        <v>0.1515</v>
      </c>
      <c r="D334">
        <v>0.63</v>
      </c>
      <c r="E334">
        <v>0.1343</v>
      </c>
      <c r="F334">
        <v>1</v>
      </c>
      <c r="G334">
        <v>22</v>
      </c>
      <c r="H334">
        <v>23</v>
      </c>
    </row>
    <row r="335" spans="1:8" x14ac:dyDescent="0.3">
      <c r="A335">
        <v>333</v>
      </c>
      <c r="B335">
        <v>334</v>
      </c>
      <c r="C335">
        <v>0.18179999999999999</v>
      </c>
      <c r="D335">
        <v>0.64</v>
      </c>
      <c r="E335">
        <v>0.1343</v>
      </c>
      <c r="F335">
        <v>2</v>
      </c>
      <c r="G335">
        <v>31</v>
      </c>
      <c r="H335">
        <v>33</v>
      </c>
    </row>
    <row r="336" spans="1:8" x14ac:dyDescent="0.3">
      <c r="A336">
        <v>334</v>
      </c>
      <c r="B336">
        <v>335</v>
      </c>
      <c r="C336">
        <v>0.19700000000000001</v>
      </c>
      <c r="D336">
        <v>0.59</v>
      </c>
      <c r="E336">
        <v>0.16420000000000001</v>
      </c>
      <c r="F336">
        <v>2</v>
      </c>
      <c r="G336">
        <v>57</v>
      </c>
      <c r="H336">
        <v>59</v>
      </c>
    </row>
    <row r="337" spans="1:8" x14ac:dyDescent="0.3">
      <c r="A337">
        <v>335</v>
      </c>
      <c r="B337">
        <v>336</v>
      </c>
      <c r="C337">
        <v>0.19700000000000001</v>
      </c>
      <c r="D337">
        <v>0.55000000000000004</v>
      </c>
      <c r="E337">
        <v>0.22389999999999999</v>
      </c>
      <c r="F337">
        <v>18</v>
      </c>
      <c r="G337">
        <v>54</v>
      </c>
      <c r="H337">
        <v>72</v>
      </c>
    </row>
    <row r="338" spans="1:8" x14ac:dyDescent="0.3">
      <c r="A338">
        <v>336</v>
      </c>
      <c r="B338">
        <v>337</v>
      </c>
      <c r="C338">
        <v>0.2273</v>
      </c>
      <c r="D338">
        <v>0.48</v>
      </c>
      <c r="E338">
        <v>0.22389999999999999</v>
      </c>
      <c r="F338">
        <v>15</v>
      </c>
      <c r="G338">
        <v>74</v>
      </c>
      <c r="H338">
        <v>89</v>
      </c>
    </row>
    <row r="339" spans="1:8" x14ac:dyDescent="0.3">
      <c r="A339">
        <v>337</v>
      </c>
      <c r="B339">
        <v>338</v>
      </c>
      <c r="C339">
        <v>0.2576</v>
      </c>
      <c r="D339">
        <v>0.38</v>
      </c>
      <c r="E339">
        <v>0.29849999999999999</v>
      </c>
      <c r="F339">
        <v>21</v>
      </c>
      <c r="G339">
        <v>80</v>
      </c>
      <c r="H339">
        <v>101</v>
      </c>
    </row>
    <row r="340" spans="1:8" x14ac:dyDescent="0.3">
      <c r="A340">
        <v>338</v>
      </c>
      <c r="B340">
        <v>339</v>
      </c>
      <c r="C340">
        <v>0.28789999999999999</v>
      </c>
      <c r="D340">
        <v>0.39</v>
      </c>
      <c r="E340">
        <v>0.28360000000000002</v>
      </c>
      <c r="F340">
        <v>26</v>
      </c>
      <c r="G340">
        <v>92</v>
      </c>
      <c r="H340">
        <v>118</v>
      </c>
    </row>
    <row r="341" spans="1:8" x14ac:dyDescent="0.3">
      <c r="A341">
        <v>339</v>
      </c>
      <c r="B341">
        <v>340</v>
      </c>
      <c r="C341">
        <v>0.31819999999999998</v>
      </c>
      <c r="D341">
        <v>0.36</v>
      </c>
      <c r="E341">
        <v>0.19400000000000001</v>
      </c>
      <c r="F341">
        <v>21</v>
      </c>
      <c r="G341">
        <v>108</v>
      </c>
      <c r="H341">
        <v>129</v>
      </c>
    </row>
    <row r="342" spans="1:8" x14ac:dyDescent="0.3">
      <c r="A342">
        <v>340</v>
      </c>
      <c r="B342">
        <v>341</v>
      </c>
      <c r="C342">
        <v>0.33329999999999999</v>
      </c>
      <c r="D342">
        <v>0.34</v>
      </c>
      <c r="E342">
        <v>0.19400000000000001</v>
      </c>
      <c r="F342">
        <v>33</v>
      </c>
      <c r="G342">
        <v>95</v>
      </c>
      <c r="H342">
        <v>128</v>
      </c>
    </row>
    <row r="343" spans="1:8" x14ac:dyDescent="0.3">
      <c r="A343">
        <v>341</v>
      </c>
      <c r="B343">
        <v>342</v>
      </c>
      <c r="C343">
        <v>0.30299999999999999</v>
      </c>
      <c r="D343">
        <v>0.36</v>
      </c>
      <c r="E343">
        <v>0.28360000000000002</v>
      </c>
      <c r="F343">
        <v>29</v>
      </c>
      <c r="G343">
        <v>54</v>
      </c>
      <c r="H343">
        <v>83</v>
      </c>
    </row>
    <row r="344" spans="1:8" x14ac:dyDescent="0.3">
      <c r="A344">
        <v>342</v>
      </c>
      <c r="B344">
        <v>343</v>
      </c>
      <c r="C344">
        <v>0.28789999999999999</v>
      </c>
      <c r="D344">
        <v>0.45</v>
      </c>
      <c r="E344">
        <v>0.25369999999999998</v>
      </c>
      <c r="F344">
        <v>15</v>
      </c>
      <c r="G344">
        <v>69</v>
      </c>
      <c r="H344">
        <v>84</v>
      </c>
    </row>
    <row r="345" spans="1:8" x14ac:dyDescent="0.3">
      <c r="A345">
        <v>343</v>
      </c>
      <c r="B345">
        <v>344</v>
      </c>
      <c r="C345">
        <v>0.30299999999999999</v>
      </c>
      <c r="D345">
        <v>0.39</v>
      </c>
      <c r="E345">
        <v>0.25369999999999998</v>
      </c>
      <c r="F345">
        <v>14</v>
      </c>
      <c r="G345">
        <v>60</v>
      </c>
      <c r="H345">
        <v>74</v>
      </c>
    </row>
    <row r="346" spans="1:8" x14ac:dyDescent="0.3">
      <c r="A346">
        <v>344</v>
      </c>
      <c r="B346">
        <v>345</v>
      </c>
      <c r="C346">
        <v>0.30299999999999999</v>
      </c>
      <c r="D346">
        <v>0.39</v>
      </c>
      <c r="E346">
        <v>0.25369999999999998</v>
      </c>
      <c r="F346">
        <v>6</v>
      </c>
      <c r="G346">
        <v>35</v>
      </c>
      <c r="H346">
        <v>41</v>
      </c>
    </row>
    <row r="347" spans="1:8" x14ac:dyDescent="0.3">
      <c r="A347">
        <v>345</v>
      </c>
      <c r="B347">
        <v>346</v>
      </c>
      <c r="C347">
        <v>0.30299999999999999</v>
      </c>
      <c r="D347">
        <v>0.39</v>
      </c>
      <c r="E347">
        <v>0.22389999999999999</v>
      </c>
      <c r="F347">
        <v>6</v>
      </c>
      <c r="G347">
        <v>51</v>
      </c>
      <c r="H347">
        <v>57</v>
      </c>
    </row>
    <row r="348" spans="1:8" x14ac:dyDescent="0.3">
      <c r="A348">
        <v>346</v>
      </c>
      <c r="B348">
        <v>347</v>
      </c>
      <c r="C348">
        <v>0.31819999999999998</v>
      </c>
      <c r="D348">
        <v>0.42</v>
      </c>
      <c r="E348">
        <v>0.1045</v>
      </c>
      <c r="F348">
        <v>0</v>
      </c>
      <c r="G348">
        <v>26</v>
      </c>
      <c r="H348">
        <v>26</v>
      </c>
    </row>
    <row r="349" spans="1:8" x14ac:dyDescent="0.3">
      <c r="A349">
        <v>347</v>
      </c>
      <c r="B349">
        <v>348</v>
      </c>
      <c r="C349">
        <v>0.28789999999999999</v>
      </c>
      <c r="D349">
        <v>0.45</v>
      </c>
      <c r="E349">
        <v>0.28360000000000002</v>
      </c>
      <c r="F349">
        <v>5</v>
      </c>
      <c r="G349">
        <v>39</v>
      </c>
      <c r="H349">
        <v>44</v>
      </c>
    </row>
    <row r="350" spans="1:8" x14ac:dyDescent="0.3">
      <c r="A350">
        <v>348</v>
      </c>
      <c r="B350">
        <v>349</v>
      </c>
      <c r="C350">
        <v>0.30299999999999999</v>
      </c>
      <c r="D350">
        <v>0.56000000000000005</v>
      </c>
      <c r="E350">
        <v>0</v>
      </c>
      <c r="F350">
        <v>6</v>
      </c>
      <c r="G350">
        <v>33</v>
      </c>
      <c r="H350">
        <v>39</v>
      </c>
    </row>
    <row r="351" spans="1:8" x14ac:dyDescent="0.3">
      <c r="A351">
        <v>349</v>
      </c>
      <c r="B351">
        <v>350</v>
      </c>
      <c r="C351">
        <v>0.2727</v>
      </c>
      <c r="D351">
        <v>0.56000000000000005</v>
      </c>
      <c r="E351">
        <v>0.1343</v>
      </c>
      <c r="F351">
        <v>4</v>
      </c>
      <c r="G351">
        <v>19</v>
      </c>
      <c r="H351">
        <v>23</v>
      </c>
    </row>
    <row r="352" spans="1:8" x14ac:dyDescent="0.3">
      <c r="A352">
        <v>350</v>
      </c>
      <c r="B352">
        <v>351</v>
      </c>
      <c r="C352">
        <v>0.28789999999999999</v>
      </c>
      <c r="D352">
        <v>0.56000000000000005</v>
      </c>
      <c r="E352">
        <v>8.9599999999999999E-2</v>
      </c>
      <c r="F352">
        <v>3</v>
      </c>
      <c r="G352">
        <v>13</v>
      </c>
      <c r="H352">
        <v>16</v>
      </c>
    </row>
    <row r="353" spans="1:8" x14ac:dyDescent="0.3">
      <c r="A353">
        <v>351</v>
      </c>
      <c r="B353">
        <v>352</v>
      </c>
      <c r="C353">
        <v>0.2727</v>
      </c>
      <c r="D353">
        <v>0.69</v>
      </c>
      <c r="E353">
        <v>0</v>
      </c>
      <c r="F353">
        <v>9</v>
      </c>
      <c r="G353">
        <v>6</v>
      </c>
      <c r="H353">
        <v>15</v>
      </c>
    </row>
    <row r="354" spans="1:8" x14ac:dyDescent="0.3">
      <c r="A354">
        <v>352</v>
      </c>
      <c r="B354">
        <v>353</v>
      </c>
      <c r="C354">
        <v>0.2576</v>
      </c>
      <c r="D354">
        <v>0.56000000000000005</v>
      </c>
      <c r="E354">
        <v>0.16420000000000001</v>
      </c>
      <c r="F354">
        <v>0</v>
      </c>
      <c r="G354">
        <v>1</v>
      </c>
      <c r="H354">
        <v>1</v>
      </c>
    </row>
    <row r="355" spans="1:8" x14ac:dyDescent="0.3">
      <c r="A355">
        <v>353</v>
      </c>
      <c r="B355">
        <v>354</v>
      </c>
      <c r="C355">
        <v>0.2576</v>
      </c>
      <c r="D355">
        <v>0.56000000000000005</v>
      </c>
      <c r="E355">
        <v>0.16420000000000001</v>
      </c>
      <c r="F355">
        <v>1</v>
      </c>
      <c r="G355">
        <v>1</v>
      </c>
      <c r="H355">
        <v>2</v>
      </c>
    </row>
    <row r="356" spans="1:8" x14ac:dyDescent="0.3">
      <c r="A356">
        <v>354</v>
      </c>
      <c r="B356">
        <v>355</v>
      </c>
      <c r="C356">
        <v>0.2576</v>
      </c>
      <c r="D356">
        <v>0.56000000000000005</v>
      </c>
      <c r="E356">
        <v>0.16420000000000001</v>
      </c>
      <c r="F356">
        <v>0</v>
      </c>
      <c r="G356">
        <v>1</v>
      </c>
      <c r="H356">
        <v>1</v>
      </c>
    </row>
    <row r="357" spans="1:8" x14ac:dyDescent="0.3">
      <c r="A357">
        <v>355</v>
      </c>
      <c r="B357">
        <v>356</v>
      </c>
      <c r="C357">
        <v>0.21210000000000001</v>
      </c>
      <c r="D357">
        <v>0.56000000000000005</v>
      </c>
      <c r="E357">
        <v>0.29849999999999999</v>
      </c>
      <c r="F357">
        <v>0</v>
      </c>
      <c r="G357">
        <v>3</v>
      </c>
      <c r="H357">
        <v>3</v>
      </c>
    </row>
    <row r="358" spans="1:8" x14ac:dyDescent="0.3">
      <c r="A358">
        <v>356</v>
      </c>
      <c r="B358">
        <v>357</v>
      </c>
      <c r="C358">
        <v>0.21210000000000001</v>
      </c>
      <c r="D358">
        <v>0.55000000000000004</v>
      </c>
      <c r="E358">
        <v>0.28360000000000002</v>
      </c>
      <c r="F358">
        <v>0</v>
      </c>
      <c r="G358">
        <v>18</v>
      </c>
      <c r="H358">
        <v>18</v>
      </c>
    </row>
    <row r="359" spans="1:8" x14ac:dyDescent="0.3">
      <c r="A359">
        <v>357</v>
      </c>
      <c r="B359">
        <v>358</v>
      </c>
      <c r="C359">
        <v>0.21210000000000001</v>
      </c>
      <c r="D359">
        <v>0.51</v>
      </c>
      <c r="E359">
        <v>0.25369999999999998</v>
      </c>
      <c r="F359">
        <v>3</v>
      </c>
      <c r="G359">
        <v>29</v>
      </c>
      <c r="H359">
        <v>32</v>
      </c>
    </row>
    <row r="360" spans="1:8" x14ac:dyDescent="0.3">
      <c r="A360">
        <v>358</v>
      </c>
      <c r="B360">
        <v>359</v>
      </c>
      <c r="C360">
        <v>0.21210000000000001</v>
      </c>
      <c r="D360">
        <v>0.51</v>
      </c>
      <c r="E360">
        <v>0.28360000000000002</v>
      </c>
      <c r="F360">
        <v>8</v>
      </c>
      <c r="G360">
        <v>71</v>
      </c>
      <c r="H360">
        <v>79</v>
      </c>
    </row>
    <row r="361" spans="1:8" x14ac:dyDescent="0.3">
      <c r="A361">
        <v>359</v>
      </c>
      <c r="B361">
        <v>360</v>
      </c>
      <c r="C361">
        <v>0.2273</v>
      </c>
      <c r="D361">
        <v>0.44</v>
      </c>
      <c r="E361">
        <v>0.25369999999999998</v>
      </c>
      <c r="F361">
        <v>23</v>
      </c>
      <c r="G361">
        <v>70</v>
      </c>
      <c r="H361">
        <v>93</v>
      </c>
    </row>
    <row r="362" spans="1:8" x14ac:dyDescent="0.3">
      <c r="A362">
        <v>360</v>
      </c>
      <c r="B362">
        <v>361</v>
      </c>
      <c r="C362">
        <v>0.21210000000000001</v>
      </c>
      <c r="D362">
        <v>0.41</v>
      </c>
      <c r="E362">
        <v>0.28360000000000002</v>
      </c>
      <c r="F362">
        <v>29</v>
      </c>
      <c r="G362">
        <v>75</v>
      </c>
      <c r="H362">
        <v>104</v>
      </c>
    </row>
    <row r="363" spans="1:8" x14ac:dyDescent="0.3">
      <c r="A363">
        <v>361</v>
      </c>
      <c r="B363">
        <v>362</v>
      </c>
      <c r="C363">
        <v>0.2273</v>
      </c>
      <c r="D363">
        <v>0.35</v>
      </c>
      <c r="E363">
        <v>0.29849999999999999</v>
      </c>
      <c r="F363">
        <v>23</v>
      </c>
      <c r="G363">
        <v>95</v>
      </c>
      <c r="H363">
        <v>118</v>
      </c>
    </row>
    <row r="364" spans="1:8" x14ac:dyDescent="0.3">
      <c r="A364">
        <v>362</v>
      </c>
      <c r="B364">
        <v>363</v>
      </c>
      <c r="C364">
        <v>0.2727</v>
      </c>
      <c r="D364">
        <v>0.36</v>
      </c>
      <c r="E364">
        <v>0.25369999999999998</v>
      </c>
      <c r="F364">
        <v>22</v>
      </c>
      <c r="G364">
        <v>69</v>
      </c>
      <c r="H364">
        <v>91</v>
      </c>
    </row>
    <row r="365" spans="1:8" x14ac:dyDescent="0.3">
      <c r="A365">
        <v>363</v>
      </c>
      <c r="B365">
        <v>364</v>
      </c>
      <c r="C365">
        <v>0.2424</v>
      </c>
      <c r="D365">
        <v>0.38</v>
      </c>
      <c r="E365">
        <v>0.25369999999999998</v>
      </c>
      <c r="F365">
        <v>35</v>
      </c>
      <c r="G365">
        <v>78</v>
      </c>
      <c r="H365">
        <v>113</v>
      </c>
    </row>
    <row r="366" spans="1:8" x14ac:dyDescent="0.3">
      <c r="A366">
        <v>364</v>
      </c>
      <c r="B366">
        <v>365</v>
      </c>
      <c r="C366">
        <v>0.2273</v>
      </c>
      <c r="D366">
        <v>0.38</v>
      </c>
      <c r="E366">
        <v>0.22389999999999999</v>
      </c>
      <c r="F366">
        <v>22</v>
      </c>
      <c r="G366">
        <v>77</v>
      </c>
      <c r="H366">
        <v>99</v>
      </c>
    </row>
    <row r="367" spans="1:8" x14ac:dyDescent="0.3">
      <c r="A367">
        <v>365</v>
      </c>
      <c r="B367">
        <v>366</v>
      </c>
      <c r="C367">
        <v>0.21210000000000001</v>
      </c>
      <c r="D367">
        <v>0.37</v>
      </c>
      <c r="E367">
        <v>0.25369999999999998</v>
      </c>
      <c r="F367">
        <v>23</v>
      </c>
      <c r="G367">
        <v>82</v>
      </c>
      <c r="H367">
        <v>105</v>
      </c>
    </row>
    <row r="368" spans="1:8" x14ac:dyDescent="0.3">
      <c r="A368">
        <v>366</v>
      </c>
      <c r="B368">
        <v>367</v>
      </c>
      <c r="C368">
        <v>0.21210000000000001</v>
      </c>
      <c r="D368">
        <v>0.4</v>
      </c>
      <c r="E368">
        <v>0.16420000000000001</v>
      </c>
      <c r="F368">
        <v>11</v>
      </c>
      <c r="G368">
        <v>56</v>
      </c>
      <c r="H368">
        <v>67</v>
      </c>
    </row>
    <row r="369" spans="1:8" x14ac:dyDescent="0.3">
      <c r="A369">
        <v>367</v>
      </c>
      <c r="B369">
        <v>368</v>
      </c>
      <c r="C369">
        <v>0.19700000000000001</v>
      </c>
      <c r="D369">
        <v>0.47</v>
      </c>
      <c r="E369">
        <v>0.1343</v>
      </c>
      <c r="F369">
        <v>14</v>
      </c>
      <c r="G369">
        <v>47</v>
      </c>
      <c r="H369">
        <v>61</v>
      </c>
    </row>
    <row r="370" spans="1:8" x14ac:dyDescent="0.3">
      <c r="A370">
        <v>368</v>
      </c>
      <c r="B370">
        <v>369</v>
      </c>
      <c r="C370">
        <v>0.19700000000000001</v>
      </c>
      <c r="D370">
        <v>0.47</v>
      </c>
      <c r="E370">
        <v>0.16420000000000001</v>
      </c>
      <c r="F370">
        <v>7</v>
      </c>
      <c r="G370">
        <v>50</v>
      </c>
      <c r="H370">
        <v>57</v>
      </c>
    </row>
    <row r="371" spans="1:8" x14ac:dyDescent="0.3">
      <c r="A371">
        <v>369</v>
      </c>
      <c r="B371">
        <v>370</v>
      </c>
      <c r="C371">
        <v>0.19700000000000001</v>
      </c>
      <c r="D371">
        <v>0.51</v>
      </c>
      <c r="E371">
        <v>0.16420000000000001</v>
      </c>
      <c r="F371">
        <v>6</v>
      </c>
      <c r="G371">
        <v>22</v>
      </c>
      <c r="H371">
        <v>28</v>
      </c>
    </row>
    <row r="372" spans="1:8" x14ac:dyDescent="0.3">
      <c r="A372">
        <v>370</v>
      </c>
      <c r="B372">
        <v>371</v>
      </c>
      <c r="C372">
        <v>0.21210000000000001</v>
      </c>
      <c r="D372">
        <v>0.49</v>
      </c>
      <c r="E372">
        <v>0.1343</v>
      </c>
      <c r="F372">
        <v>2</v>
      </c>
      <c r="G372">
        <v>19</v>
      </c>
      <c r="H372">
        <v>21</v>
      </c>
    </row>
    <row r="373" spans="1:8" x14ac:dyDescent="0.3">
      <c r="A373">
        <v>371</v>
      </c>
      <c r="B373">
        <v>372</v>
      </c>
      <c r="C373">
        <v>0.2273</v>
      </c>
      <c r="D373">
        <v>0.4</v>
      </c>
      <c r="E373">
        <v>0.1045</v>
      </c>
      <c r="F373">
        <v>0</v>
      </c>
      <c r="G373">
        <v>18</v>
      </c>
      <c r="H373">
        <v>18</v>
      </c>
    </row>
    <row r="374" spans="1:8" x14ac:dyDescent="0.3">
      <c r="A374">
        <v>372</v>
      </c>
      <c r="B374">
        <v>373</v>
      </c>
      <c r="C374">
        <v>0.19700000000000001</v>
      </c>
      <c r="D374">
        <v>0.47</v>
      </c>
      <c r="E374">
        <v>0.22389999999999999</v>
      </c>
      <c r="F374">
        <v>1</v>
      </c>
      <c r="G374">
        <v>16</v>
      </c>
      <c r="H374">
        <v>17</v>
      </c>
    </row>
    <row r="375" spans="1:8" x14ac:dyDescent="0.3">
      <c r="A375">
        <v>373</v>
      </c>
      <c r="B375">
        <v>374</v>
      </c>
      <c r="C375">
        <v>0.19700000000000001</v>
      </c>
      <c r="D375">
        <v>0.44</v>
      </c>
      <c r="E375">
        <v>0.19400000000000001</v>
      </c>
      <c r="F375">
        <v>1</v>
      </c>
      <c r="G375">
        <v>15</v>
      </c>
      <c r="H375">
        <v>16</v>
      </c>
    </row>
    <row r="376" spans="1:8" x14ac:dyDescent="0.3">
      <c r="A376">
        <v>374</v>
      </c>
      <c r="B376">
        <v>375</v>
      </c>
      <c r="C376">
        <v>0.16669999999999999</v>
      </c>
      <c r="D376">
        <v>0.43</v>
      </c>
      <c r="E376">
        <v>0.25369999999999998</v>
      </c>
      <c r="F376">
        <v>0</v>
      </c>
      <c r="G376">
        <v>8</v>
      </c>
      <c r="H376">
        <v>8</v>
      </c>
    </row>
    <row r="377" spans="1:8" x14ac:dyDescent="0.3">
      <c r="A377">
        <v>375</v>
      </c>
      <c r="B377">
        <v>376</v>
      </c>
      <c r="C377">
        <v>0.18179999999999999</v>
      </c>
      <c r="D377">
        <v>0.43</v>
      </c>
      <c r="E377">
        <v>0.19400000000000001</v>
      </c>
      <c r="F377">
        <v>0</v>
      </c>
      <c r="G377">
        <v>2</v>
      </c>
      <c r="H377">
        <v>2</v>
      </c>
    </row>
    <row r="378" spans="1:8" x14ac:dyDescent="0.3">
      <c r="A378">
        <v>376</v>
      </c>
      <c r="B378">
        <v>377</v>
      </c>
      <c r="C378">
        <v>0.19700000000000001</v>
      </c>
      <c r="D378">
        <v>0.43</v>
      </c>
      <c r="E378">
        <v>0.1343</v>
      </c>
      <c r="F378">
        <v>1</v>
      </c>
      <c r="G378">
        <v>2</v>
      </c>
      <c r="H378">
        <v>3</v>
      </c>
    </row>
    <row r="379" spans="1:8" x14ac:dyDescent="0.3">
      <c r="A379">
        <v>377</v>
      </c>
      <c r="B379">
        <v>378</v>
      </c>
      <c r="C379">
        <v>0.19700000000000001</v>
      </c>
      <c r="D379">
        <v>0.43</v>
      </c>
      <c r="E379">
        <v>0.16420000000000001</v>
      </c>
      <c r="F379">
        <v>0</v>
      </c>
      <c r="G379">
        <v>1</v>
      </c>
      <c r="H379">
        <v>1</v>
      </c>
    </row>
    <row r="380" spans="1:8" x14ac:dyDescent="0.3">
      <c r="A380">
        <v>378</v>
      </c>
      <c r="B380">
        <v>379</v>
      </c>
      <c r="C380">
        <v>0.18179999999999999</v>
      </c>
      <c r="D380">
        <v>0.43</v>
      </c>
      <c r="E380">
        <v>0.19400000000000001</v>
      </c>
      <c r="F380">
        <v>0</v>
      </c>
      <c r="G380">
        <v>5</v>
      </c>
      <c r="H380">
        <v>5</v>
      </c>
    </row>
    <row r="381" spans="1:8" x14ac:dyDescent="0.3">
      <c r="A381">
        <v>379</v>
      </c>
      <c r="B381">
        <v>380</v>
      </c>
      <c r="C381">
        <v>0.18179999999999999</v>
      </c>
      <c r="D381">
        <v>0.5</v>
      </c>
      <c r="E381">
        <v>0.1343</v>
      </c>
      <c r="F381">
        <v>4</v>
      </c>
      <c r="G381">
        <v>9</v>
      </c>
      <c r="H381">
        <v>13</v>
      </c>
    </row>
    <row r="382" spans="1:8" x14ac:dyDescent="0.3">
      <c r="A382">
        <v>380</v>
      </c>
      <c r="B382">
        <v>381</v>
      </c>
      <c r="C382">
        <v>0.1515</v>
      </c>
      <c r="D382">
        <v>0.47</v>
      </c>
      <c r="E382">
        <v>0.22389999999999999</v>
      </c>
      <c r="F382">
        <v>3</v>
      </c>
      <c r="G382">
        <v>30</v>
      </c>
      <c r="H382">
        <v>33</v>
      </c>
    </row>
    <row r="383" spans="1:8" x14ac:dyDescent="0.3">
      <c r="A383">
        <v>381</v>
      </c>
      <c r="B383">
        <v>382</v>
      </c>
      <c r="C383">
        <v>0.1515</v>
      </c>
      <c r="D383">
        <v>0.47</v>
      </c>
      <c r="E383">
        <v>0.22389999999999999</v>
      </c>
      <c r="F383">
        <v>8</v>
      </c>
      <c r="G383">
        <v>39</v>
      </c>
      <c r="H383">
        <v>47</v>
      </c>
    </row>
    <row r="384" spans="1:8" x14ac:dyDescent="0.3">
      <c r="A384">
        <v>382</v>
      </c>
      <c r="B384">
        <v>383</v>
      </c>
      <c r="C384">
        <v>0.1515</v>
      </c>
      <c r="D384">
        <v>0.5</v>
      </c>
      <c r="E384">
        <v>0.25369999999999998</v>
      </c>
      <c r="F384">
        <v>7</v>
      </c>
      <c r="G384">
        <v>50</v>
      </c>
      <c r="H384">
        <v>57</v>
      </c>
    </row>
    <row r="385" spans="1:8" x14ac:dyDescent="0.3">
      <c r="A385">
        <v>383</v>
      </c>
      <c r="B385">
        <v>384</v>
      </c>
      <c r="C385">
        <v>0.1515</v>
      </c>
      <c r="D385">
        <v>0.55000000000000004</v>
      </c>
      <c r="E385">
        <v>0.19400000000000001</v>
      </c>
      <c r="F385">
        <v>9</v>
      </c>
      <c r="G385">
        <v>55</v>
      </c>
      <c r="H385">
        <v>64</v>
      </c>
    </row>
    <row r="386" spans="1:8" x14ac:dyDescent="0.3">
      <c r="A386">
        <v>384</v>
      </c>
      <c r="B386">
        <v>385</v>
      </c>
      <c r="C386">
        <v>0.19700000000000001</v>
      </c>
      <c r="D386">
        <v>0.47</v>
      </c>
      <c r="E386">
        <v>0.1343</v>
      </c>
      <c r="F386">
        <v>10</v>
      </c>
      <c r="G386">
        <v>70</v>
      </c>
      <c r="H386">
        <v>80</v>
      </c>
    </row>
    <row r="387" spans="1:8" x14ac:dyDescent="0.3">
      <c r="A387">
        <v>385</v>
      </c>
      <c r="B387">
        <v>386</v>
      </c>
      <c r="C387">
        <v>0.19700000000000001</v>
      </c>
      <c r="D387">
        <v>0.47</v>
      </c>
      <c r="E387">
        <v>0.1343</v>
      </c>
      <c r="F387">
        <v>13</v>
      </c>
      <c r="G387">
        <v>80</v>
      </c>
      <c r="H387">
        <v>93</v>
      </c>
    </row>
    <row r="388" spans="1:8" x14ac:dyDescent="0.3">
      <c r="A388">
        <v>386</v>
      </c>
      <c r="B388">
        <v>387</v>
      </c>
      <c r="C388">
        <v>0.21210000000000001</v>
      </c>
      <c r="D388">
        <v>0.43</v>
      </c>
      <c r="E388">
        <v>0.1045</v>
      </c>
      <c r="F388">
        <v>12</v>
      </c>
      <c r="G388">
        <v>74</v>
      </c>
      <c r="H388">
        <v>86</v>
      </c>
    </row>
    <row r="389" spans="1:8" x14ac:dyDescent="0.3">
      <c r="A389">
        <v>387</v>
      </c>
      <c r="B389">
        <v>388</v>
      </c>
      <c r="C389">
        <v>0.21210000000000001</v>
      </c>
      <c r="D389">
        <v>0.47</v>
      </c>
      <c r="E389">
        <v>0.16420000000000001</v>
      </c>
      <c r="F389">
        <v>21</v>
      </c>
      <c r="G389">
        <v>72</v>
      </c>
      <c r="H389">
        <v>93</v>
      </c>
    </row>
    <row r="390" spans="1:8" x14ac:dyDescent="0.3">
      <c r="A390">
        <v>388</v>
      </c>
      <c r="B390">
        <v>389</v>
      </c>
      <c r="C390">
        <v>0.21210000000000001</v>
      </c>
      <c r="D390">
        <v>0.47</v>
      </c>
      <c r="E390">
        <v>0.16420000000000001</v>
      </c>
      <c r="F390">
        <v>6</v>
      </c>
      <c r="G390">
        <v>76</v>
      </c>
      <c r="H390">
        <v>82</v>
      </c>
    </row>
    <row r="391" spans="1:8" x14ac:dyDescent="0.3">
      <c r="A391">
        <v>389</v>
      </c>
      <c r="B391">
        <v>390</v>
      </c>
      <c r="C391">
        <v>0.19700000000000001</v>
      </c>
      <c r="D391">
        <v>0.51</v>
      </c>
      <c r="E391">
        <v>0.19400000000000001</v>
      </c>
      <c r="F391">
        <v>4</v>
      </c>
      <c r="G391">
        <v>67</v>
      </c>
      <c r="H391">
        <v>71</v>
      </c>
    </row>
    <row r="392" spans="1:8" x14ac:dyDescent="0.3">
      <c r="A392">
        <v>390</v>
      </c>
      <c r="B392">
        <v>391</v>
      </c>
      <c r="C392">
        <v>0.16669999999999999</v>
      </c>
      <c r="D392">
        <v>0.55000000000000004</v>
      </c>
      <c r="E392">
        <v>0.25369999999999998</v>
      </c>
      <c r="F392">
        <v>7</v>
      </c>
      <c r="G392">
        <v>85</v>
      </c>
      <c r="H392">
        <v>92</v>
      </c>
    </row>
    <row r="393" spans="1:8" x14ac:dyDescent="0.3">
      <c r="A393">
        <v>391</v>
      </c>
      <c r="B393">
        <v>392</v>
      </c>
      <c r="C393">
        <v>0.18179999999999999</v>
      </c>
      <c r="D393">
        <v>0.59</v>
      </c>
      <c r="E393">
        <v>0.19400000000000001</v>
      </c>
      <c r="F393">
        <v>2</v>
      </c>
      <c r="G393">
        <v>58</v>
      </c>
      <c r="H393">
        <v>60</v>
      </c>
    </row>
    <row r="394" spans="1:8" x14ac:dyDescent="0.3">
      <c r="A394">
        <v>392</v>
      </c>
      <c r="B394">
        <v>393</v>
      </c>
      <c r="C394">
        <v>0.1515</v>
      </c>
      <c r="D394">
        <v>0.8</v>
      </c>
      <c r="E394">
        <v>0.19400000000000001</v>
      </c>
      <c r="F394">
        <v>4</v>
      </c>
      <c r="G394">
        <v>29</v>
      </c>
      <c r="H394">
        <v>33</v>
      </c>
    </row>
    <row r="395" spans="1:8" x14ac:dyDescent="0.3">
      <c r="A395">
        <v>393</v>
      </c>
      <c r="B395">
        <v>394</v>
      </c>
      <c r="C395">
        <v>0.1515</v>
      </c>
      <c r="D395">
        <v>0.8</v>
      </c>
      <c r="E395">
        <v>0.19400000000000001</v>
      </c>
      <c r="F395">
        <v>3</v>
      </c>
      <c r="G395">
        <v>24</v>
      </c>
      <c r="H395">
        <v>27</v>
      </c>
    </row>
    <row r="396" spans="1:8" x14ac:dyDescent="0.3">
      <c r="A396">
        <v>394</v>
      </c>
      <c r="B396">
        <v>395</v>
      </c>
      <c r="C396">
        <v>0.1212</v>
      </c>
      <c r="D396">
        <v>0.93</v>
      </c>
      <c r="E396">
        <v>0.25369999999999998</v>
      </c>
      <c r="F396">
        <v>0</v>
      </c>
      <c r="G396">
        <v>13</v>
      </c>
      <c r="H396">
        <v>13</v>
      </c>
    </row>
    <row r="397" spans="1:8" x14ac:dyDescent="0.3">
      <c r="A397">
        <v>395</v>
      </c>
      <c r="B397">
        <v>396</v>
      </c>
      <c r="C397">
        <v>0.13639999999999999</v>
      </c>
      <c r="D397">
        <v>0.86</v>
      </c>
      <c r="E397">
        <v>0.28360000000000002</v>
      </c>
      <c r="F397">
        <v>1</v>
      </c>
      <c r="G397">
        <v>3</v>
      </c>
      <c r="H397">
        <v>4</v>
      </c>
    </row>
    <row r="398" spans="1:8" x14ac:dyDescent="0.3">
      <c r="A398">
        <v>396</v>
      </c>
      <c r="B398">
        <v>397</v>
      </c>
      <c r="C398">
        <v>0.18179999999999999</v>
      </c>
      <c r="D398">
        <v>0.86</v>
      </c>
      <c r="E398">
        <v>0.32840000000000003</v>
      </c>
      <c r="F398">
        <v>0</v>
      </c>
      <c r="G398">
        <v>3</v>
      </c>
      <c r="H398">
        <v>3</v>
      </c>
    </row>
    <row r="399" spans="1:8" x14ac:dyDescent="0.3">
      <c r="A399">
        <v>397</v>
      </c>
      <c r="B399">
        <v>398</v>
      </c>
      <c r="C399">
        <v>0.19700000000000001</v>
      </c>
      <c r="D399">
        <v>0.86</v>
      </c>
      <c r="E399">
        <v>0.22389999999999999</v>
      </c>
      <c r="F399">
        <v>0</v>
      </c>
      <c r="G399">
        <v>22</v>
      </c>
      <c r="H399">
        <v>22</v>
      </c>
    </row>
    <row r="400" spans="1:8" x14ac:dyDescent="0.3">
      <c r="A400">
        <v>398</v>
      </c>
      <c r="B400">
        <v>399</v>
      </c>
      <c r="C400">
        <v>0.2273</v>
      </c>
      <c r="D400">
        <v>0.8</v>
      </c>
      <c r="E400">
        <v>0.16420000000000001</v>
      </c>
      <c r="F400">
        <v>2</v>
      </c>
      <c r="G400">
        <v>26</v>
      </c>
      <c r="H400">
        <v>28</v>
      </c>
    </row>
    <row r="401" spans="1:8" x14ac:dyDescent="0.3">
      <c r="A401">
        <v>399</v>
      </c>
      <c r="B401">
        <v>400</v>
      </c>
      <c r="C401">
        <v>0.2273</v>
      </c>
      <c r="D401">
        <v>0.87</v>
      </c>
      <c r="E401">
        <v>0.16420000000000001</v>
      </c>
      <c r="F401">
        <v>3</v>
      </c>
      <c r="G401">
        <v>32</v>
      </c>
      <c r="H401">
        <v>35</v>
      </c>
    </row>
    <row r="402" spans="1:8" x14ac:dyDescent="0.3">
      <c r="A402">
        <v>400</v>
      </c>
      <c r="B402">
        <v>401</v>
      </c>
      <c r="C402">
        <v>0.2273</v>
      </c>
      <c r="D402">
        <v>0.87</v>
      </c>
      <c r="E402">
        <v>0.19400000000000001</v>
      </c>
      <c r="F402">
        <v>0</v>
      </c>
      <c r="G402">
        <v>61</v>
      </c>
      <c r="H402">
        <v>61</v>
      </c>
    </row>
    <row r="403" spans="1:8" x14ac:dyDescent="0.3">
      <c r="A403">
        <v>401</v>
      </c>
      <c r="B403">
        <v>402</v>
      </c>
      <c r="C403">
        <v>0.2273</v>
      </c>
      <c r="D403">
        <v>0.82</v>
      </c>
      <c r="E403">
        <v>0.19400000000000001</v>
      </c>
      <c r="F403">
        <v>1</v>
      </c>
      <c r="G403">
        <v>124</v>
      </c>
      <c r="H403">
        <v>125</v>
      </c>
    </row>
    <row r="404" spans="1:8" x14ac:dyDescent="0.3">
      <c r="A404">
        <v>402</v>
      </c>
      <c r="B404">
        <v>403</v>
      </c>
      <c r="C404">
        <v>0.2273</v>
      </c>
      <c r="D404">
        <v>0.8</v>
      </c>
      <c r="E404">
        <v>0.16420000000000001</v>
      </c>
      <c r="F404">
        <v>1</v>
      </c>
      <c r="G404">
        <v>132</v>
      </c>
      <c r="H404">
        <v>133</v>
      </c>
    </row>
    <row r="405" spans="1:8" x14ac:dyDescent="0.3">
      <c r="A405">
        <v>403</v>
      </c>
      <c r="B405">
        <v>404</v>
      </c>
      <c r="C405">
        <v>0.2273</v>
      </c>
      <c r="D405">
        <v>0.8</v>
      </c>
      <c r="E405">
        <v>0.1343</v>
      </c>
      <c r="F405">
        <v>1</v>
      </c>
      <c r="G405">
        <v>98</v>
      </c>
      <c r="H405">
        <v>99</v>
      </c>
    </row>
    <row r="406" spans="1:8" x14ac:dyDescent="0.3">
      <c r="A406">
        <v>404</v>
      </c>
      <c r="B406">
        <v>405</v>
      </c>
      <c r="C406">
        <v>0.2727</v>
      </c>
      <c r="D406">
        <v>0.87</v>
      </c>
      <c r="E406">
        <v>0</v>
      </c>
      <c r="F406">
        <v>0</v>
      </c>
      <c r="G406">
        <v>83</v>
      </c>
      <c r="H406">
        <v>83</v>
      </c>
    </row>
    <row r="407" spans="1:8" x14ac:dyDescent="0.3">
      <c r="A407">
        <v>405</v>
      </c>
      <c r="B407">
        <v>406</v>
      </c>
      <c r="C407">
        <v>0.2424</v>
      </c>
      <c r="D407">
        <v>0.93</v>
      </c>
      <c r="E407">
        <v>0.1045</v>
      </c>
      <c r="F407">
        <v>0</v>
      </c>
      <c r="G407">
        <v>41</v>
      </c>
      <c r="H407">
        <v>41</v>
      </c>
    </row>
    <row r="408" spans="1:8" x14ac:dyDescent="0.3">
      <c r="A408">
        <v>406</v>
      </c>
      <c r="B408">
        <v>407</v>
      </c>
      <c r="C408">
        <v>0.2576</v>
      </c>
      <c r="D408">
        <v>0.93</v>
      </c>
      <c r="E408">
        <v>8.9599999999999999E-2</v>
      </c>
      <c r="F408">
        <v>0</v>
      </c>
      <c r="G408">
        <v>33</v>
      </c>
      <c r="H408">
        <v>33</v>
      </c>
    </row>
    <row r="409" spans="1:8" x14ac:dyDescent="0.3">
      <c r="A409">
        <v>407</v>
      </c>
      <c r="B409">
        <v>408</v>
      </c>
      <c r="C409">
        <v>0.2727</v>
      </c>
      <c r="D409">
        <v>0.93</v>
      </c>
      <c r="E409">
        <v>0</v>
      </c>
      <c r="F409">
        <v>1</v>
      </c>
      <c r="G409">
        <v>19</v>
      </c>
      <c r="H409">
        <v>20</v>
      </c>
    </row>
    <row r="410" spans="1:8" x14ac:dyDescent="0.3">
      <c r="A410">
        <v>408</v>
      </c>
      <c r="B410">
        <v>409</v>
      </c>
      <c r="C410">
        <v>0.2727</v>
      </c>
      <c r="D410">
        <v>0.93</v>
      </c>
      <c r="E410">
        <v>0</v>
      </c>
      <c r="F410">
        <v>0</v>
      </c>
      <c r="G410">
        <v>3</v>
      </c>
      <c r="H410">
        <v>3</v>
      </c>
    </row>
    <row r="411" spans="1:8" x14ac:dyDescent="0.3">
      <c r="A411">
        <v>409</v>
      </c>
      <c r="B411">
        <v>410</v>
      </c>
      <c r="C411">
        <v>0.2273</v>
      </c>
      <c r="D411">
        <v>0.93</v>
      </c>
      <c r="E411">
        <v>0.1343</v>
      </c>
      <c r="F411">
        <v>1</v>
      </c>
      <c r="G411">
        <v>6</v>
      </c>
      <c r="H411">
        <v>7</v>
      </c>
    </row>
    <row r="412" spans="1:8" x14ac:dyDescent="0.3">
      <c r="A412">
        <v>410</v>
      </c>
      <c r="B412">
        <v>411</v>
      </c>
      <c r="C412">
        <v>0.2273</v>
      </c>
      <c r="D412">
        <v>0.93</v>
      </c>
      <c r="E412">
        <v>0.1343</v>
      </c>
      <c r="F412">
        <v>0</v>
      </c>
      <c r="G412">
        <v>3</v>
      </c>
      <c r="H412">
        <v>3</v>
      </c>
    </row>
    <row r="413" spans="1:8" x14ac:dyDescent="0.3">
      <c r="A413">
        <v>411</v>
      </c>
      <c r="B413">
        <v>412</v>
      </c>
      <c r="C413">
        <v>0.2273</v>
      </c>
      <c r="D413">
        <v>0.93</v>
      </c>
      <c r="E413">
        <v>0.1343</v>
      </c>
      <c r="F413">
        <v>1</v>
      </c>
      <c r="G413">
        <v>1</v>
      </c>
      <c r="H413">
        <v>2</v>
      </c>
    </row>
    <row r="414" spans="1:8" x14ac:dyDescent="0.3">
      <c r="A414">
        <v>412</v>
      </c>
      <c r="B414">
        <v>413</v>
      </c>
      <c r="C414">
        <v>0.2576</v>
      </c>
      <c r="D414">
        <v>0.93</v>
      </c>
      <c r="E414">
        <v>8.9599999999999999E-2</v>
      </c>
      <c r="F414">
        <v>0</v>
      </c>
      <c r="G414">
        <v>7</v>
      </c>
      <c r="H414">
        <v>7</v>
      </c>
    </row>
    <row r="415" spans="1:8" x14ac:dyDescent="0.3">
      <c r="A415">
        <v>413</v>
      </c>
      <c r="B415">
        <v>414</v>
      </c>
      <c r="C415">
        <v>0.2576</v>
      </c>
      <c r="D415">
        <v>0.93</v>
      </c>
      <c r="E415">
        <v>8.9599999999999999E-2</v>
      </c>
      <c r="F415">
        <v>0</v>
      </c>
      <c r="G415">
        <v>32</v>
      </c>
      <c r="H415">
        <v>32</v>
      </c>
    </row>
    <row r="416" spans="1:8" x14ac:dyDescent="0.3">
      <c r="A416">
        <v>414</v>
      </c>
      <c r="B416">
        <v>415</v>
      </c>
      <c r="C416">
        <v>0.2576</v>
      </c>
      <c r="D416">
        <v>0.92</v>
      </c>
      <c r="E416">
        <v>0.1045</v>
      </c>
      <c r="F416">
        <v>1</v>
      </c>
      <c r="G416">
        <v>89</v>
      </c>
      <c r="H416">
        <v>90</v>
      </c>
    </row>
    <row r="417" spans="1:8" x14ac:dyDescent="0.3">
      <c r="A417">
        <v>415</v>
      </c>
      <c r="B417">
        <v>416</v>
      </c>
      <c r="C417">
        <v>0.2576</v>
      </c>
      <c r="D417">
        <v>0.93</v>
      </c>
      <c r="E417">
        <v>0.1045</v>
      </c>
      <c r="F417">
        <v>1</v>
      </c>
      <c r="G417">
        <v>196</v>
      </c>
      <c r="H417">
        <v>197</v>
      </c>
    </row>
    <row r="418" spans="1:8" x14ac:dyDescent="0.3">
      <c r="A418">
        <v>416</v>
      </c>
      <c r="B418">
        <v>417</v>
      </c>
      <c r="C418">
        <v>0.2576</v>
      </c>
      <c r="D418">
        <v>0.93</v>
      </c>
      <c r="E418">
        <v>0.1045</v>
      </c>
      <c r="F418">
        <v>2</v>
      </c>
      <c r="G418">
        <v>107</v>
      </c>
      <c r="H418">
        <v>109</v>
      </c>
    </row>
    <row r="419" spans="1:8" x14ac:dyDescent="0.3">
      <c r="A419">
        <v>417</v>
      </c>
      <c r="B419">
        <v>418</v>
      </c>
      <c r="C419">
        <v>0.2727</v>
      </c>
      <c r="D419">
        <v>0.93</v>
      </c>
      <c r="E419">
        <v>0.1343</v>
      </c>
      <c r="F419">
        <v>1</v>
      </c>
      <c r="G419">
        <v>46</v>
      </c>
      <c r="H419">
        <v>47</v>
      </c>
    </row>
    <row r="420" spans="1:8" x14ac:dyDescent="0.3">
      <c r="A420">
        <v>418</v>
      </c>
      <c r="B420">
        <v>419</v>
      </c>
      <c r="C420">
        <v>0.30299999999999999</v>
      </c>
      <c r="D420">
        <v>0.87</v>
      </c>
      <c r="E420">
        <v>8.9599999999999999E-2</v>
      </c>
      <c r="F420">
        <v>5</v>
      </c>
      <c r="G420">
        <v>47</v>
      </c>
      <c r="H420">
        <v>52</v>
      </c>
    </row>
    <row r="421" spans="1:8" x14ac:dyDescent="0.3">
      <c r="A421">
        <v>419</v>
      </c>
      <c r="B421">
        <v>420</v>
      </c>
      <c r="C421">
        <v>0.31819999999999998</v>
      </c>
      <c r="D421">
        <v>0.81</v>
      </c>
      <c r="E421">
        <v>8.9599999999999999E-2</v>
      </c>
      <c r="F421">
        <v>5</v>
      </c>
      <c r="G421">
        <v>65</v>
      </c>
      <c r="H421">
        <v>70</v>
      </c>
    </row>
    <row r="422" spans="1:8" x14ac:dyDescent="0.3">
      <c r="A422">
        <v>420</v>
      </c>
      <c r="B422">
        <v>421</v>
      </c>
      <c r="C422">
        <v>0.40910000000000002</v>
      </c>
      <c r="D422">
        <v>0.62</v>
      </c>
      <c r="E422">
        <v>0.28360000000000002</v>
      </c>
      <c r="F422">
        <v>11</v>
      </c>
      <c r="G422">
        <v>67</v>
      </c>
      <c r="H422">
        <v>78</v>
      </c>
    </row>
    <row r="423" spans="1:8" x14ac:dyDescent="0.3">
      <c r="A423">
        <v>421</v>
      </c>
      <c r="B423">
        <v>422</v>
      </c>
      <c r="C423">
        <v>0.40910000000000002</v>
      </c>
      <c r="D423">
        <v>0.57999999999999996</v>
      </c>
      <c r="E423">
        <v>0.25369999999999998</v>
      </c>
      <c r="F423">
        <v>7</v>
      </c>
      <c r="G423">
        <v>68</v>
      </c>
      <c r="H423">
        <v>75</v>
      </c>
    </row>
    <row r="424" spans="1:8" x14ac:dyDescent="0.3">
      <c r="A424">
        <v>422</v>
      </c>
      <c r="B424">
        <v>423</v>
      </c>
      <c r="C424">
        <v>0.40910000000000002</v>
      </c>
      <c r="D424">
        <v>0.54</v>
      </c>
      <c r="E424">
        <v>0.28360000000000002</v>
      </c>
      <c r="F424">
        <v>4</v>
      </c>
      <c r="G424">
        <v>78</v>
      </c>
      <c r="H424">
        <v>82</v>
      </c>
    </row>
    <row r="425" spans="1:8" x14ac:dyDescent="0.3">
      <c r="A425">
        <v>423</v>
      </c>
      <c r="B425">
        <v>424</v>
      </c>
      <c r="C425">
        <v>0.39389999999999997</v>
      </c>
      <c r="D425">
        <v>0.57999999999999996</v>
      </c>
      <c r="E425">
        <v>0.3881</v>
      </c>
      <c r="F425">
        <v>10</v>
      </c>
      <c r="G425">
        <v>94</v>
      </c>
      <c r="H425">
        <v>104</v>
      </c>
    </row>
    <row r="426" spans="1:8" x14ac:dyDescent="0.3">
      <c r="A426">
        <v>424</v>
      </c>
      <c r="B426">
        <v>425</v>
      </c>
      <c r="C426">
        <v>0.33329999999999999</v>
      </c>
      <c r="D426">
        <v>0.56999999999999995</v>
      </c>
      <c r="E426">
        <v>0.32840000000000003</v>
      </c>
      <c r="F426">
        <v>7</v>
      </c>
      <c r="G426">
        <v>190</v>
      </c>
      <c r="H426">
        <v>197</v>
      </c>
    </row>
    <row r="427" spans="1:8" x14ac:dyDescent="0.3">
      <c r="A427">
        <v>425</v>
      </c>
      <c r="B427">
        <v>426</v>
      </c>
      <c r="C427">
        <v>0.31819999999999998</v>
      </c>
      <c r="D427">
        <v>0.61</v>
      </c>
      <c r="E427">
        <v>0.28360000000000002</v>
      </c>
      <c r="F427">
        <v>5</v>
      </c>
      <c r="G427">
        <v>156</v>
      </c>
      <c r="H427">
        <v>161</v>
      </c>
    </row>
    <row r="428" spans="1:8" x14ac:dyDescent="0.3">
      <c r="A428">
        <v>426</v>
      </c>
      <c r="B428">
        <v>427</v>
      </c>
      <c r="C428">
        <v>0.28789999999999999</v>
      </c>
      <c r="D428">
        <v>0.56999999999999995</v>
      </c>
      <c r="E428">
        <v>0.41789999999999999</v>
      </c>
      <c r="F428">
        <v>4</v>
      </c>
      <c r="G428">
        <v>108</v>
      </c>
      <c r="H428">
        <v>112</v>
      </c>
    </row>
    <row r="429" spans="1:8" x14ac:dyDescent="0.3">
      <c r="A429">
        <v>427</v>
      </c>
      <c r="B429">
        <v>428</v>
      </c>
      <c r="C429">
        <v>0.30299999999999999</v>
      </c>
      <c r="D429">
        <v>0.49</v>
      </c>
      <c r="E429">
        <v>0.29849999999999999</v>
      </c>
      <c r="F429">
        <v>2</v>
      </c>
      <c r="G429">
        <v>74</v>
      </c>
      <c r="H429">
        <v>76</v>
      </c>
    </row>
    <row r="430" spans="1:8" x14ac:dyDescent="0.3">
      <c r="A430">
        <v>428</v>
      </c>
      <c r="B430">
        <v>429</v>
      </c>
      <c r="C430">
        <v>0.28789999999999999</v>
      </c>
      <c r="D430">
        <v>0.49</v>
      </c>
      <c r="E430">
        <v>0.41789999999999999</v>
      </c>
      <c r="F430">
        <v>4</v>
      </c>
      <c r="G430">
        <v>55</v>
      </c>
      <c r="H430">
        <v>59</v>
      </c>
    </row>
    <row r="431" spans="1:8" x14ac:dyDescent="0.3">
      <c r="A431">
        <v>429</v>
      </c>
      <c r="B431">
        <v>430</v>
      </c>
      <c r="C431">
        <v>0.30299999999999999</v>
      </c>
      <c r="D431">
        <v>0.52</v>
      </c>
      <c r="E431">
        <v>0.16420000000000001</v>
      </c>
      <c r="F431">
        <v>6</v>
      </c>
      <c r="G431">
        <v>53</v>
      </c>
      <c r="H431">
        <v>59</v>
      </c>
    </row>
    <row r="432" spans="1:8" x14ac:dyDescent="0.3">
      <c r="A432">
        <v>430</v>
      </c>
      <c r="B432">
        <v>431</v>
      </c>
      <c r="C432">
        <v>0.2727</v>
      </c>
      <c r="D432">
        <v>0.52</v>
      </c>
      <c r="E432">
        <v>0.4627</v>
      </c>
      <c r="F432">
        <v>1</v>
      </c>
      <c r="G432">
        <v>27</v>
      </c>
      <c r="H432">
        <v>28</v>
      </c>
    </row>
    <row r="433" spans="1:8" x14ac:dyDescent="0.3">
      <c r="A433">
        <v>431</v>
      </c>
      <c r="B433">
        <v>432</v>
      </c>
      <c r="C433">
        <v>0.2273</v>
      </c>
      <c r="D433">
        <v>0.56000000000000005</v>
      </c>
      <c r="E433">
        <v>0.3881</v>
      </c>
      <c r="F433">
        <v>5</v>
      </c>
      <c r="G433">
        <v>8</v>
      </c>
      <c r="H433">
        <v>13</v>
      </c>
    </row>
    <row r="434" spans="1:8" x14ac:dyDescent="0.3">
      <c r="A434">
        <v>432</v>
      </c>
      <c r="B434">
        <v>433</v>
      </c>
      <c r="C434">
        <v>0.2727</v>
      </c>
      <c r="D434">
        <v>0.56000000000000005</v>
      </c>
      <c r="E434">
        <v>0</v>
      </c>
      <c r="F434">
        <v>2</v>
      </c>
      <c r="G434">
        <v>3</v>
      </c>
      <c r="H434">
        <v>5</v>
      </c>
    </row>
    <row r="435" spans="1:8" x14ac:dyDescent="0.3">
      <c r="A435">
        <v>433</v>
      </c>
      <c r="B435">
        <v>434</v>
      </c>
      <c r="C435">
        <v>0.2727</v>
      </c>
      <c r="D435">
        <v>0.56000000000000005</v>
      </c>
      <c r="E435">
        <v>0</v>
      </c>
      <c r="F435">
        <v>0</v>
      </c>
      <c r="G435">
        <v>2</v>
      </c>
      <c r="H435">
        <v>2</v>
      </c>
    </row>
    <row r="436" spans="1:8" x14ac:dyDescent="0.3">
      <c r="A436">
        <v>434</v>
      </c>
      <c r="B436">
        <v>435</v>
      </c>
      <c r="C436">
        <v>0.2576</v>
      </c>
      <c r="D436">
        <v>0.56000000000000005</v>
      </c>
      <c r="E436">
        <v>0.16420000000000001</v>
      </c>
      <c r="F436">
        <v>0</v>
      </c>
      <c r="G436">
        <v>1</v>
      </c>
      <c r="H436">
        <v>1</v>
      </c>
    </row>
    <row r="437" spans="1:8" x14ac:dyDescent="0.3">
      <c r="A437">
        <v>435</v>
      </c>
      <c r="B437">
        <v>436</v>
      </c>
      <c r="C437">
        <v>0.2576</v>
      </c>
      <c r="D437">
        <v>0.56000000000000005</v>
      </c>
      <c r="E437">
        <v>0.16420000000000001</v>
      </c>
      <c r="F437">
        <v>0</v>
      </c>
      <c r="G437">
        <v>1</v>
      </c>
      <c r="H437">
        <v>1</v>
      </c>
    </row>
    <row r="438" spans="1:8" x14ac:dyDescent="0.3">
      <c r="A438">
        <v>436</v>
      </c>
      <c r="B438">
        <v>437</v>
      </c>
      <c r="C438">
        <v>0.2273</v>
      </c>
      <c r="D438">
        <v>0.6</v>
      </c>
      <c r="E438">
        <v>0.22389999999999999</v>
      </c>
      <c r="F438">
        <v>0</v>
      </c>
      <c r="G438">
        <v>6</v>
      </c>
      <c r="H438">
        <v>6</v>
      </c>
    </row>
    <row r="439" spans="1:8" x14ac:dyDescent="0.3">
      <c r="A439">
        <v>437</v>
      </c>
      <c r="B439">
        <v>438</v>
      </c>
      <c r="C439">
        <v>0.21210000000000001</v>
      </c>
      <c r="D439">
        <v>0.6</v>
      </c>
      <c r="E439">
        <v>0.22389999999999999</v>
      </c>
      <c r="F439">
        <v>0</v>
      </c>
      <c r="G439">
        <v>35</v>
      </c>
      <c r="H439">
        <v>35</v>
      </c>
    </row>
    <row r="440" spans="1:8" x14ac:dyDescent="0.3">
      <c r="A440">
        <v>438</v>
      </c>
      <c r="B440">
        <v>439</v>
      </c>
      <c r="C440">
        <v>0.21210000000000001</v>
      </c>
      <c r="D440">
        <v>0.55000000000000004</v>
      </c>
      <c r="E440">
        <v>0.22389999999999999</v>
      </c>
      <c r="F440">
        <v>1</v>
      </c>
      <c r="G440">
        <v>100</v>
      </c>
      <c r="H440">
        <v>101</v>
      </c>
    </row>
    <row r="441" spans="1:8" x14ac:dyDescent="0.3">
      <c r="A441">
        <v>439</v>
      </c>
      <c r="B441">
        <v>440</v>
      </c>
      <c r="C441">
        <v>0.21210000000000001</v>
      </c>
      <c r="D441">
        <v>0.55000000000000004</v>
      </c>
      <c r="E441">
        <v>0.28360000000000002</v>
      </c>
      <c r="F441">
        <v>2</v>
      </c>
      <c r="G441">
        <v>247</v>
      </c>
      <c r="H441">
        <v>249</v>
      </c>
    </row>
    <row r="442" spans="1:8" x14ac:dyDescent="0.3">
      <c r="A442">
        <v>440</v>
      </c>
      <c r="B442">
        <v>441</v>
      </c>
      <c r="C442">
        <v>0.2273</v>
      </c>
      <c r="D442">
        <v>0.52</v>
      </c>
      <c r="E442">
        <v>0.22389999999999999</v>
      </c>
      <c r="F442">
        <v>3</v>
      </c>
      <c r="G442">
        <v>140</v>
      </c>
      <c r="H442">
        <v>143</v>
      </c>
    </row>
    <row r="443" spans="1:8" x14ac:dyDescent="0.3">
      <c r="A443">
        <v>441</v>
      </c>
      <c r="B443">
        <v>442</v>
      </c>
      <c r="C443">
        <v>0.2273</v>
      </c>
      <c r="D443">
        <v>0.48</v>
      </c>
      <c r="E443">
        <v>0.29849999999999999</v>
      </c>
      <c r="F443">
        <v>1</v>
      </c>
      <c r="G443">
        <v>56</v>
      </c>
      <c r="H443">
        <v>57</v>
      </c>
    </row>
    <row r="444" spans="1:8" x14ac:dyDescent="0.3">
      <c r="A444">
        <v>442</v>
      </c>
      <c r="B444">
        <v>443</v>
      </c>
      <c r="C444">
        <v>0.2727</v>
      </c>
      <c r="D444">
        <v>0.45</v>
      </c>
      <c r="E444">
        <v>0.16420000000000001</v>
      </c>
      <c r="F444">
        <v>5</v>
      </c>
      <c r="G444">
        <v>63</v>
      </c>
      <c r="H444">
        <v>68</v>
      </c>
    </row>
    <row r="445" spans="1:8" x14ac:dyDescent="0.3">
      <c r="A445">
        <v>443</v>
      </c>
      <c r="B445">
        <v>444</v>
      </c>
      <c r="C445">
        <v>0.33329999999999999</v>
      </c>
      <c r="D445">
        <v>0.42</v>
      </c>
      <c r="E445">
        <v>0</v>
      </c>
      <c r="F445">
        <v>7</v>
      </c>
      <c r="G445">
        <v>77</v>
      </c>
      <c r="H445">
        <v>84</v>
      </c>
    </row>
    <row r="446" spans="1:8" x14ac:dyDescent="0.3">
      <c r="A446">
        <v>444</v>
      </c>
      <c r="B446">
        <v>445</v>
      </c>
      <c r="C446">
        <v>0.28789999999999999</v>
      </c>
      <c r="D446">
        <v>0.45</v>
      </c>
      <c r="E446">
        <v>0.1045</v>
      </c>
      <c r="F446">
        <v>12</v>
      </c>
      <c r="G446">
        <v>86</v>
      </c>
      <c r="H446">
        <v>98</v>
      </c>
    </row>
    <row r="447" spans="1:8" x14ac:dyDescent="0.3">
      <c r="A447">
        <v>445</v>
      </c>
      <c r="B447">
        <v>446</v>
      </c>
      <c r="C447">
        <v>0.30299999999999999</v>
      </c>
      <c r="D447">
        <v>0.45</v>
      </c>
      <c r="E447">
        <v>0.1343</v>
      </c>
      <c r="F447">
        <v>6</v>
      </c>
      <c r="G447">
        <v>75</v>
      </c>
      <c r="H447">
        <v>81</v>
      </c>
    </row>
    <row r="448" spans="1:8" x14ac:dyDescent="0.3">
      <c r="A448">
        <v>446</v>
      </c>
      <c r="B448">
        <v>447</v>
      </c>
      <c r="C448">
        <v>0.31819999999999998</v>
      </c>
      <c r="D448">
        <v>0.45</v>
      </c>
      <c r="E448">
        <v>0.19400000000000001</v>
      </c>
      <c r="F448">
        <v>8</v>
      </c>
      <c r="G448">
        <v>62</v>
      </c>
      <c r="H448">
        <v>70</v>
      </c>
    </row>
    <row r="449" spans="1:8" x14ac:dyDescent="0.3">
      <c r="A449">
        <v>447</v>
      </c>
      <c r="B449">
        <v>448</v>
      </c>
      <c r="C449">
        <v>0.30299999999999999</v>
      </c>
      <c r="D449">
        <v>0.49</v>
      </c>
      <c r="E449">
        <v>0.1343</v>
      </c>
      <c r="F449">
        <v>8</v>
      </c>
      <c r="G449">
        <v>83</v>
      </c>
      <c r="H449">
        <v>91</v>
      </c>
    </row>
    <row r="450" spans="1:8" x14ac:dyDescent="0.3">
      <c r="A450">
        <v>448</v>
      </c>
      <c r="B450">
        <v>449</v>
      </c>
      <c r="C450">
        <v>0.31819999999999998</v>
      </c>
      <c r="D450">
        <v>0.49</v>
      </c>
      <c r="E450">
        <v>0.1045</v>
      </c>
      <c r="F450">
        <v>8</v>
      </c>
      <c r="G450">
        <v>207</v>
      </c>
      <c r="H450">
        <v>215</v>
      </c>
    </row>
    <row r="451" spans="1:8" x14ac:dyDescent="0.3">
      <c r="A451">
        <v>449</v>
      </c>
      <c r="B451">
        <v>450</v>
      </c>
      <c r="C451">
        <v>0.2576</v>
      </c>
      <c r="D451">
        <v>0.56000000000000005</v>
      </c>
      <c r="E451">
        <v>0.19400000000000001</v>
      </c>
      <c r="F451">
        <v>1</v>
      </c>
      <c r="G451">
        <v>184</v>
      </c>
      <c r="H451">
        <v>185</v>
      </c>
    </row>
    <row r="452" spans="1:8" x14ac:dyDescent="0.3">
      <c r="A452">
        <v>450</v>
      </c>
      <c r="B452">
        <v>451</v>
      </c>
      <c r="C452">
        <v>0.2273</v>
      </c>
      <c r="D452">
        <v>0.56000000000000005</v>
      </c>
      <c r="E452">
        <v>0.32840000000000003</v>
      </c>
      <c r="F452">
        <v>6</v>
      </c>
      <c r="G452">
        <v>146</v>
      </c>
      <c r="H452">
        <v>152</v>
      </c>
    </row>
    <row r="453" spans="1:8" x14ac:dyDescent="0.3">
      <c r="A453">
        <v>451</v>
      </c>
      <c r="B453">
        <v>452</v>
      </c>
      <c r="C453">
        <v>0.2424</v>
      </c>
      <c r="D453">
        <v>0.6</v>
      </c>
      <c r="E453">
        <v>0.28360000000000002</v>
      </c>
      <c r="F453">
        <v>2</v>
      </c>
      <c r="G453">
        <v>124</v>
      </c>
      <c r="H453">
        <v>126</v>
      </c>
    </row>
    <row r="454" spans="1:8" x14ac:dyDescent="0.3">
      <c r="A454">
        <v>452</v>
      </c>
      <c r="B454">
        <v>453</v>
      </c>
      <c r="C454">
        <v>0.2273</v>
      </c>
      <c r="D454">
        <v>0.6</v>
      </c>
      <c r="E454">
        <v>0.25369999999999998</v>
      </c>
      <c r="F454">
        <v>3</v>
      </c>
      <c r="G454">
        <v>54</v>
      </c>
      <c r="H454">
        <v>57</v>
      </c>
    </row>
    <row r="455" spans="1:8" x14ac:dyDescent="0.3">
      <c r="A455">
        <v>453</v>
      </c>
      <c r="B455">
        <v>454</v>
      </c>
      <c r="C455">
        <v>0.21210000000000001</v>
      </c>
      <c r="D455">
        <v>0.65</v>
      </c>
      <c r="E455">
        <v>0.28360000000000002</v>
      </c>
      <c r="F455">
        <v>0</v>
      </c>
      <c r="G455">
        <v>56</v>
      </c>
      <c r="H455">
        <v>56</v>
      </c>
    </row>
    <row r="456" spans="1:8" x14ac:dyDescent="0.3">
      <c r="A456">
        <v>454</v>
      </c>
      <c r="B456">
        <v>455</v>
      </c>
      <c r="C456">
        <v>0.21210000000000001</v>
      </c>
      <c r="D456">
        <v>0.65</v>
      </c>
      <c r="E456">
        <v>0.32840000000000003</v>
      </c>
      <c r="F456">
        <v>3</v>
      </c>
      <c r="G456">
        <v>28</v>
      </c>
      <c r="H456">
        <v>31</v>
      </c>
    </row>
    <row r="457" spans="1:8" x14ac:dyDescent="0.3">
      <c r="A457">
        <v>455</v>
      </c>
      <c r="B457">
        <v>456</v>
      </c>
      <c r="C457">
        <v>0.2273</v>
      </c>
      <c r="D457">
        <v>0.7</v>
      </c>
      <c r="E457">
        <v>0.25369999999999998</v>
      </c>
      <c r="F457">
        <v>1</v>
      </c>
      <c r="G457">
        <v>20</v>
      </c>
      <c r="H457">
        <v>21</v>
      </c>
    </row>
    <row r="458" spans="1:8" x14ac:dyDescent="0.3">
      <c r="A458">
        <v>456</v>
      </c>
      <c r="B458">
        <v>457</v>
      </c>
      <c r="C458">
        <v>0.2273</v>
      </c>
      <c r="D458">
        <v>0.7</v>
      </c>
      <c r="E458">
        <v>0.25369999999999998</v>
      </c>
      <c r="F458">
        <v>0</v>
      </c>
      <c r="G458">
        <v>6</v>
      </c>
      <c r="H458">
        <v>6</v>
      </c>
    </row>
    <row r="459" spans="1:8" x14ac:dyDescent="0.3">
      <c r="A459">
        <v>457</v>
      </c>
      <c r="B459">
        <v>458</v>
      </c>
      <c r="C459">
        <v>0.2424</v>
      </c>
      <c r="D459">
        <v>0.75</v>
      </c>
      <c r="E459">
        <v>0.16420000000000001</v>
      </c>
      <c r="F459">
        <v>0</v>
      </c>
      <c r="G459">
        <v>2</v>
      </c>
      <c r="H459">
        <v>2</v>
      </c>
    </row>
    <row r="460" spans="1:8" x14ac:dyDescent="0.3">
      <c r="A460">
        <v>458</v>
      </c>
      <c r="B460">
        <v>459</v>
      </c>
      <c r="C460">
        <v>0.21210000000000001</v>
      </c>
      <c r="D460">
        <v>0.8</v>
      </c>
      <c r="E460">
        <v>0.29849999999999999</v>
      </c>
      <c r="F460">
        <v>0</v>
      </c>
      <c r="G460">
        <v>1</v>
      </c>
      <c r="H460">
        <v>1</v>
      </c>
    </row>
    <row r="461" spans="1:8" x14ac:dyDescent="0.3">
      <c r="A461">
        <v>459</v>
      </c>
      <c r="B461">
        <v>460</v>
      </c>
      <c r="C461">
        <v>0.2576</v>
      </c>
      <c r="D461">
        <v>0.87</v>
      </c>
      <c r="E461">
        <v>8.9599999999999999E-2</v>
      </c>
      <c r="F461">
        <v>0</v>
      </c>
      <c r="G461">
        <v>1</v>
      </c>
      <c r="H461">
        <v>1</v>
      </c>
    </row>
    <row r="462" spans="1:8" x14ac:dyDescent="0.3">
      <c r="A462">
        <v>460</v>
      </c>
      <c r="B462">
        <v>461</v>
      </c>
      <c r="C462">
        <v>0.19700000000000001</v>
      </c>
      <c r="D462">
        <v>0.6</v>
      </c>
      <c r="E462">
        <v>0.41789999999999999</v>
      </c>
      <c r="F462">
        <v>1</v>
      </c>
      <c r="G462">
        <v>4</v>
      </c>
      <c r="H462">
        <v>5</v>
      </c>
    </row>
    <row r="463" spans="1:8" x14ac:dyDescent="0.3">
      <c r="A463">
        <v>461</v>
      </c>
      <c r="B463">
        <v>462</v>
      </c>
      <c r="C463">
        <v>0.21210000000000001</v>
      </c>
      <c r="D463">
        <v>0.55000000000000004</v>
      </c>
      <c r="E463">
        <v>0.25369999999999998</v>
      </c>
      <c r="F463">
        <v>0</v>
      </c>
      <c r="G463">
        <v>27</v>
      </c>
      <c r="H463">
        <v>27</v>
      </c>
    </row>
    <row r="464" spans="1:8" x14ac:dyDescent="0.3">
      <c r="A464">
        <v>462</v>
      </c>
      <c r="B464">
        <v>463</v>
      </c>
      <c r="C464">
        <v>0.18179999999999999</v>
      </c>
      <c r="D464">
        <v>0.51</v>
      </c>
      <c r="E464">
        <v>0.28360000000000002</v>
      </c>
      <c r="F464">
        <v>2</v>
      </c>
      <c r="G464">
        <v>66</v>
      </c>
      <c r="H464">
        <v>68</v>
      </c>
    </row>
    <row r="465" spans="1:8" x14ac:dyDescent="0.3">
      <c r="A465">
        <v>463</v>
      </c>
      <c r="B465">
        <v>464</v>
      </c>
      <c r="C465">
        <v>0.18179999999999999</v>
      </c>
      <c r="D465">
        <v>0.47</v>
      </c>
      <c r="E465">
        <v>0.32840000000000003</v>
      </c>
      <c r="F465">
        <v>7</v>
      </c>
      <c r="G465">
        <v>210</v>
      </c>
      <c r="H465">
        <v>217</v>
      </c>
    </row>
    <row r="466" spans="1:8" x14ac:dyDescent="0.3">
      <c r="A466">
        <v>464</v>
      </c>
      <c r="B466">
        <v>465</v>
      </c>
      <c r="C466">
        <v>0.18179999999999999</v>
      </c>
      <c r="D466">
        <v>0.51</v>
      </c>
      <c r="E466">
        <v>0.35820000000000002</v>
      </c>
      <c r="F466">
        <v>7</v>
      </c>
      <c r="G466">
        <v>159</v>
      </c>
      <c r="H466">
        <v>166</v>
      </c>
    </row>
    <row r="467" spans="1:8" x14ac:dyDescent="0.3">
      <c r="A467">
        <v>465</v>
      </c>
      <c r="B467">
        <v>466</v>
      </c>
      <c r="C467">
        <v>0.16669999999999999</v>
      </c>
      <c r="D467">
        <v>0.47</v>
      </c>
      <c r="E467">
        <v>0.4627</v>
      </c>
      <c r="F467">
        <v>6</v>
      </c>
      <c r="G467">
        <v>57</v>
      </c>
      <c r="H467">
        <v>63</v>
      </c>
    </row>
    <row r="468" spans="1:8" x14ac:dyDescent="0.3">
      <c r="A468">
        <v>466</v>
      </c>
      <c r="B468">
        <v>467</v>
      </c>
      <c r="C468">
        <v>0.18179999999999999</v>
      </c>
      <c r="D468">
        <v>0.41</v>
      </c>
      <c r="E468">
        <v>0.4627</v>
      </c>
      <c r="F468">
        <v>6</v>
      </c>
      <c r="G468">
        <v>53</v>
      </c>
      <c r="H468">
        <v>59</v>
      </c>
    </row>
    <row r="469" spans="1:8" x14ac:dyDescent="0.3">
      <c r="A469">
        <v>467</v>
      </c>
      <c r="B469">
        <v>468</v>
      </c>
      <c r="C469">
        <v>0.18179999999999999</v>
      </c>
      <c r="D469">
        <v>0.27</v>
      </c>
      <c r="E469">
        <v>0.58209999999999995</v>
      </c>
      <c r="F469">
        <v>11</v>
      </c>
      <c r="G469">
        <v>67</v>
      </c>
      <c r="H469">
        <v>78</v>
      </c>
    </row>
    <row r="470" spans="1:8" x14ac:dyDescent="0.3">
      <c r="A470">
        <v>468</v>
      </c>
      <c r="B470">
        <v>469</v>
      </c>
      <c r="C470">
        <v>0.1515</v>
      </c>
      <c r="D470">
        <v>0.21</v>
      </c>
      <c r="E470">
        <v>0.58209999999999995</v>
      </c>
      <c r="F470">
        <v>8</v>
      </c>
      <c r="G470">
        <v>65</v>
      </c>
      <c r="H470">
        <v>73</v>
      </c>
    </row>
    <row r="471" spans="1:8" x14ac:dyDescent="0.3">
      <c r="A471">
        <v>469</v>
      </c>
      <c r="B471">
        <v>470</v>
      </c>
      <c r="C471">
        <v>0.1515</v>
      </c>
      <c r="D471">
        <v>0.25</v>
      </c>
      <c r="E471">
        <v>0.52239999999999998</v>
      </c>
      <c r="F471">
        <v>6</v>
      </c>
      <c r="G471">
        <v>56</v>
      </c>
      <c r="H471">
        <v>62</v>
      </c>
    </row>
    <row r="472" spans="1:8" x14ac:dyDescent="0.3">
      <c r="A472">
        <v>470</v>
      </c>
      <c r="B472">
        <v>471</v>
      </c>
      <c r="C472">
        <v>0.1212</v>
      </c>
      <c r="D472">
        <v>0.26</v>
      </c>
      <c r="E472">
        <v>0.44779999999999998</v>
      </c>
      <c r="F472">
        <v>4</v>
      </c>
      <c r="G472">
        <v>61</v>
      </c>
      <c r="H472">
        <v>65</v>
      </c>
    </row>
    <row r="473" spans="1:8" x14ac:dyDescent="0.3">
      <c r="A473">
        <v>471</v>
      </c>
      <c r="B473">
        <v>472</v>
      </c>
      <c r="C473">
        <v>0.13639999999999999</v>
      </c>
      <c r="D473">
        <v>0.26</v>
      </c>
      <c r="E473">
        <v>0.35820000000000002</v>
      </c>
      <c r="F473">
        <v>0</v>
      </c>
      <c r="G473">
        <v>97</v>
      </c>
      <c r="H473">
        <v>97</v>
      </c>
    </row>
    <row r="474" spans="1:8" x14ac:dyDescent="0.3">
      <c r="A474">
        <v>472</v>
      </c>
      <c r="B474">
        <v>473</v>
      </c>
      <c r="C474">
        <v>0.1212</v>
      </c>
      <c r="D474">
        <v>0.28000000000000003</v>
      </c>
      <c r="E474">
        <v>0.35820000000000002</v>
      </c>
      <c r="F474">
        <v>10</v>
      </c>
      <c r="G474">
        <v>151</v>
      </c>
      <c r="H474">
        <v>161</v>
      </c>
    </row>
    <row r="475" spans="1:8" x14ac:dyDescent="0.3">
      <c r="A475">
        <v>473</v>
      </c>
      <c r="B475">
        <v>474</v>
      </c>
      <c r="C475">
        <v>0.1212</v>
      </c>
      <c r="D475">
        <v>0.3</v>
      </c>
      <c r="E475">
        <v>0.25369999999999998</v>
      </c>
      <c r="F475">
        <v>1</v>
      </c>
      <c r="G475">
        <v>119</v>
      </c>
      <c r="H475">
        <v>120</v>
      </c>
    </row>
    <row r="476" spans="1:8" x14ac:dyDescent="0.3">
      <c r="A476">
        <v>474</v>
      </c>
      <c r="B476">
        <v>475</v>
      </c>
      <c r="C476">
        <v>0.1061</v>
      </c>
      <c r="D476">
        <v>0.3</v>
      </c>
      <c r="E476">
        <v>0.32840000000000003</v>
      </c>
      <c r="F476">
        <v>3</v>
      </c>
      <c r="G476">
        <v>93</v>
      </c>
      <c r="H476">
        <v>96</v>
      </c>
    </row>
    <row r="477" spans="1:8" x14ac:dyDescent="0.3">
      <c r="A477">
        <v>475</v>
      </c>
      <c r="B477">
        <v>476</v>
      </c>
      <c r="C477">
        <v>7.5800000000000006E-2</v>
      </c>
      <c r="D477">
        <v>0.33</v>
      </c>
      <c r="E477">
        <v>0.41789999999999999</v>
      </c>
      <c r="F477">
        <v>1</v>
      </c>
      <c r="G477">
        <v>52</v>
      </c>
      <c r="H477">
        <v>53</v>
      </c>
    </row>
    <row r="478" spans="1:8" x14ac:dyDescent="0.3">
      <c r="A478">
        <v>476</v>
      </c>
      <c r="B478">
        <v>477</v>
      </c>
      <c r="C478">
        <v>7.5800000000000006E-2</v>
      </c>
      <c r="D478">
        <v>0.38</v>
      </c>
      <c r="E478">
        <v>0.28360000000000002</v>
      </c>
      <c r="F478">
        <v>0</v>
      </c>
      <c r="G478">
        <v>41</v>
      </c>
      <c r="H478">
        <v>41</v>
      </c>
    </row>
    <row r="479" spans="1:8" x14ac:dyDescent="0.3">
      <c r="A479">
        <v>477</v>
      </c>
      <c r="B479">
        <v>478</v>
      </c>
      <c r="C479">
        <v>3.0300000000000001E-2</v>
      </c>
      <c r="D479">
        <v>0.41</v>
      </c>
      <c r="E479">
        <v>0.3881</v>
      </c>
      <c r="F479">
        <v>1</v>
      </c>
      <c r="G479">
        <v>33</v>
      </c>
      <c r="H479">
        <v>34</v>
      </c>
    </row>
    <row r="480" spans="1:8" x14ac:dyDescent="0.3">
      <c r="A480">
        <v>478</v>
      </c>
      <c r="B480">
        <v>479</v>
      </c>
      <c r="C480">
        <v>4.5499999999999999E-2</v>
      </c>
      <c r="D480">
        <v>0.38</v>
      </c>
      <c r="E480">
        <v>0.32840000000000003</v>
      </c>
      <c r="F480">
        <v>0</v>
      </c>
      <c r="G480">
        <v>27</v>
      </c>
      <c r="H480">
        <v>27</v>
      </c>
    </row>
    <row r="481" spans="1:8" x14ac:dyDescent="0.3">
      <c r="A481">
        <v>479</v>
      </c>
      <c r="B481">
        <v>480</v>
      </c>
      <c r="C481">
        <v>3.0300000000000001E-2</v>
      </c>
      <c r="D481">
        <v>0.45</v>
      </c>
      <c r="E481">
        <v>0.25369999999999998</v>
      </c>
      <c r="F481">
        <v>0</v>
      </c>
      <c r="G481">
        <v>13</v>
      </c>
      <c r="H481">
        <v>13</v>
      </c>
    </row>
    <row r="482" spans="1:8" x14ac:dyDescent="0.3">
      <c r="A482">
        <v>480</v>
      </c>
      <c r="B482">
        <v>481</v>
      </c>
      <c r="C482">
        <v>0</v>
      </c>
      <c r="D482">
        <v>0.41</v>
      </c>
      <c r="E482">
        <v>0.3881</v>
      </c>
      <c r="F482">
        <v>3</v>
      </c>
      <c r="G482">
        <v>9</v>
      </c>
      <c r="H482">
        <v>12</v>
      </c>
    </row>
    <row r="483" spans="1:8" x14ac:dyDescent="0.3">
      <c r="A483">
        <v>481</v>
      </c>
      <c r="B483">
        <v>482</v>
      </c>
      <c r="C483">
        <v>3.0300000000000001E-2</v>
      </c>
      <c r="D483">
        <v>0.41</v>
      </c>
      <c r="E483">
        <v>0.25369999999999998</v>
      </c>
      <c r="F483">
        <v>0</v>
      </c>
      <c r="G483">
        <v>11</v>
      </c>
      <c r="H483">
        <v>11</v>
      </c>
    </row>
    <row r="484" spans="1:8" x14ac:dyDescent="0.3">
      <c r="A484">
        <v>482</v>
      </c>
      <c r="B484">
        <v>483</v>
      </c>
      <c r="C484">
        <v>3.0300000000000001E-2</v>
      </c>
      <c r="D484">
        <v>0.41</v>
      </c>
      <c r="E484">
        <v>0.28360000000000002</v>
      </c>
      <c r="F484">
        <v>1</v>
      </c>
      <c r="G484">
        <v>6</v>
      </c>
      <c r="H484">
        <v>7</v>
      </c>
    </row>
    <row r="485" spans="1:8" x14ac:dyDescent="0.3">
      <c r="A485">
        <v>483</v>
      </c>
      <c r="B485">
        <v>484</v>
      </c>
      <c r="C485">
        <v>1.52E-2</v>
      </c>
      <c r="D485">
        <v>0.48</v>
      </c>
      <c r="E485">
        <v>0.29849999999999999</v>
      </c>
      <c r="F485">
        <v>0</v>
      </c>
      <c r="G485">
        <v>3</v>
      </c>
      <c r="H485">
        <v>3</v>
      </c>
    </row>
    <row r="486" spans="1:8" x14ac:dyDescent="0.3">
      <c r="A486">
        <v>484</v>
      </c>
      <c r="B486">
        <v>485</v>
      </c>
      <c r="C486">
        <v>3.0300000000000001E-2</v>
      </c>
      <c r="D486">
        <v>0.44</v>
      </c>
      <c r="E486">
        <v>0.22389999999999999</v>
      </c>
      <c r="F486">
        <v>0</v>
      </c>
      <c r="G486">
        <v>2</v>
      </c>
      <c r="H486">
        <v>2</v>
      </c>
    </row>
    <row r="487" spans="1:8" x14ac:dyDescent="0.3">
      <c r="A487">
        <v>485</v>
      </c>
      <c r="B487">
        <v>486</v>
      </c>
      <c r="C487">
        <v>1.52E-2</v>
      </c>
      <c r="D487">
        <v>0.44</v>
      </c>
      <c r="E487">
        <v>0.28360000000000002</v>
      </c>
      <c r="F487">
        <v>0</v>
      </c>
      <c r="G487">
        <v>8</v>
      </c>
      <c r="H487">
        <v>8</v>
      </c>
    </row>
    <row r="488" spans="1:8" x14ac:dyDescent="0.3">
      <c r="A488">
        <v>486</v>
      </c>
      <c r="B488">
        <v>487</v>
      </c>
      <c r="C488">
        <v>0</v>
      </c>
      <c r="D488">
        <v>0.44</v>
      </c>
      <c r="E488">
        <v>0.32840000000000003</v>
      </c>
      <c r="F488">
        <v>1</v>
      </c>
      <c r="G488">
        <v>26</v>
      </c>
      <c r="H488">
        <v>27</v>
      </c>
    </row>
    <row r="489" spans="1:8" x14ac:dyDescent="0.3">
      <c r="A489">
        <v>487</v>
      </c>
      <c r="B489">
        <v>488</v>
      </c>
      <c r="C489">
        <v>3.0300000000000001E-2</v>
      </c>
      <c r="D489">
        <v>0.41</v>
      </c>
      <c r="E489">
        <v>0.25369999999999998</v>
      </c>
      <c r="F489">
        <v>3</v>
      </c>
      <c r="G489">
        <v>37</v>
      </c>
      <c r="H489">
        <v>40</v>
      </c>
    </row>
    <row r="490" spans="1:8" x14ac:dyDescent="0.3">
      <c r="A490">
        <v>488</v>
      </c>
      <c r="B490">
        <v>489</v>
      </c>
      <c r="C490">
        <v>6.0600000000000001E-2</v>
      </c>
      <c r="D490">
        <v>0.41</v>
      </c>
      <c r="E490">
        <v>0.16420000000000001</v>
      </c>
      <c r="F490">
        <v>3</v>
      </c>
      <c r="G490">
        <v>50</v>
      </c>
      <c r="H490">
        <v>53</v>
      </c>
    </row>
    <row r="491" spans="1:8" x14ac:dyDescent="0.3">
      <c r="A491">
        <v>489</v>
      </c>
      <c r="B491">
        <v>490</v>
      </c>
      <c r="C491">
        <v>7.5800000000000006E-2</v>
      </c>
      <c r="D491">
        <v>0.38</v>
      </c>
      <c r="E491">
        <v>0.1343</v>
      </c>
      <c r="F491">
        <v>4</v>
      </c>
      <c r="G491">
        <v>59</v>
      </c>
      <c r="H491">
        <v>63</v>
      </c>
    </row>
    <row r="492" spans="1:8" x14ac:dyDescent="0.3">
      <c r="A492">
        <v>490</v>
      </c>
      <c r="B492">
        <v>491</v>
      </c>
      <c r="C492">
        <v>0.1061</v>
      </c>
      <c r="D492">
        <v>0.38</v>
      </c>
      <c r="E492">
        <v>0.1045</v>
      </c>
      <c r="F492">
        <v>10</v>
      </c>
      <c r="G492">
        <v>60</v>
      </c>
      <c r="H492">
        <v>70</v>
      </c>
    </row>
    <row r="493" spans="1:8" x14ac:dyDescent="0.3">
      <c r="A493">
        <v>491</v>
      </c>
      <c r="B493">
        <v>492</v>
      </c>
      <c r="C493">
        <v>0.16669999999999999</v>
      </c>
      <c r="D493">
        <v>0.35</v>
      </c>
      <c r="E493">
        <v>0</v>
      </c>
      <c r="F493">
        <v>12</v>
      </c>
      <c r="G493">
        <v>72</v>
      </c>
      <c r="H493">
        <v>84</v>
      </c>
    </row>
    <row r="494" spans="1:8" x14ac:dyDescent="0.3">
      <c r="A494">
        <v>492</v>
      </c>
      <c r="B494">
        <v>493</v>
      </c>
      <c r="C494">
        <v>0.13639999999999999</v>
      </c>
      <c r="D494">
        <v>0.33</v>
      </c>
      <c r="E494">
        <v>0.1045</v>
      </c>
      <c r="F494">
        <v>11</v>
      </c>
      <c r="G494">
        <v>64</v>
      </c>
      <c r="H494">
        <v>75</v>
      </c>
    </row>
    <row r="495" spans="1:8" x14ac:dyDescent="0.3">
      <c r="A495">
        <v>493</v>
      </c>
      <c r="B495">
        <v>494</v>
      </c>
      <c r="C495">
        <v>0.1515</v>
      </c>
      <c r="D495">
        <v>0.28000000000000003</v>
      </c>
      <c r="E495">
        <v>0</v>
      </c>
      <c r="F495">
        <v>10</v>
      </c>
      <c r="G495">
        <v>93</v>
      </c>
      <c r="H495">
        <v>103</v>
      </c>
    </row>
    <row r="496" spans="1:8" x14ac:dyDescent="0.3">
      <c r="A496">
        <v>494</v>
      </c>
      <c r="B496">
        <v>495</v>
      </c>
      <c r="C496">
        <v>0.13639999999999999</v>
      </c>
      <c r="D496">
        <v>0.28000000000000003</v>
      </c>
      <c r="E496">
        <v>0.19400000000000001</v>
      </c>
      <c r="F496">
        <v>11</v>
      </c>
      <c r="G496">
        <v>72</v>
      </c>
      <c r="H496">
        <v>83</v>
      </c>
    </row>
    <row r="497" spans="1:8" x14ac:dyDescent="0.3">
      <c r="A497">
        <v>495</v>
      </c>
      <c r="B497">
        <v>496</v>
      </c>
      <c r="C497">
        <v>0.19700000000000001</v>
      </c>
      <c r="D497">
        <v>0.28000000000000003</v>
      </c>
      <c r="E497">
        <v>0</v>
      </c>
      <c r="F497">
        <v>8</v>
      </c>
      <c r="G497">
        <v>59</v>
      </c>
      <c r="H497">
        <v>67</v>
      </c>
    </row>
    <row r="498" spans="1:8" x14ac:dyDescent="0.3">
      <c r="A498">
        <v>496</v>
      </c>
      <c r="B498">
        <v>497</v>
      </c>
      <c r="C498">
        <v>9.0899999999999995E-2</v>
      </c>
      <c r="D498">
        <v>0.35</v>
      </c>
      <c r="E498">
        <v>0.19400000000000001</v>
      </c>
      <c r="F498">
        <v>0</v>
      </c>
      <c r="G498">
        <v>54</v>
      </c>
      <c r="H498">
        <v>54</v>
      </c>
    </row>
    <row r="499" spans="1:8" x14ac:dyDescent="0.3">
      <c r="A499">
        <v>497</v>
      </c>
      <c r="B499">
        <v>498</v>
      </c>
      <c r="C499">
        <v>0.1061</v>
      </c>
      <c r="D499">
        <v>0.35</v>
      </c>
      <c r="E499">
        <v>0.1343</v>
      </c>
      <c r="F499">
        <v>6</v>
      </c>
      <c r="G499">
        <v>53</v>
      </c>
      <c r="H499">
        <v>59</v>
      </c>
    </row>
    <row r="500" spans="1:8" x14ac:dyDescent="0.3">
      <c r="A500">
        <v>498</v>
      </c>
      <c r="B500">
        <v>499</v>
      </c>
      <c r="C500">
        <v>7.5800000000000006E-2</v>
      </c>
      <c r="D500">
        <v>0.45</v>
      </c>
      <c r="E500">
        <v>0.16420000000000001</v>
      </c>
      <c r="F500">
        <v>1</v>
      </c>
      <c r="G500">
        <v>44</v>
      </c>
      <c r="H500">
        <v>45</v>
      </c>
    </row>
    <row r="501" spans="1:8" x14ac:dyDescent="0.3">
      <c r="A501">
        <v>499</v>
      </c>
      <c r="B501">
        <v>500</v>
      </c>
      <c r="C501">
        <v>0.1061</v>
      </c>
      <c r="D501">
        <v>0.41</v>
      </c>
      <c r="E501">
        <v>8.9599999999999999E-2</v>
      </c>
      <c r="F501">
        <v>0</v>
      </c>
      <c r="G501">
        <v>39</v>
      </c>
      <c r="H501">
        <v>39</v>
      </c>
    </row>
    <row r="502" spans="1:8" x14ac:dyDescent="0.3">
      <c r="A502">
        <v>500</v>
      </c>
      <c r="B502">
        <v>501</v>
      </c>
      <c r="C502">
        <v>0.1515</v>
      </c>
      <c r="D502">
        <v>0.49</v>
      </c>
      <c r="E502">
        <v>0</v>
      </c>
      <c r="F502">
        <v>7</v>
      </c>
      <c r="G502">
        <v>23</v>
      </c>
      <c r="H502">
        <v>30</v>
      </c>
    </row>
    <row r="503" spans="1:8" x14ac:dyDescent="0.3">
      <c r="A503">
        <v>501</v>
      </c>
      <c r="B503">
        <v>502</v>
      </c>
      <c r="C503">
        <v>7.5800000000000006E-2</v>
      </c>
      <c r="D503">
        <v>0.56999999999999995</v>
      </c>
      <c r="E503">
        <v>0.1045</v>
      </c>
      <c r="F503">
        <v>2</v>
      </c>
      <c r="G503">
        <v>31</v>
      </c>
      <c r="H503">
        <v>33</v>
      </c>
    </row>
    <row r="504" spans="1:8" x14ac:dyDescent="0.3">
      <c r="A504">
        <v>502</v>
      </c>
      <c r="B504">
        <v>503</v>
      </c>
      <c r="C504">
        <v>7.5800000000000006E-2</v>
      </c>
      <c r="D504">
        <v>0.56999999999999995</v>
      </c>
      <c r="E504">
        <v>0.1045</v>
      </c>
      <c r="F504">
        <v>2</v>
      </c>
      <c r="G504">
        <v>20</v>
      </c>
      <c r="H504">
        <v>22</v>
      </c>
    </row>
    <row r="505" spans="1:8" x14ac:dyDescent="0.3">
      <c r="A505">
        <v>503</v>
      </c>
      <c r="B505">
        <v>504</v>
      </c>
      <c r="C505">
        <v>7.5800000000000006E-2</v>
      </c>
      <c r="D505">
        <v>0.56999999999999995</v>
      </c>
      <c r="E505">
        <v>0.1045</v>
      </c>
      <c r="F505">
        <v>1</v>
      </c>
      <c r="G505">
        <v>12</v>
      </c>
      <c r="H505">
        <v>13</v>
      </c>
    </row>
    <row r="506" spans="1:8" x14ac:dyDescent="0.3">
      <c r="A506">
        <v>504</v>
      </c>
      <c r="B506">
        <v>505</v>
      </c>
      <c r="C506">
        <v>6.0600000000000001E-2</v>
      </c>
      <c r="D506">
        <v>0.62</v>
      </c>
      <c r="E506">
        <v>0.1343</v>
      </c>
      <c r="F506">
        <v>3</v>
      </c>
      <c r="G506">
        <v>15</v>
      </c>
      <c r="H506">
        <v>18</v>
      </c>
    </row>
    <row r="507" spans="1:8" x14ac:dyDescent="0.3">
      <c r="A507">
        <v>505</v>
      </c>
      <c r="B507">
        <v>506</v>
      </c>
      <c r="C507">
        <v>6.0600000000000001E-2</v>
      </c>
      <c r="D507">
        <v>0.62</v>
      </c>
      <c r="E507">
        <v>0.1343</v>
      </c>
      <c r="F507">
        <v>1</v>
      </c>
      <c r="G507">
        <v>4</v>
      </c>
      <c r="H507">
        <v>5</v>
      </c>
    </row>
    <row r="508" spans="1:8" x14ac:dyDescent="0.3">
      <c r="A508">
        <v>506</v>
      </c>
      <c r="B508">
        <v>507</v>
      </c>
      <c r="C508">
        <v>7.5800000000000006E-2</v>
      </c>
      <c r="D508">
        <v>0.56999999999999995</v>
      </c>
      <c r="E508">
        <v>0.1045</v>
      </c>
      <c r="F508">
        <v>0</v>
      </c>
      <c r="G508">
        <v>3</v>
      </c>
      <c r="H508">
        <v>3</v>
      </c>
    </row>
    <row r="509" spans="1:8" x14ac:dyDescent="0.3">
      <c r="A509">
        <v>507</v>
      </c>
      <c r="B509">
        <v>508</v>
      </c>
      <c r="C509">
        <v>7.5800000000000006E-2</v>
      </c>
      <c r="D509">
        <v>0.56999999999999995</v>
      </c>
      <c r="E509">
        <v>0.1045</v>
      </c>
      <c r="F509">
        <v>0</v>
      </c>
      <c r="G509">
        <v>1</v>
      </c>
      <c r="H509">
        <v>1</v>
      </c>
    </row>
    <row r="510" spans="1:8" x14ac:dyDescent="0.3">
      <c r="A510">
        <v>508</v>
      </c>
      <c r="B510">
        <v>509</v>
      </c>
      <c r="C510">
        <v>0.1061</v>
      </c>
      <c r="D510">
        <v>0.57999999999999996</v>
      </c>
      <c r="E510">
        <v>0.16420000000000001</v>
      </c>
      <c r="F510">
        <v>1</v>
      </c>
      <c r="G510">
        <v>1</v>
      </c>
      <c r="H510">
        <v>2</v>
      </c>
    </row>
    <row r="511" spans="1:8" x14ac:dyDescent="0.3">
      <c r="A511">
        <v>509</v>
      </c>
      <c r="B511">
        <v>510</v>
      </c>
      <c r="C511">
        <v>7.5800000000000006E-2</v>
      </c>
      <c r="D511">
        <v>0.62</v>
      </c>
      <c r="E511">
        <v>0.16420000000000001</v>
      </c>
      <c r="F511">
        <v>2</v>
      </c>
      <c r="G511">
        <v>17</v>
      </c>
      <c r="H511">
        <v>19</v>
      </c>
    </row>
    <row r="512" spans="1:8" x14ac:dyDescent="0.3">
      <c r="A512">
        <v>510</v>
      </c>
      <c r="B512">
        <v>511</v>
      </c>
      <c r="C512">
        <v>7.5800000000000006E-2</v>
      </c>
      <c r="D512">
        <v>0.54</v>
      </c>
      <c r="E512">
        <v>0.35820000000000002</v>
      </c>
      <c r="F512">
        <v>3</v>
      </c>
      <c r="G512">
        <v>25</v>
      </c>
      <c r="H512">
        <v>28</v>
      </c>
    </row>
    <row r="513" spans="1:8" x14ac:dyDescent="0.3">
      <c r="A513">
        <v>511</v>
      </c>
      <c r="B513">
        <v>512</v>
      </c>
      <c r="C513">
        <v>0.1061</v>
      </c>
      <c r="D513">
        <v>0.46</v>
      </c>
      <c r="E513">
        <v>0.3881</v>
      </c>
      <c r="F513">
        <v>7</v>
      </c>
      <c r="G513">
        <v>51</v>
      </c>
      <c r="H513">
        <v>58</v>
      </c>
    </row>
    <row r="514" spans="1:8" x14ac:dyDescent="0.3">
      <c r="A514">
        <v>512</v>
      </c>
      <c r="B514">
        <v>513</v>
      </c>
      <c r="C514">
        <v>0.13639999999999999</v>
      </c>
      <c r="D514">
        <v>0.43</v>
      </c>
      <c r="E514">
        <v>0.22389999999999999</v>
      </c>
      <c r="F514">
        <v>22</v>
      </c>
      <c r="G514">
        <v>77</v>
      </c>
      <c r="H514">
        <v>99</v>
      </c>
    </row>
    <row r="515" spans="1:8" x14ac:dyDescent="0.3">
      <c r="A515">
        <v>513</v>
      </c>
      <c r="B515">
        <v>514</v>
      </c>
      <c r="C515">
        <v>0.1212</v>
      </c>
      <c r="D515">
        <v>0.37</v>
      </c>
      <c r="E515">
        <v>0.4627</v>
      </c>
      <c r="F515">
        <v>24</v>
      </c>
      <c r="G515">
        <v>92</v>
      </c>
      <c r="H515">
        <v>116</v>
      </c>
    </row>
    <row r="516" spans="1:8" x14ac:dyDescent="0.3">
      <c r="A516">
        <v>514</v>
      </c>
      <c r="B516">
        <v>515</v>
      </c>
      <c r="C516">
        <v>0.1061</v>
      </c>
      <c r="D516">
        <v>0.33</v>
      </c>
      <c r="E516">
        <v>0.3881</v>
      </c>
      <c r="F516">
        <v>12</v>
      </c>
      <c r="G516">
        <v>75</v>
      </c>
      <c r="H516">
        <v>87</v>
      </c>
    </row>
    <row r="517" spans="1:8" x14ac:dyDescent="0.3">
      <c r="A517">
        <v>515</v>
      </c>
      <c r="B517">
        <v>516</v>
      </c>
      <c r="C517">
        <v>0.13639999999999999</v>
      </c>
      <c r="D517">
        <v>0.28000000000000003</v>
      </c>
      <c r="E517">
        <v>0.35820000000000002</v>
      </c>
      <c r="F517">
        <v>17</v>
      </c>
      <c r="G517">
        <v>93</v>
      </c>
      <c r="H517">
        <v>110</v>
      </c>
    </row>
    <row r="518" spans="1:8" x14ac:dyDescent="0.3">
      <c r="A518">
        <v>516</v>
      </c>
      <c r="B518">
        <v>517</v>
      </c>
      <c r="C518">
        <v>0.13639999999999999</v>
      </c>
      <c r="D518">
        <v>0.28000000000000003</v>
      </c>
      <c r="E518">
        <v>0.35820000000000002</v>
      </c>
      <c r="F518">
        <v>13</v>
      </c>
      <c r="G518">
        <v>64</v>
      </c>
      <c r="H518">
        <v>77</v>
      </c>
    </row>
    <row r="519" spans="1:8" x14ac:dyDescent="0.3">
      <c r="A519">
        <v>517</v>
      </c>
      <c r="B519">
        <v>518</v>
      </c>
      <c r="C519">
        <v>0.13639999999999999</v>
      </c>
      <c r="D519">
        <v>0.26</v>
      </c>
      <c r="E519">
        <v>0.32840000000000003</v>
      </c>
      <c r="F519">
        <v>9</v>
      </c>
      <c r="G519">
        <v>56</v>
      </c>
      <c r="H519">
        <v>65</v>
      </c>
    </row>
    <row r="520" spans="1:8" x14ac:dyDescent="0.3">
      <c r="A520">
        <v>518</v>
      </c>
      <c r="B520">
        <v>519</v>
      </c>
      <c r="C520">
        <v>0.1061</v>
      </c>
      <c r="D520">
        <v>0.26</v>
      </c>
      <c r="E520">
        <v>0.3881</v>
      </c>
      <c r="F520">
        <v>5</v>
      </c>
      <c r="G520">
        <v>50</v>
      </c>
      <c r="H520">
        <v>55</v>
      </c>
    </row>
    <row r="521" spans="1:8" x14ac:dyDescent="0.3">
      <c r="A521">
        <v>519</v>
      </c>
      <c r="B521">
        <v>520</v>
      </c>
      <c r="C521">
        <v>0.1212</v>
      </c>
      <c r="D521">
        <v>0.3</v>
      </c>
      <c r="E521">
        <v>0.25369999999999998</v>
      </c>
      <c r="F521">
        <v>5</v>
      </c>
      <c r="G521">
        <v>44</v>
      </c>
      <c r="H521">
        <v>49</v>
      </c>
    </row>
    <row r="522" spans="1:8" x14ac:dyDescent="0.3">
      <c r="A522">
        <v>520</v>
      </c>
      <c r="B522">
        <v>521</v>
      </c>
      <c r="C522">
        <v>0.1212</v>
      </c>
      <c r="D522">
        <v>0.3</v>
      </c>
      <c r="E522">
        <v>0.28360000000000002</v>
      </c>
      <c r="F522">
        <v>5</v>
      </c>
      <c r="G522">
        <v>45</v>
      </c>
      <c r="H522">
        <v>50</v>
      </c>
    </row>
    <row r="523" spans="1:8" x14ac:dyDescent="0.3">
      <c r="A523">
        <v>521</v>
      </c>
      <c r="B523">
        <v>522</v>
      </c>
      <c r="C523">
        <v>0.1061</v>
      </c>
      <c r="D523">
        <v>0.36</v>
      </c>
      <c r="E523">
        <v>0.25369999999999998</v>
      </c>
      <c r="F523">
        <v>4</v>
      </c>
      <c r="G523">
        <v>31</v>
      </c>
      <c r="H523">
        <v>35</v>
      </c>
    </row>
    <row r="524" spans="1:8" x14ac:dyDescent="0.3">
      <c r="A524">
        <v>522</v>
      </c>
      <c r="B524">
        <v>523</v>
      </c>
      <c r="C524">
        <v>0.1061</v>
      </c>
      <c r="D524">
        <v>0.36</v>
      </c>
      <c r="E524">
        <v>0.19400000000000001</v>
      </c>
      <c r="F524">
        <v>5</v>
      </c>
      <c r="G524">
        <v>20</v>
      </c>
      <c r="H524">
        <v>25</v>
      </c>
    </row>
    <row r="525" spans="1:8" x14ac:dyDescent="0.3">
      <c r="A525">
        <v>523</v>
      </c>
      <c r="B525">
        <v>524</v>
      </c>
      <c r="C525">
        <v>9.0899999999999995E-2</v>
      </c>
      <c r="D525">
        <v>0.38</v>
      </c>
      <c r="E525">
        <v>0.19400000000000001</v>
      </c>
      <c r="F525">
        <v>5</v>
      </c>
      <c r="G525">
        <v>23</v>
      </c>
      <c r="H525">
        <v>28</v>
      </c>
    </row>
    <row r="526" spans="1:8" x14ac:dyDescent="0.3">
      <c r="A526">
        <v>524</v>
      </c>
      <c r="B526">
        <v>525</v>
      </c>
      <c r="C526">
        <v>6.0600000000000001E-2</v>
      </c>
      <c r="D526">
        <v>0.41</v>
      </c>
      <c r="E526">
        <v>0.22389999999999999</v>
      </c>
      <c r="F526">
        <v>4</v>
      </c>
      <c r="G526">
        <v>17</v>
      </c>
      <c r="H526">
        <v>21</v>
      </c>
    </row>
    <row r="527" spans="1:8" x14ac:dyDescent="0.3">
      <c r="A527">
        <v>525</v>
      </c>
      <c r="B527">
        <v>526</v>
      </c>
      <c r="C527">
        <v>6.0600000000000001E-2</v>
      </c>
      <c r="D527">
        <v>0.41</v>
      </c>
      <c r="E527">
        <v>0.19400000000000001</v>
      </c>
      <c r="F527">
        <v>0</v>
      </c>
      <c r="G527">
        <v>7</v>
      </c>
      <c r="H527">
        <v>7</v>
      </c>
    </row>
    <row r="528" spans="1:8" x14ac:dyDescent="0.3">
      <c r="A528">
        <v>526</v>
      </c>
      <c r="B528">
        <v>527</v>
      </c>
      <c r="C528">
        <v>4.5499999999999999E-2</v>
      </c>
      <c r="D528">
        <v>0.45</v>
      </c>
      <c r="E528">
        <v>0.19400000000000001</v>
      </c>
      <c r="F528">
        <v>0</v>
      </c>
      <c r="G528">
        <v>1</v>
      </c>
      <c r="H528">
        <v>1</v>
      </c>
    </row>
    <row r="529" spans="1:8" x14ac:dyDescent="0.3">
      <c r="A529">
        <v>527</v>
      </c>
      <c r="B529">
        <v>528</v>
      </c>
      <c r="C529">
        <v>3.0300000000000001E-2</v>
      </c>
      <c r="D529">
        <v>0.45</v>
      </c>
      <c r="E529">
        <v>0.25369999999999998</v>
      </c>
      <c r="F529">
        <v>0</v>
      </c>
      <c r="G529">
        <v>1</v>
      </c>
      <c r="H529">
        <v>1</v>
      </c>
    </row>
    <row r="530" spans="1:8" x14ac:dyDescent="0.3">
      <c r="A530">
        <v>528</v>
      </c>
      <c r="B530">
        <v>529</v>
      </c>
      <c r="C530">
        <v>6.0600000000000001E-2</v>
      </c>
      <c r="D530">
        <v>0.48</v>
      </c>
      <c r="E530">
        <v>0.1343</v>
      </c>
      <c r="F530">
        <v>0</v>
      </c>
      <c r="G530">
        <v>1</v>
      </c>
      <c r="H530">
        <v>1</v>
      </c>
    </row>
    <row r="531" spans="1:8" x14ac:dyDescent="0.3">
      <c r="A531">
        <v>529</v>
      </c>
      <c r="B531">
        <v>530</v>
      </c>
      <c r="C531">
        <v>6.0600000000000001E-2</v>
      </c>
      <c r="D531">
        <v>0.48</v>
      </c>
      <c r="E531">
        <v>0.1343</v>
      </c>
      <c r="F531">
        <v>0</v>
      </c>
      <c r="G531">
        <v>5</v>
      </c>
      <c r="H531">
        <v>5</v>
      </c>
    </row>
    <row r="532" spans="1:8" x14ac:dyDescent="0.3">
      <c r="A532">
        <v>530</v>
      </c>
      <c r="B532">
        <v>531</v>
      </c>
      <c r="C532">
        <v>7.5800000000000006E-2</v>
      </c>
      <c r="D532">
        <v>0.48</v>
      </c>
      <c r="E532">
        <v>8.9599999999999999E-2</v>
      </c>
      <c r="F532">
        <v>0</v>
      </c>
      <c r="G532">
        <v>15</v>
      </c>
      <c r="H532">
        <v>15</v>
      </c>
    </row>
    <row r="533" spans="1:8" x14ac:dyDescent="0.3">
      <c r="A533">
        <v>531</v>
      </c>
      <c r="B533">
        <v>532</v>
      </c>
      <c r="C533">
        <v>0.1212</v>
      </c>
      <c r="D533">
        <v>0.48</v>
      </c>
      <c r="E533">
        <v>0</v>
      </c>
      <c r="F533">
        <v>5</v>
      </c>
      <c r="G533">
        <v>79</v>
      </c>
      <c r="H533">
        <v>84</v>
      </c>
    </row>
    <row r="534" spans="1:8" x14ac:dyDescent="0.3">
      <c r="A534">
        <v>532</v>
      </c>
      <c r="B534">
        <v>533</v>
      </c>
      <c r="C534">
        <v>0.13639999999999999</v>
      </c>
      <c r="D534">
        <v>0.49</v>
      </c>
      <c r="E534">
        <v>0</v>
      </c>
      <c r="F534">
        <v>6</v>
      </c>
      <c r="G534">
        <v>171</v>
      </c>
      <c r="H534">
        <v>177</v>
      </c>
    </row>
    <row r="535" spans="1:8" x14ac:dyDescent="0.3">
      <c r="A535">
        <v>533</v>
      </c>
      <c r="B535">
        <v>534</v>
      </c>
      <c r="C535">
        <v>0.1515</v>
      </c>
      <c r="D535">
        <v>0.41</v>
      </c>
      <c r="E535">
        <v>0</v>
      </c>
      <c r="F535">
        <v>4</v>
      </c>
      <c r="G535">
        <v>98</v>
      </c>
      <c r="H535">
        <v>102</v>
      </c>
    </row>
    <row r="536" spans="1:8" x14ac:dyDescent="0.3">
      <c r="A536">
        <v>534</v>
      </c>
      <c r="B536">
        <v>535</v>
      </c>
      <c r="C536">
        <v>0.13639999999999999</v>
      </c>
      <c r="D536">
        <v>0.42</v>
      </c>
      <c r="E536">
        <v>0</v>
      </c>
      <c r="F536">
        <v>6</v>
      </c>
      <c r="G536">
        <v>34</v>
      </c>
      <c r="H536">
        <v>40</v>
      </c>
    </row>
    <row r="537" spans="1:8" x14ac:dyDescent="0.3">
      <c r="A537">
        <v>535</v>
      </c>
      <c r="B537">
        <v>536</v>
      </c>
      <c r="C537">
        <v>0.1212</v>
      </c>
      <c r="D537">
        <v>0.46</v>
      </c>
      <c r="E537">
        <v>0.1343</v>
      </c>
      <c r="F537">
        <v>3</v>
      </c>
      <c r="G537">
        <v>43</v>
      </c>
      <c r="H537">
        <v>46</v>
      </c>
    </row>
    <row r="538" spans="1:8" x14ac:dyDescent="0.3">
      <c r="A538">
        <v>536</v>
      </c>
      <c r="B538">
        <v>537</v>
      </c>
      <c r="C538">
        <v>0.13639999999999999</v>
      </c>
      <c r="D538">
        <v>0.42</v>
      </c>
      <c r="E538">
        <v>0.19400000000000001</v>
      </c>
      <c r="F538">
        <v>11</v>
      </c>
      <c r="G538">
        <v>52</v>
      </c>
      <c r="H538">
        <v>63</v>
      </c>
    </row>
    <row r="539" spans="1:8" x14ac:dyDescent="0.3">
      <c r="A539">
        <v>537</v>
      </c>
      <c r="B539">
        <v>538</v>
      </c>
      <c r="C539">
        <v>0.13639999999999999</v>
      </c>
      <c r="D539">
        <v>0.43</v>
      </c>
      <c r="E539">
        <v>0.22389999999999999</v>
      </c>
      <c r="F539">
        <v>6</v>
      </c>
      <c r="G539">
        <v>54</v>
      </c>
      <c r="H539">
        <v>60</v>
      </c>
    </row>
    <row r="540" spans="1:8" x14ac:dyDescent="0.3">
      <c r="A540">
        <v>538</v>
      </c>
      <c r="B540">
        <v>539</v>
      </c>
      <c r="C540">
        <v>0.13639999999999999</v>
      </c>
      <c r="D540">
        <v>0.46</v>
      </c>
      <c r="E540">
        <v>0.22389999999999999</v>
      </c>
      <c r="F540">
        <v>2</v>
      </c>
      <c r="G540">
        <v>43</v>
      </c>
      <c r="H540">
        <v>45</v>
      </c>
    </row>
    <row r="541" spans="1:8" x14ac:dyDescent="0.3">
      <c r="A541">
        <v>539</v>
      </c>
      <c r="B541">
        <v>540</v>
      </c>
      <c r="C541">
        <v>0.16669999999999999</v>
      </c>
      <c r="D541">
        <v>0.4</v>
      </c>
      <c r="E541">
        <v>0.16420000000000001</v>
      </c>
      <c r="F541">
        <v>7</v>
      </c>
      <c r="G541">
        <v>50</v>
      </c>
      <c r="H541">
        <v>57</v>
      </c>
    </row>
    <row r="542" spans="1:8" x14ac:dyDescent="0.3">
      <c r="A542">
        <v>540</v>
      </c>
      <c r="B542">
        <v>541</v>
      </c>
      <c r="C542">
        <v>0.1515</v>
      </c>
      <c r="D542">
        <v>0.47</v>
      </c>
      <c r="E542">
        <v>0.25369999999999998</v>
      </c>
      <c r="F542">
        <v>4</v>
      </c>
      <c r="G542">
        <v>66</v>
      </c>
      <c r="H542">
        <v>70</v>
      </c>
    </row>
    <row r="543" spans="1:8" x14ac:dyDescent="0.3">
      <c r="A543">
        <v>541</v>
      </c>
      <c r="B543">
        <v>542</v>
      </c>
      <c r="C543">
        <v>0.1212</v>
      </c>
      <c r="D543">
        <v>0.5</v>
      </c>
      <c r="E543">
        <v>0.25369999999999998</v>
      </c>
      <c r="F543">
        <v>6</v>
      </c>
      <c r="G543">
        <v>178</v>
      </c>
      <c r="H543">
        <v>184</v>
      </c>
    </row>
    <row r="544" spans="1:8" x14ac:dyDescent="0.3">
      <c r="A544">
        <v>542</v>
      </c>
      <c r="B544">
        <v>543</v>
      </c>
      <c r="C544">
        <v>0.13639999999999999</v>
      </c>
      <c r="D544">
        <v>0.59</v>
      </c>
      <c r="E544">
        <v>0.19400000000000001</v>
      </c>
      <c r="F544">
        <v>8</v>
      </c>
      <c r="G544">
        <v>145</v>
      </c>
      <c r="H544">
        <v>153</v>
      </c>
    </row>
    <row r="545" spans="1:8" x14ac:dyDescent="0.3">
      <c r="A545">
        <v>543</v>
      </c>
      <c r="B545">
        <v>544</v>
      </c>
      <c r="C545">
        <v>0.1515</v>
      </c>
      <c r="D545">
        <v>0.54</v>
      </c>
      <c r="E545">
        <v>0.16420000000000001</v>
      </c>
      <c r="F545">
        <v>5</v>
      </c>
      <c r="G545">
        <v>101</v>
      </c>
      <c r="H545">
        <v>106</v>
      </c>
    </row>
    <row r="546" spans="1:8" x14ac:dyDescent="0.3">
      <c r="A546">
        <v>544</v>
      </c>
      <c r="B546">
        <v>545</v>
      </c>
      <c r="C546">
        <v>0.13639999999999999</v>
      </c>
      <c r="D546">
        <v>0.59</v>
      </c>
      <c r="E546">
        <v>0.19400000000000001</v>
      </c>
      <c r="F546">
        <v>1</v>
      </c>
      <c r="G546">
        <v>80</v>
      </c>
      <c r="H546">
        <v>81</v>
      </c>
    </row>
    <row r="547" spans="1:8" x14ac:dyDescent="0.3">
      <c r="A547">
        <v>545</v>
      </c>
      <c r="B547">
        <v>546</v>
      </c>
      <c r="C547">
        <v>0.1515</v>
      </c>
      <c r="D547">
        <v>0.63</v>
      </c>
      <c r="E547">
        <v>0.16420000000000001</v>
      </c>
      <c r="F547">
        <v>6</v>
      </c>
      <c r="G547">
        <v>53</v>
      </c>
      <c r="H547">
        <v>59</v>
      </c>
    </row>
    <row r="548" spans="1:8" x14ac:dyDescent="0.3">
      <c r="A548">
        <v>546</v>
      </c>
      <c r="B548">
        <v>547</v>
      </c>
      <c r="C548">
        <v>0.13639999999999999</v>
      </c>
      <c r="D548">
        <v>0.63</v>
      </c>
      <c r="E548">
        <v>0.22389999999999999</v>
      </c>
      <c r="F548">
        <v>3</v>
      </c>
      <c r="G548">
        <v>32</v>
      </c>
      <c r="H548">
        <v>35</v>
      </c>
    </row>
    <row r="549" spans="1:8" x14ac:dyDescent="0.3">
      <c r="A549">
        <v>547</v>
      </c>
      <c r="B549">
        <v>548</v>
      </c>
      <c r="C549">
        <v>0.1515</v>
      </c>
      <c r="D549">
        <v>0.64</v>
      </c>
      <c r="E549">
        <v>0.25369999999999998</v>
      </c>
      <c r="F549">
        <v>3</v>
      </c>
      <c r="G549">
        <v>21</v>
      </c>
      <c r="H549">
        <v>24</v>
      </c>
    </row>
    <row r="550" spans="1:8" x14ac:dyDescent="0.3">
      <c r="A550">
        <v>548</v>
      </c>
      <c r="B550">
        <v>549</v>
      </c>
      <c r="C550">
        <v>0.13639999999999999</v>
      </c>
      <c r="D550">
        <v>0.69</v>
      </c>
      <c r="E550">
        <v>0.28360000000000002</v>
      </c>
      <c r="F550">
        <v>3</v>
      </c>
      <c r="G550">
        <v>6</v>
      </c>
      <c r="H550">
        <v>9</v>
      </c>
    </row>
    <row r="551" spans="1:8" x14ac:dyDescent="0.3">
      <c r="A551">
        <v>549</v>
      </c>
      <c r="B551">
        <v>550</v>
      </c>
      <c r="C551">
        <v>0.16669999999999999</v>
      </c>
      <c r="D551">
        <v>0.69</v>
      </c>
      <c r="E551">
        <v>0.16420000000000001</v>
      </c>
      <c r="F551">
        <v>0</v>
      </c>
      <c r="G551">
        <v>5</v>
      </c>
      <c r="H551">
        <v>5</v>
      </c>
    </row>
    <row r="552" spans="1:8" x14ac:dyDescent="0.3">
      <c r="A552">
        <v>550</v>
      </c>
      <c r="B552">
        <v>551</v>
      </c>
      <c r="C552">
        <v>0.1515</v>
      </c>
      <c r="D552">
        <v>0.69</v>
      </c>
      <c r="E552">
        <v>0.22389999999999999</v>
      </c>
      <c r="F552">
        <v>0</v>
      </c>
      <c r="G552">
        <v>2</v>
      </c>
      <c r="H552">
        <v>2</v>
      </c>
    </row>
    <row r="553" spans="1:8" x14ac:dyDescent="0.3">
      <c r="A553">
        <v>551</v>
      </c>
      <c r="B553">
        <v>552</v>
      </c>
      <c r="C553">
        <v>0.16669999999999999</v>
      </c>
      <c r="D553">
        <v>0.74</v>
      </c>
      <c r="E553">
        <v>0.1045</v>
      </c>
      <c r="F553">
        <v>0</v>
      </c>
      <c r="G553">
        <v>1</v>
      </c>
      <c r="H553">
        <v>1</v>
      </c>
    </row>
    <row r="554" spans="1:8" x14ac:dyDescent="0.3">
      <c r="A554">
        <v>552</v>
      </c>
      <c r="B554">
        <v>553</v>
      </c>
      <c r="C554">
        <v>0.13639999999999999</v>
      </c>
      <c r="D554">
        <v>0.74</v>
      </c>
      <c r="E554">
        <v>0.22389999999999999</v>
      </c>
      <c r="F554">
        <v>0</v>
      </c>
      <c r="G554">
        <v>9</v>
      </c>
      <c r="H554">
        <v>9</v>
      </c>
    </row>
    <row r="555" spans="1:8" x14ac:dyDescent="0.3">
      <c r="A555">
        <v>553</v>
      </c>
      <c r="B555">
        <v>554</v>
      </c>
      <c r="C555">
        <v>0.18179999999999999</v>
      </c>
      <c r="D555">
        <v>0.74</v>
      </c>
      <c r="E555">
        <v>0.1045</v>
      </c>
      <c r="F555">
        <v>1</v>
      </c>
      <c r="G555">
        <v>35</v>
      </c>
      <c r="H555">
        <v>36</v>
      </c>
    </row>
    <row r="556" spans="1:8" x14ac:dyDescent="0.3">
      <c r="A556">
        <v>554</v>
      </c>
      <c r="B556">
        <v>555</v>
      </c>
      <c r="C556">
        <v>0.1515</v>
      </c>
      <c r="D556">
        <v>0.74</v>
      </c>
      <c r="E556">
        <v>0.22389999999999999</v>
      </c>
      <c r="F556">
        <v>5</v>
      </c>
      <c r="G556">
        <v>103</v>
      </c>
      <c r="H556">
        <v>108</v>
      </c>
    </row>
    <row r="557" spans="1:8" x14ac:dyDescent="0.3">
      <c r="A557">
        <v>555</v>
      </c>
      <c r="B557">
        <v>556</v>
      </c>
      <c r="C557">
        <v>0.18179999999999999</v>
      </c>
      <c r="D557">
        <v>0.74</v>
      </c>
      <c r="E557">
        <v>0.1343</v>
      </c>
      <c r="F557">
        <v>5</v>
      </c>
      <c r="G557">
        <v>233</v>
      </c>
      <c r="H557">
        <v>238</v>
      </c>
    </row>
    <row r="558" spans="1:8" x14ac:dyDescent="0.3">
      <c r="A558">
        <v>556</v>
      </c>
      <c r="B558">
        <v>557</v>
      </c>
      <c r="C558">
        <v>0.2273</v>
      </c>
      <c r="D558">
        <v>0.64</v>
      </c>
      <c r="E558">
        <v>8.9599999999999999E-2</v>
      </c>
      <c r="F558">
        <v>10</v>
      </c>
      <c r="G558">
        <v>134</v>
      </c>
      <c r="H558">
        <v>144</v>
      </c>
    </row>
    <row r="559" spans="1:8" x14ac:dyDescent="0.3">
      <c r="A559">
        <v>557</v>
      </c>
      <c r="B559">
        <v>558</v>
      </c>
      <c r="C559">
        <v>0.2424</v>
      </c>
      <c r="D559">
        <v>0.6</v>
      </c>
      <c r="E559">
        <v>0.1045</v>
      </c>
      <c r="F559">
        <v>6</v>
      </c>
      <c r="G559">
        <v>49</v>
      </c>
      <c r="H559">
        <v>55</v>
      </c>
    </row>
    <row r="560" spans="1:8" x14ac:dyDescent="0.3">
      <c r="A560">
        <v>558</v>
      </c>
      <c r="B560">
        <v>559</v>
      </c>
      <c r="C560">
        <v>0.2424</v>
      </c>
      <c r="D560">
        <v>0.6</v>
      </c>
      <c r="E560">
        <v>0.1343</v>
      </c>
      <c r="F560">
        <v>6</v>
      </c>
      <c r="G560">
        <v>55</v>
      </c>
      <c r="H560">
        <v>61</v>
      </c>
    </row>
    <row r="561" spans="1:8" x14ac:dyDescent="0.3">
      <c r="A561">
        <v>559</v>
      </c>
      <c r="B561">
        <v>560</v>
      </c>
      <c r="C561">
        <v>0.28789999999999999</v>
      </c>
      <c r="D561">
        <v>0.56000000000000005</v>
      </c>
      <c r="E561">
        <v>8.9599999999999999E-2</v>
      </c>
      <c r="F561">
        <v>21</v>
      </c>
      <c r="G561">
        <v>85</v>
      </c>
      <c r="H561">
        <v>106</v>
      </c>
    </row>
    <row r="562" spans="1:8" x14ac:dyDescent="0.3">
      <c r="A562">
        <v>560</v>
      </c>
      <c r="B562">
        <v>561</v>
      </c>
      <c r="C562">
        <v>0.2727</v>
      </c>
      <c r="D562">
        <v>0.56000000000000005</v>
      </c>
      <c r="E562">
        <v>0.1343</v>
      </c>
      <c r="F562">
        <v>21</v>
      </c>
      <c r="G562">
        <v>72</v>
      </c>
      <c r="H562">
        <v>93</v>
      </c>
    </row>
    <row r="563" spans="1:8" x14ac:dyDescent="0.3">
      <c r="A563">
        <v>561</v>
      </c>
      <c r="B563">
        <v>562</v>
      </c>
      <c r="C563">
        <v>0.33329999999999999</v>
      </c>
      <c r="D563">
        <v>0.45</v>
      </c>
      <c r="E563">
        <v>0</v>
      </c>
      <c r="F563">
        <v>11</v>
      </c>
      <c r="G563">
        <v>57</v>
      </c>
      <c r="H563">
        <v>68</v>
      </c>
    </row>
    <row r="564" spans="1:8" x14ac:dyDescent="0.3">
      <c r="A564">
        <v>562</v>
      </c>
      <c r="B564">
        <v>563</v>
      </c>
      <c r="C564">
        <v>0.34849999999999998</v>
      </c>
      <c r="D564">
        <v>0.42</v>
      </c>
      <c r="E564">
        <v>0</v>
      </c>
      <c r="F564">
        <v>21</v>
      </c>
      <c r="G564">
        <v>63</v>
      </c>
      <c r="H564">
        <v>84</v>
      </c>
    </row>
    <row r="565" spans="1:8" x14ac:dyDescent="0.3">
      <c r="A565">
        <v>563</v>
      </c>
      <c r="B565">
        <v>564</v>
      </c>
      <c r="C565">
        <v>0.34849999999999998</v>
      </c>
      <c r="D565">
        <v>0.42</v>
      </c>
      <c r="E565">
        <v>0</v>
      </c>
      <c r="F565">
        <v>14</v>
      </c>
      <c r="G565">
        <v>102</v>
      </c>
      <c r="H565">
        <v>116</v>
      </c>
    </row>
    <row r="566" spans="1:8" x14ac:dyDescent="0.3">
      <c r="A566">
        <v>564</v>
      </c>
      <c r="B566">
        <v>565</v>
      </c>
      <c r="C566">
        <v>0.33329999999999999</v>
      </c>
      <c r="D566">
        <v>0.45</v>
      </c>
      <c r="E566">
        <v>0</v>
      </c>
      <c r="F566">
        <v>14</v>
      </c>
      <c r="G566">
        <v>208</v>
      </c>
      <c r="H566">
        <v>222</v>
      </c>
    </row>
    <row r="567" spans="1:8" x14ac:dyDescent="0.3">
      <c r="A567">
        <v>565</v>
      </c>
      <c r="B567">
        <v>566</v>
      </c>
      <c r="C567">
        <v>0.31819999999999998</v>
      </c>
      <c r="D567">
        <v>0.49</v>
      </c>
      <c r="E567">
        <v>8.9599999999999999E-2</v>
      </c>
      <c r="F567">
        <v>7</v>
      </c>
      <c r="G567">
        <v>218</v>
      </c>
      <c r="H567">
        <v>225</v>
      </c>
    </row>
    <row r="568" spans="1:8" x14ac:dyDescent="0.3">
      <c r="A568">
        <v>566</v>
      </c>
      <c r="B568">
        <v>567</v>
      </c>
      <c r="C568">
        <v>0.2576</v>
      </c>
      <c r="D568">
        <v>0.65</v>
      </c>
      <c r="E568">
        <v>0.16420000000000001</v>
      </c>
      <c r="F568">
        <v>13</v>
      </c>
      <c r="G568">
        <v>133</v>
      </c>
      <c r="H568">
        <v>146</v>
      </c>
    </row>
    <row r="569" spans="1:8" x14ac:dyDescent="0.3">
      <c r="A569">
        <v>567</v>
      </c>
      <c r="B569">
        <v>568</v>
      </c>
      <c r="C569">
        <v>0.2273</v>
      </c>
      <c r="D569">
        <v>0.65</v>
      </c>
      <c r="E569">
        <v>0.19400000000000001</v>
      </c>
      <c r="F569">
        <v>16</v>
      </c>
      <c r="G569">
        <v>103</v>
      </c>
      <c r="H569">
        <v>119</v>
      </c>
    </row>
    <row r="570" spans="1:8" x14ac:dyDescent="0.3">
      <c r="A570">
        <v>568</v>
      </c>
      <c r="B570">
        <v>569</v>
      </c>
      <c r="C570">
        <v>0.2273</v>
      </c>
      <c r="D570">
        <v>0.65</v>
      </c>
      <c r="E570">
        <v>0.19400000000000001</v>
      </c>
      <c r="F570">
        <v>5</v>
      </c>
      <c r="G570">
        <v>40</v>
      </c>
      <c r="H570">
        <v>45</v>
      </c>
    </row>
    <row r="571" spans="1:8" x14ac:dyDescent="0.3">
      <c r="A571">
        <v>569</v>
      </c>
      <c r="B571">
        <v>570</v>
      </c>
      <c r="C571">
        <v>0.2273</v>
      </c>
      <c r="D571">
        <v>0.64</v>
      </c>
      <c r="E571">
        <v>0.16420000000000001</v>
      </c>
      <c r="F571">
        <v>4</v>
      </c>
      <c r="G571">
        <v>49</v>
      </c>
      <c r="H571">
        <v>53</v>
      </c>
    </row>
    <row r="572" spans="1:8" x14ac:dyDescent="0.3">
      <c r="A572">
        <v>570</v>
      </c>
      <c r="B572">
        <v>571</v>
      </c>
      <c r="C572">
        <v>0.2273</v>
      </c>
      <c r="D572">
        <v>0.64</v>
      </c>
      <c r="E572">
        <v>0.16420000000000001</v>
      </c>
      <c r="F572">
        <v>3</v>
      </c>
      <c r="G572">
        <v>37</v>
      </c>
      <c r="H572">
        <v>40</v>
      </c>
    </row>
    <row r="573" spans="1:8" x14ac:dyDescent="0.3">
      <c r="A573">
        <v>571</v>
      </c>
      <c r="B573">
        <v>572</v>
      </c>
      <c r="C573">
        <v>0.2273</v>
      </c>
      <c r="D573">
        <v>0.69</v>
      </c>
      <c r="E573">
        <v>0.1343</v>
      </c>
      <c r="F573">
        <v>3</v>
      </c>
      <c r="G573">
        <v>14</v>
      </c>
      <c r="H573">
        <v>17</v>
      </c>
    </row>
    <row r="574" spans="1:8" x14ac:dyDescent="0.3">
      <c r="A574">
        <v>572</v>
      </c>
      <c r="B574">
        <v>573</v>
      </c>
      <c r="C574">
        <v>0.2424</v>
      </c>
      <c r="D574">
        <v>0.65</v>
      </c>
      <c r="E574">
        <v>0.1343</v>
      </c>
      <c r="F574">
        <v>0</v>
      </c>
      <c r="G574">
        <v>5</v>
      </c>
      <c r="H574">
        <v>5</v>
      </c>
    </row>
    <row r="575" spans="1:8" x14ac:dyDescent="0.3">
      <c r="A575">
        <v>573</v>
      </c>
      <c r="B575">
        <v>574</v>
      </c>
      <c r="C575">
        <v>0.2273</v>
      </c>
      <c r="D575">
        <v>0.69</v>
      </c>
      <c r="E575">
        <v>0.19400000000000001</v>
      </c>
      <c r="F575">
        <v>3</v>
      </c>
      <c r="G575">
        <v>7</v>
      </c>
      <c r="H575">
        <v>10</v>
      </c>
    </row>
    <row r="576" spans="1:8" x14ac:dyDescent="0.3">
      <c r="A576">
        <v>574</v>
      </c>
      <c r="B576">
        <v>575</v>
      </c>
      <c r="C576">
        <v>0.18179999999999999</v>
      </c>
      <c r="D576">
        <v>0.86</v>
      </c>
      <c r="E576">
        <v>0.28360000000000002</v>
      </c>
      <c r="F576">
        <v>0</v>
      </c>
      <c r="G576">
        <v>1</v>
      </c>
      <c r="H576">
        <v>1</v>
      </c>
    </row>
    <row r="577" spans="1:8" x14ac:dyDescent="0.3">
      <c r="A577">
        <v>575</v>
      </c>
      <c r="B577">
        <v>576</v>
      </c>
      <c r="C577">
        <v>0.18179999999999999</v>
      </c>
      <c r="D577">
        <v>0.86</v>
      </c>
      <c r="E577">
        <v>0.28360000000000002</v>
      </c>
      <c r="F577">
        <v>0</v>
      </c>
      <c r="G577">
        <v>8</v>
      </c>
      <c r="H577">
        <v>8</v>
      </c>
    </row>
    <row r="578" spans="1:8" x14ac:dyDescent="0.3">
      <c r="A578">
        <v>576</v>
      </c>
      <c r="B578">
        <v>577</v>
      </c>
      <c r="C578">
        <v>0.21210000000000001</v>
      </c>
      <c r="D578">
        <v>0.87</v>
      </c>
      <c r="E578">
        <v>0.29849999999999999</v>
      </c>
      <c r="F578">
        <v>1</v>
      </c>
      <c r="G578">
        <v>29</v>
      </c>
      <c r="H578">
        <v>30</v>
      </c>
    </row>
    <row r="579" spans="1:8" x14ac:dyDescent="0.3">
      <c r="A579">
        <v>577</v>
      </c>
      <c r="B579">
        <v>578</v>
      </c>
      <c r="C579">
        <v>0.21210000000000001</v>
      </c>
      <c r="D579">
        <v>0.87</v>
      </c>
      <c r="E579">
        <v>0.29849999999999999</v>
      </c>
      <c r="F579">
        <v>3</v>
      </c>
      <c r="G579">
        <v>69</v>
      </c>
      <c r="H579">
        <v>72</v>
      </c>
    </row>
    <row r="580" spans="1:8" x14ac:dyDescent="0.3">
      <c r="A580">
        <v>578</v>
      </c>
      <c r="B580">
        <v>579</v>
      </c>
      <c r="C580">
        <v>0.21210000000000001</v>
      </c>
      <c r="D580">
        <v>0.87</v>
      </c>
      <c r="E580">
        <v>0.29849999999999999</v>
      </c>
      <c r="F580">
        <v>3</v>
      </c>
      <c r="G580">
        <v>55</v>
      </c>
      <c r="H580">
        <v>58</v>
      </c>
    </row>
    <row r="581" spans="1:8" x14ac:dyDescent="0.3">
      <c r="A581">
        <v>579</v>
      </c>
      <c r="B581">
        <v>580</v>
      </c>
      <c r="C581">
        <v>0.21210000000000001</v>
      </c>
      <c r="D581">
        <v>0.93</v>
      </c>
      <c r="E581">
        <v>0.28360000000000002</v>
      </c>
      <c r="F581">
        <v>2</v>
      </c>
      <c r="G581">
        <v>26</v>
      </c>
      <c r="H581">
        <v>28</v>
      </c>
    </row>
    <row r="582" spans="1:8" x14ac:dyDescent="0.3">
      <c r="A582">
        <v>580</v>
      </c>
      <c r="B582">
        <v>581</v>
      </c>
      <c r="C582">
        <v>0.19700000000000001</v>
      </c>
      <c r="D582">
        <v>0.93</v>
      </c>
      <c r="E582">
        <v>0.32840000000000003</v>
      </c>
      <c r="F582">
        <v>6</v>
      </c>
      <c r="G582">
        <v>35</v>
      </c>
      <c r="H582">
        <v>41</v>
      </c>
    </row>
    <row r="583" spans="1:8" x14ac:dyDescent="0.3">
      <c r="A583">
        <v>581</v>
      </c>
      <c r="B583">
        <v>582</v>
      </c>
      <c r="C583">
        <v>0.19700000000000001</v>
      </c>
      <c r="D583">
        <v>0.93</v>
      </c>
      <c r="E583">
        <v>0.32840000000000003</v>
      </c>
      <c r="F583">
        <v>7</v>
      </c>
      <c r="G583">
        <v>41</v>
      </c>
      <c r="H583">
        <v>48</v>
      </c>
    </row>
    <row r="584" spans="1:8" x14ac:dyDescent="0.3">
      <c r="A584">
        <v>582</v>
      </c>
      <c r="B584">
        <v>583</v>
      </c>
      <c r="C584">
        <v>0.19700000000000001</v>
      </c>
      <c r="D584">
        <v>0.93</v>
      </c>
      <c r="E584">
        <v>0.32840000000000003</v>
      </c>
      <c r="F584">
        <v>4</v>
      </c>
      <c r="G584">
        <v>43</v>
      </c>
      <c r="H584">
        <v>47</v>
      </c>
    </row>
    <row r="585" spans="1:8" x14ac:dyDescent="0.3">
      <c r="A585">
        <v>583</v>
      </c>
      <c r="B585">
        <v>584</v>
      </c>
      <c r="C585">
        <v>0.19700000000000001</v>
      </c>
      <c r="D585">
        <v>0.93</v>
      </c>
      <c r="E585">
        <v>0.35820000000000002</v>
      </c>
      <c r="F585">
        <v>0</v>
      </c>
      <c r="G585">
        <v>36</v>
      </c>
      <c r="H585">
        <v>36</v>
      </c>
    </row>
    <row r="586" spans="1:8" x14ac:dyDescent="0.3">
      <c r="A586">
        <v>584</v>
      </c>
      <c r="B586">
        <v>585</v>
      </c>
      <c r="C586">
        <v>0.18179999999999999</v>
      </c>
      <c r="D586">
        <v>0.93</v>
      </c>
      <c r="E586">
        <v>0.4627</v>
      </c>
      <c r="F586">
        <v>1</v>
      </c>
      <c r="G586">
        <v>42</v>
      </c>
      <c r="H586">
        <v>43</v>
      </c>
    </row>
    <row r="587" spans="1:8" x14ac:dyDescent="0.3">
      <c r="A587">
        <v>585</v>
      </c>
      <c r="B587">
        <v>586</v>
      </c>
      <c r="C587">
        <v>0.19700000000000001</v>
      </c>
      <c r="D587">
        <v>0.93</v>
      </c>
      <c r="E587">
        <v>0.32840000000000003</v>
      </c>
      <c r="F587">
        <v>1</v>
      </c>
      <c r="G587">
        <v>35</v>
      </c>
      <c r="H587">
        <v>36</v>
      </c>
    </row>
    <row r="588" spans="1:8" x14ac:dyDescent="0.3">
      <c r="A588">
        <v>586</v>
      </c>
      <c r="B588">
        <v>587</v>
      </c>
      <c r="C588">
        <v>0.18179999999999999</v>
      </c>
      <c r="D588">
        <v>0.93</v>
      </c>
      <c r="E588">
        <v>0.35820000000000002</v>
      </c>
      <c r="F588">
        <v>0</v>
      </c>
      <c r="G588">
        <v>26</v>
      </c>
      <c r="H588">
        <v>26</v>
      </c>
    </row>
    <row r="589" spans="1:8" x14ac:dyDescent="0.3">
      <c r="A589">
        <v>587</v>
      </c>
      <c r="B589">
        <v>588</v>
      </c>
      <c r="C589">
        <v>0.2273</v>
      </c>
      <c r="D589">
        <v>0.55000000000000004</v>
      </c>
      <c r="E589">
        <v>0.19400000000000001</v>
      </c>
      <c r="F589">
        <v>1</v>
      </c>
      <c r="G589">
        <v>23</v>
      </c>
      <c r="H589">
        <v>24</v>
      </c>
    </row>
    <row r="590" spans="1:8" x14ac:dyDescent="0.3">
      <c r="A590">
        <v>588</v>
      </c>
      <c r="B590">
        <v>589</v>
      </c>
      <c r="C590">
        <v>0.2424</v>
      </c>
      <c r="D590">
        <v>0.55000000000000004</v>
      </c>
      <c r="E590">
        <v>0.1045</v>
      </c>
      <c r="F590">
        <v>2</v>
      </c>
      <c r="G590">
        <v>82</v>
      </c>
      <c r="H590">
        <v>84</v>
      </c>
    </row>
    <row r="591" spans="1:8" x14ac:dyDescent="0.3">
      <c r="A591">
        <v>589</v>
      </c>
      <c r="B591">
        <v>590</v>
      </c>
      <c r="C591">
        <v>0.2273</v>
      </c>
      <c r="D591">
        <v>0.69</v>
      </c>
      <c r="E591">
        <v>8.9599999999999999E-2</v>
      </c>
      <c r="F591">
        <v>3</v>
      </c>
      <c r="G591">
        <v>101</v>
      </c>
      <c r="H591">
        <v>104</v>
      </c>
    </row>
    <row r="592" spans="1:8" x14ac:dyDescent="0.3">
      <c r="A592">
        <v>590</v>
      </c>
      <c r="B592">
        <v>591</v>
      </c>
      <c r="C592">
        <v>0.2273</v>
      </c>
      <c r="D592">
        <v>0.69</v>
      </c>
      <c r="E592">
        <v>8.9599999999999999E-2</v>
      </c>
      <c r="F592">
        <v>3</v>
      </c>
      <c r="G592">
        <v>76</v>
      </c>
      <c r="H592">
        <v>79</v>
      </c>
    </row>
    <row r="593" spans="1:8" x14ac:dyDescent="0.3">
      <c r="A593">
        <v>591</v>
      </c>
      <c r="B593">
        <v>592</v>
      </c>
      <c r="C593">
        <v>0.21210000000000001</v>
      </c>
      <c r="D593">
        <v>0.74</v>
      </c>
      <c r="E593">
        <v>8.9599999999999999E-2</v>
      </c>
      <c r="F593">
        <v>4</v>
      </c>
      <c r="G593">
        <v>55</v>
      </c>
      <c r="H593">
        <v>59</v>
      </c>
    </row>
    <row r="594" spans="1:8" x14ac:dyDescent="0.3">
      <c r="A594">
        <v>592</v>
      </c>
      <c r="B594">
        <v>593</v>
      </c>
      <c r="C594">
        <v>0.21210000000000001</v>
      </c>
      <c r="D594">
        <v>0.74</v>
      </c>
      <c r="E594">
        <v>8.9599999999999999E-2</v>
      </c>
      <c r="F594">
        <v>2</v>
      </c>
      <c r="G594">
        <v>36</v>
      </c>
      <c r="H594">
        <v>38</v>
      </c>
    </row>
    <row r="595" spans="1:8" x14ac:dyDescent="0.3">
      <c r="A595">
        <v>593</v>
      </c>
      <c r="B595">
        <v>594</v>
      </c>
      <c r="C595">
        <v>0.21210000000000001</v>
      </c>
      <c r="D595">
        <v>0.74</v>
      </c>
      <c r="E595">
        <v>8.9599999999999999E-2</v>
      </c>
      <c r="F595">
        <v>0</v>
      </c>
      <c r="G595">
        <v>27</v>
      </c>
      <c r="H595">
        <v>27</v>
      </c>
    </row>
    <row r="596" spans="1:8" x14ac:dyDescent="0.3">
      <c r="A596">
        <v>594</v>
      </c>
      <c r="B596">
        <v>595</v>
      </c>
      <c r="C596">
        <v>0.19700000000000001</v>
      </c>
      <c r="D596">
        <v>0.8</v>
      </c>
      <c r="E596">
        <v>0.16420000000000001</v>
      </c>
      <c r="F596">
        <v>0</v>
      </c>
      <c r="G596">
        <v>16</v>
      </c>
      <c r="H596">
        <v>16</v>
      </c>
    </row>
    <row r="597" spans="1:8" x14ac:dyDescent="0.3">
      <c r="A597">
        <v>595</v>
      </c>
      <c r="B597">
        <v>596</v>
      </c>
      <c r="C597">
        <v>0.21210000000000001</v>
      </c>
      <c r="D597">
        <v>0.75</v>
      </c>
      <c r="E597">
        <v>0.1343</v>
      </c>
      <c r="F597">
        <v>0</v>
      </c>
      <c r="G597">
        <v>9</v>
      </c>
      <c r="H597">
        <v>9</v>
      </c>
    </row>
    <row r="598" spans="1:8" x14ac:dyDescent="0.3">
      <c r="A598">
        <v>596</v>
      </c>
      <c r="B598">
        <v>597</v>
      </c>
      <c r="C598">
        <v>0.21210000000000001</v>
      </c>
      <c r="D598">
        <v>0.75</v>
      </c>
      <c r="E598">
        <v>0.1343</v>
      </c>
      <c r="F598">
        <v>1</v>
      </c>
      <c r="G598">
        <v>2</v>
      </c>
      <c r="H598">
        <v>3</v>
      </c>
    </row>
    <row r="599" spans="1:8" x14ac:dyDescent="0.3">
      <c r="A599">
        <v>597</v>
      </c>
      <c r="B599">
        <v>598</v>
      </c>
      <c r="C599">
        <v>0.21210000000000001</v>
      </c>
      <c r="D599">
        <v>0.75</v>
      </c>
      <c r="E599">
        <v>0.16420000000000001</v>
      </c>
      <c r="F599">
        <v>0</v>
      </c>
      <c r="G599">
        <v>2</v>
      </c>
      <c r="H599">
        <v>2</v>
      </c>
    </row>
    <row r="600" spans="1:8" x14ac:dyDescent="0.3">
      <c r="A600">
        <v>598</v>
      </c>
      <c r="B600">
        <v>599</v>
      </c>
      <c r="C600">
        <v>0.2273</v>
      </c>
      <c r="D600">
        <v>0.75</v>
      </c>
      <c r="E600">
        <v>0.1045</v>
      </c>
      <c r="F600">
        <v>1</v>
      </c>
      <c r="G600">
        <v>0</v>
      </c>
      <c r="H600">
        <v>1</v>
      </c>
    </row>
    <row r="601" spans="1:8" x14ac:dyDescent="0.3">
      <c r="A601">
        <v>599</v>
      </c>
      <c r="B601">
        <v>600</v>
      </c>
      <c r="C601">
        <v>0.21210000000000001</v>
      </c>
      <c r="D601">
        <v>0.8</v>
      </c>
      <c r="E601">
        <v>0.1045</v>
      </c>
      <c r="F601">
        <v>0</v>
      </c>
      <c r="G601">
        <v>4</v>
      </c>
      <c r="H601">
        <v>4</v>
      </c>
    </row>
    <row r="602" spans="1:8" x14ac:dyDescent="0.3">
      <c r="A602">
        <v>600</v>
      </c>
      <c r="B602">
        <v>601</v>
      </c>
      <c r="C602">
        <v>0.19700000000000001</v>
      </c>
      <c r="D602">
        <v>0.8</v>
      </c>
      <c r="E602">
        <v>0.1343</v>
      </c>
      <c r="F602">
        <v>0</v>
      </c>
      <c r="G602">
        <v>16</v>
      </c>
      <c r="H602">
        <v>16</v>
      </c>
    </row>
    <row r="603" spans="1:8" x14ac:dyDescent="0.3">
      <c r="A603">
        <v>601</v>
      </c>
      <c r="B603">
        <v>602</v>
      </c>
      <c r="C603">
        <v>0.19700000000000001</v>
      </c>
      <c r="D603">
        <v>0.86</v>
      </c>
      <c r="E603">
        <v>8.9599999999999999E-2</v>
      </c>
      <c r="F603">
        <v>2</v>
      </c>
      <c r="G603">
        <v>58</v>
      </c>
      <c r="H603">
        <v>60</v>
      </c>
    </row>
    <row r="604" spans="1:8" x14ac:dyDescent="0.3">
      <c r="A604">
        <v>602</v>
      </c>
      <c r="B604">
        <v>603</v>
      </c>
      <c r="C604">
        <v>0.19700000000000001</v>
      </c>
      <c r="D604">
        <v>0.86</v>
      </c>
      <c r="E604">
        <v>8.9599999999999999E-2</v>
      </c>
      <c r="F604">
        <v>2</v>
      </c>
      <c r="G604">
        <v>155</v>
      </c>
      <c r="H604">
        <v>157</v>
      </c>
    </row>
    <row r="605" spans="1:8" x14ac:dyDescent="0.3">
      <c r="A605">
        <v>603</v>
      </c>
      <c r="B605">
        <v>604</v>
      </c>
      <c r="C605">
        <v>0.21210000000000001</v>
      </c>
      <c r="D605">
        <v>0.86</v>
      </c>
      <c r="E605">
        <v>8.9599999999999999E-2</v>
      </c>
      <c r="F605">
        <v>6</v>
      </c>
      <c r="G605">
        <v>95</v>
      </c>
      <c r="H605">
        <v>101</v>
      </c>
    </row>
    <row r="606" spans="1:8" x14ac:dyDescent="0.3">
      <c r="A606">
        <v>604</v>
      </c>
      <c r="B606">
        <v>605</v>
      </c>
      <c r="C606">
        <v>0.21210000000000001</v>
      </c>
      <c r="D606">
        <v>0.86</v>
      </c>
      <c r="E606">
        <v>0.1045</v>
      </c>
      <c r="F606">
        <v>0</v>
      </c>
      <c r="G606">
        <v>49</v>
      </c>
      <c r="H606">
        <v>49</v>
      </c>
    </row>
    <row r="607" spans="1:8" x14ac:dyDescent="0.3">
      <c r="A607">
        <v>605</v>
      </c>
      <c r="B607">
        <v>606</v>
      </c>
      <c r="C607">
        <v>0.21210000000000001</v>
      </c>
      <c r="D607">
        <v>0.93</v>
      </c>
      <c r="E607">
        <v>0.1045</v>
      </c>
      <c r="F607">
        <v>0</v>
      </c>
      <c r="G607">
        <v>30</v>
      </c>
      <c r="H607">
        <v>30</v>
      </c>
    </row>
    <row r="608" spans="1:8" x14ac:dyDescent="0.3">
      <c r="A608">
        <v>606</v>
      </c>
      <c r="B608">
        <v>607</v>
      </c>
      <c r="C608">
        <v>0.21210000000000001</v>
      </c>
      <c r="D608">
        <v>0.93</v>
      </c>
      <c r="E608">
        <v>0.1045</v>
      </c>
      <c r="F608">
        <v>1</v>
      </c>
      <c r="G608">
        <v>28</v>
      </c>
      <c r="H608">
        <v>29</v>
      </c>
    </row>
    <row r="609" spans="1:8" x14ac:dyDescent="0.3">
      <c r="A609">
        <v>607</v>
      </c>
      <c r="B609">
        <v>608</v>
      </c>
      <c r="C609">
        <v>0.21210000000000001</v>
      </c>
      <c r="D609">
        <v>0.93</v>
      </c>
      <c r="E609">
        <v>0.1045</v>
      </c>
      <c r="F609">
        <v>0</v>
      </c>
      <c r="G609">
        <v>31</v>
      </c>
      <c r="H609">
        <v>31</v>
      </c>
    </row>
    <row r="610" spans="1:8" x14ac:dyDescent="0.3">
      <c r="A610">
        <v>608</v>
      </c>
      <c r="B610">
        <v>609</v>
      </c>
      <c r="C610">
        <v>0.2727</v>
      </c>
      <c r="D610">
        <v>0.8</v>
      </c>
      <c r="E610">
        <v>0</v>
      </c>
      <c r="F610">
        <v>2</v>
      </c>
      <c r="G610">
        <v>36</v>
      </c>
      <c r="H610">
        <v>38</v>
      </c>
    </row>
    <row r="611" spans="1:8" x14ac:dyDescent="0.3">
      <c r="A611">
        <v>609</v>
      </c>
      <c r="B611">
        <v>610</v>
      </c>
      <c r="C611">
        <v>0.2576</v>
      </c>
      <c r="D611">
        <v>0.86</v>
      </c>
      <c r="E611">
        <v>0</v>
      </c>
      <c r="F611">
        <v>1</v>
      </c>
      <c r="G611">
        <v>40</v>
      </c>
      <c r="H611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A62B-ADE2-4B45-9B10-7C5A4AB291A0}">
  <dimension ref="A1:P611"/>
  <sheetViews>
    <sheetView topLeftCell="C337" workbookViewId="0">
      <selection activeCell="H13" sqref="H13"/>
    </sheetView>
  </sheetViews>
  <sheetFormatPr defaultRowHeight="14.4" x14ac:dyDescent="0.3"/>
  <sheetData>
    <row r="1" spans="1:1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4" t="s">
        <v>22</v>
      </c>
    </row>
    <row r="2" spans="1:16" x14ac:dyDescent="0.3">
      <c r="A2" s="5">
        <v>1</v>
      </c>
      <c r="B2" s="11">
        <v>40544</v>
      </c>
      <c r="C2" s="6">
        <v>1</v>
      </c>
      <c r="D2" s="6">
        <v>0</v>
      </c>
      <c r="E2" s="6">
        <v>1</v>
      </c>
      <c r="F2" s="6">
        <v>0</v>
      </c>
      <c r="G2" s="6" t="b">
        <v>0</v>
      </c>
      <c r="H2" s="6">
        <v>6</v>
      </c>
      <c r="I2" s="6">
        <v>1</v>
      </c>
      <c r="J2" s="6">
        <v>0.24</v>
      </c>
      <c r="K2" s="6">
        <v>0.28789999999999999</v>
      </c>
      <c r="L2" s="6">
        <v>0.81</v>
      </c>
      <c r="M2" s="6">
        <v>0</v>
      </c>
      <c r="N2" s="6">
        <v>3</v>
      </c>
      <c r="O2" s="6">
        <v>13</v>
      </c>
      <c r="P2" s="7">
        <v>16</v>
      </c>
    </row>
    <row r="3" spans="1:16" x14ac:dyDescent="0.3">
      <c r="A3" s="8">
        <v>2</v>
      </c>
      <c r="B3" s="12">
        <v>40544</v>
      </c>
      <c r="C3" s="9">
        <v>1</v>
      </c>
      <c r="D3" s="9">
        <v>0</v>
      </c>
      <c r="E3" s="9">
        <v>1</v>
      </c>
      <c r="F3" s="9">
        <v>1</v>
      </c>
      <c r="G3" s="9" t="b">
        <v>0</v>
      </c>
      <c r="H3" s="9">
        <v>6</v>
      </c>
      <c r="I3" s="9">
        <v>1</v>
      </c>
      <c r="J3" s="9">
        <v>0.22</v>
      </c>
      <c r="K3" s="9">
        <v>0.2727</v>
      </c>
      <c r="L3" s="9">
        <v>0.8</v>
      </c>
      <c r="M3" s="9">
        <v>0</v>
      </c>
      <c r="N3" s="9">
        <v>8</v>
      </c>
      <c r="O3" s="9">
        <v>32</v>
      </c>
      <c r="P3" s="10">
        <v>40</v>
      </c>
    </row>
    <row r="4" spans="1:16" x14ac:dyDescent="0.3">
      <c r="A4" s="5">
        <v>3</v>
      </c>
      <c r="B4" s="11">
        <v>40544</v>
      </c>
      <c r="C4" s="6">
        <v>1</v>
      </c>
      <c r="D4" s="6">
        <v>0</v>
      </c>
      <c r="E4" s="6">
        <v>1</v>
      </c>
      <c r="F4" s="6">
        <v>2</v>
      </c>
      <c r="G4" s="6" t="b">
        <v>0</v>
      </c>
      <c r="H4" s="6">
        <v>6</v>
      </c>
      <c r="I4" s="6">
        <v>1</v>
      </c>
      <c r="J4" s="6">
        <v>0.22</v>
      </c>
      <c r="K4" s="6">
        <v>0.2727</v>
      </c>
      <c r="L4" s="6">
        <v>0.8</v>
      </c>
      <c r="M4" s="6">
        <v>0</v>
      </c>
      <c r="N4" s="6">
        <v>5</v>
      </c>
      <c r="O4" s="6">
        <v>27</v>
      </c>
      <c r="P4" s="7">
        <v>32</v>
      </c>
    </row>
    <row r="5" spans="1:16" x14ac:dyDescent="0.3">
      <c r="A5" s="8">
        <v>4</v>
      </c>
      <c r="B5" s="12">
        <v>40544</v>
      </c>
      <c r="C5" s="9">
        <v>1</v>
      </c>
      <c r="D5" s="9">
        <v>0</v>
      </c>
      <c r="E5" s="9">
        <v>1</v>
      </c>
      <c r="F5" s="9">
        <v>3</v>
      </c>
      <c r="G5" s="9" t="b">
        <v>0</v>
      </c>
      <c r="H5" s="9">
        <v>6</v>
      </c>
      <c r="I5" s="9">
        <v>1</v>
      </c>
      <c r="J5" s="9">
        <v>0.24</v>
      </c>
      <c r="K5" s="9">
        <v>0.28789999999999999</v>
      </c>
      <c r="L5" s="9">
        <v>0.75</v>
      </c>
      <c r="M5" s="9">
        <v>0</v>
      </c>
      <c r="N5" s="9">
        <v>3</v>
      </c>
      <c r="O5" s="9">
        <v>10</v>
      </c>
      <c r="P5" s="10">
        <v>13</v>
      </c>
    </row>
    <row r="6" spans="1:16" x14ac:dyDescent="0.3">
      <c r="A6" s="5">
        <v>5</v>
      </c>
      <c r="B6" s="11">
        <v>40544</v>
      </c>
      <c r="C6" s="6">
        <v>1</v>
      </c>
      <c r="D6" s="6">
        <v>0</v>
      </c>
      <c r="E6" s="6">
        <v>1</v>
      </c>
      <c r="F6" s="6">
        <v>4</v>
      </c>
      <c r="G6" s="6" t="b">
        <v>0</v>
      </c>
      <c r="H6" s="6">
        <v>6</v>
      </c>
      <c r="I6" s="6">
        <v>1</v>
      </c>
      <c r="J6" s="6">
        <v>0.24</v>
      </c>
      <c r="K6" s="6">
        <v>0.28789999999999999</v>
      </c>
      <c r="L6" s="6">
        <v>0.75</v>
      </c>
      <c r="M6" s="6">
        <v>0</v>
      </c>
      <c r="N6" s="6">
        <v>0</v>
      </c>
      <c r="O6" s="6">
        <v>1</v>
      </c>
      <c r="P6" s="7">
        <v>1</v>
      </c>
    </row>
    <row r="7" spans="1:16" x14ac:dyDescent="0.3">
      <c r="A7" s="8">
        <v>6</v>
      </c>
      <c r="B7" s="12">
        <v>40544</v>
      </c>
      <c r="C7" s="9">
        <v>1</v>
      </c>
      <c r="D7" s="9">
        <v>0</v>
      </c>
      <c r="E7" s="9">
        <v>1</v>
      </c>
      <c r="F7" s="9">
        <v>5</v>
      </c>
      <c r="G7" s="9" t="b">
        <v>0</v>
      </c>
      <c r="H7" s="9">
        <v>6</v>
      </c>
      <c r="I7" s="9">
        <v>2</v>
      </c>
      <c r="J7" s="9">
        <v>0.24</v>
      </c>
      <c r="K7" s="9">
        <v>0.2576</v>
      </c>
      <c r="L7" s="9">
        <v>0.75</v>
      </c>
      <c r="M7" s="9">
        <v>8.9599999999999999E-2</v>
      </c>
      <c r="N7" s="9">
        <v>0</v>
      </c>
      <c r="O7" s="9">
        <v>1</v>
      </c>
      <c r="P7" s="10">
        <v>1</v>
      </c>
    </row>
    <row r="8" spans="1:16" x14ac:dyDescent="0.3">
      <c r="A8" s="5">
        <v>7</v>
      </c>
      <c r="B8" s="11">
        <v>40544</v>
      </c>
      <c r="C8" s="6">
        <v>1</v>
      </c>
      <c r="D8" s="6">
        <v>0</v>
      </c>
      <c r="E8" s="6">
        <v>1</v>
      </c>
      <c r="F8" s="6">
        <v>6</v>
      </c>
      <c r="G8" s="6" t="b">
        <v>0</v>
      </c>
      <c r="H8" s="6">
        <v>6</v>
      </c>
      <c r="I8" s="6">
        <v>1</v>
      </c>
      <c r="J8" s="6">
        <v>0.22</v>
      </c>
      <c r="K8" s="6">
        <v>0.2727</v>
      </c>
      <c r="L8" s="6">
        <v>0.8</v>
      </c>
      <c r="M8" s="6">
        <v>0</v>
      </c>
      <c r="N8" s="6">
        <v>2</v>
      </c>
      <c r="O8" s="6">
        <v>0</v>
      </c>
      <c r="P8" s="7">
        <v>2</v>
      </c>
    </row>
    <row r="9" spans="1:16" x14ac:dyDescent="0.3">
      <c r="A9" s="8">
        <v>8</v>
      </c>
      <c r="B9" s="12">
        <v>40544</v>
      </c>
      <c r="C9" s="9">
        <v>1</v>
      </c>
      <c r="D9" s="9">
        <v>0</v>
      </c>
      <c r="E9" s="9">
        <v>1</v>
      </c>
      <c r="F9" s="9">
        <v>7</v>
      </c>
      <c r="G9" s="9" t="b">
        <v>0</v>
      </c>
      <c r="H9" s="9">
        <v>6</v>
      </c>
      <c r="I9" s="9">
        <v>1</v>
      </c>
      <c r="J9" s="9">
        <v>0.2</v>
      </c>
      <c r="K9" s="9">
        <v>0.2576</v>
      </c>
      <c r="L9" s="9">
        <v>0.86</v>
      </c>
      <c r="M9" s="9">
        <v>0</v>
      </c>
      <c r="N9" s="9">
        <v>1</v>
      </c>
      <c r="O9" s="9">
        <v>2</v>
      </c>
      <c r="P9" s="10">
        <v>3</v>
      </c>
    </row>
    <row r="10" spans="1:16" x14ac:dyDescent="0.3">
      <c r="A10" s="5">
        <v>9</v>
      </c>
      <c r="B10" s="11">
        <v>40544</v>
      </c>
      <c r="C10" s="6">
        <v>1</v>
      </c>
      <c r="D10" s="6">
        <v>0</v>
      </c>
      <c r="E10" s="6">
        <v>1</v>
      </c>
      <c r="F10" s="6">
        <v>8</v>
      </c>
      <c r="G10" s="6" t="b">
        <v>0</v>
      </c>
      <c r="H10" s="6">
        <v>6</v>
      </c>
      <c r="I10" s="6">
        <v>1</v>
      </c>
      <c r="J10" s="6">
        <v>0.24</v>
      </c>
      <c r="K10" s="6">
        <v>0.19993</v>
      </c>
      <c r="L10" s="6">
        <v>0.75</v>
      </c>
      <c r="M10" s="6">
        <v>0</v>
      </c>
      <c r="N10" s="6">
        <v>1</v>
      </c>
      <c r="O10" s="6">
        <v>7</v>
      </c>
      <c r="P10" s="7">
        <v>8</v>
      </c>
    </row>
    <row r="11" spans="1:16" x14ac:dyDescent="0.3">
      <c r="A11" s="8">
        <v>10</v>
      </c>
      <c r="B11" s="12">
        <v>40544</v>
      </c>
      <c r="C11" s="9">
        <v>1</v>
      </c>
      <c r="D11" s="9">
        <v>0</v>
      </c>
      <c r="E11" s="9">
        <v>1</v>
      </c>
      <c r="F11" s="9">
        <v>9</v>
      </c>
      <c r="G11" s="9" t="b">
        <v>0</v>
      </c>
      <c r="H11" s="9">
        <v>6</v>
      </c>
      <c r="I11" s="9">
        <v>1</v>
      </c>
      <c r="J11" s="9">
        <v>0.32</v>
      </c>
      <c r="K11" s="9">
        <v>0.34849999999999998</v>
      </c>
      <c r="L11" s="9">
        <v>0.76</v>
      </c>
      <c r="M11" s="9">
        <v>0</v>
      </c>
      <c r="N11" s="9">
        <v>8</v>
      </c>
      <c r="O11" s="9">
        <v>6</v>
      </c>
      <c r="P11" s="10">
        <v>14</v>
      </c>
    </row>
    <row r="12" spans="1:16" x14ac:dyDescent="0.3">
      <c r="A12" s="5">
        <v>11</v>
      </c>
      <c r="B12" s="11">
        <v>40544</v>
      </c>
      <c r="C12" s="6">
        <v>1</v>
      </c>
      <c r="D12" s="6">
        <v>0</v>
      </c>
      <c r="E12" s="6">
        <v>1</v>
      </c>
      <c r="F12" s="6">
        <v>10</v>
      </c>
      <c r="G12" s="6" t="b">
        <v>0</v>
      </c>
      <c r="H12" s="6">
        <v>6</v>
      </c>
      <c r="I12" s="6">
        <v>1</v>
      </c>
      <c r="J12" s="6">
        <v>0.38</v>
      </c>
      <c r="K12" s="6">
        <v>0.39389999999999997</v>
      </c>
      <c r="L12" s="6">
        <v>0.76</v>
      </c>
      <c r="M12" s="6">
        <v>0.25369999999999998</v>
      </c>
      <c r="N12" s="6">
        <v>12</v>
      </c>
      <c r="O12" s="6">
        <v>24</v>
      </c>
      <c r="P12" s="7">
        <v>36</v>
      </c>
    </row>
    <row r="13" spans="1:16" x14ac:dyDescent="0.3">
      <c r="A13" s="8">
        <v>12</v>
      </c>
      <c r="B13" s="12">
        <v>40544</v>
      </c>
      <c r="C13" s="9">
        <v>1</v>
      </c>
      <c r="D13" s="9">
        <v>0</v>
      </c>
      <c r="E13" s="9">
        <v>1</v>
      </c>
      <c r="F13" s="9">
        <v>11</v>
      </c>
      <c r="G13" s="9" t="b">
        <v>0</v>
      </c>
      <c r="H13" s="9">
        <v>6</v>
      </c>
      <c r="I13" s="9">
        <v>1</v>
      </c>
      <c r="J13" s="9">
        <v>0.36</v>
      </c>
      <c r="K13" s="9">
        <v>0.33329999999999999</v>
      </c>
      <c r="L13" s="9">
        <v>0.81</v>
      </c>
      <c r="M13" s="9">
        <v>0.28360000000000002</v>
      </c>
      <c r="N13" s="9">
        <v>26</v>
      </c>
      <c r="O13" s="9">
        <v>30</v>
      </c>
      <c r="P13" s="10">
        <v>56</v>
      </c>
    </row>
    <row r="14" spans="1:16" x14ac:dyDescent="0.3">
      <c r="A14" s="5">
        <v>13</v>
      </c>
      <c r="B14" s="11">
        <v>40544</v>
      </c>
      <c r="C14" s="6">
        <v>1</v>
      </c>
      <c r="D14" s="6">
        <v>0</v>
      </c>
      <c r="E14" s="6">
        <v>1</v>
      </c>
      <c r="F14" s="6">
        <v>12</v>
      </c>
      <c r="G14" s="6" t="b">
        <v>0</v>
      </c>
      <c r="H14" s="6">
        <v>6</v>
      </c>
      <c r="I14" s="6">
        <v>1</v>
      </c>
      <c r="J14" s="6">
        <v>0.42</v>
      </c>
      <c r="K14" s="6">
        <v>0.42420000000000002</v>
      </c>
      <c r="L14" s="6">
        <v>0.77</v>
      </c>
      <c r="M14" s="6">
        <v>0.28360000000000002</v>
      </c>
      <c r="N14" s="6">
        <v>29</v>
      </c>
      <c r="O14" s="6">
        <v>55</v>
      </c>
      <c r="P14" s="7">
        <v>84</v>
      </c>
    </row>
    <row r="15" spans="1:16" x14ac:dyDescent="0.3">
      <c r="A15" s="8">
        <v>14</v>
      </c>
      <c r="B15" s="12">
        <v>40544</v>
      </c>
      <c r="C15" s="9">
        <v>1</v>
      </c>
      <c r="D15" s="9">
        <v>0</v>
      </c>
      <c r="E15" s="9">
        <v>1</v>
      </c>
      <c r="F15" s="9">
        <v>13</v>
      </c>
      <c r="G15" s="9" t="b">
        <v>0</v>
      </c>
      <c r="H15" s="9">
        <v>6</v>
      </c>
      <c r="I15" s="9">
        <v>2</v>
      </c>
      <c r="J15" s="9">
        <v>0.46</v>
      </c>
      <c r="K15" s="9">
        <v>0.45450000000000002</v>
      </c>
      <c r="L15" s="9">
        <v>0.72</v>
      </c>
      <c r="M15" s="9">
        <v>0.29849999999999999</v>
      </c>
      <c r="N15" s="9">
        <v>47</v>
      </c>
      <c r="O15" s="9">
        <v>47</v>
      </c>
      <c r="P15" s="10">
        <v>94</v>
      </c>
    </row>
    <row r="16" spans="1:16" x14ac:dyDescent="0.3">
      <c r="A16" s="5">
        <v>15</v>
      </c>
      <c r="B16" s="11">
        <v>40544</v>
      </c>
      <c r="C16" s="6">
        <v>1</v>
      </c>
      <c r="D16" s="6">
        <v>0</v>
      </c>
      <c r="E16" s="6">
        <v>1</v>
      </c>
      <c r="F16" s="6">
        <v>14</v>
      </c>
      <c r="G16" s="6" t="b">
        <v>0</v>
      </c>
      <c r="H16" s="6">
        <v>6</v>
      </c>
      <c r="I16" s="6">
        <v>2</v>
      </c>
      <c r="J16" s="6">
        <v>0.46</v>
      </c>
      <c r="K16" s="6">
        <v>0.45450000000000002</v>
      </c>
      <c r="L16" s="6">
        <v>0.72</v>
      </c>
      <c r="M16" s="6">
        <v>0.28360000000000002</v>
      </c>
      <c r="N16" s="6">
        <v>35</v>
      </c>
      <c r="O16" s="6">
        <v>71</v>
      </c>
      <c r="P16" s="7">
        <v>106</v>
      </c>
    </row>
    <row r="17" spans="1:16" x14ac:dyDescent="0.3">
      <c r="A17" s="8">
        <v>16</v>
      </c>
      <c r="B17" s="12">
        <v>40544</v>
      </c>
      <c r="C17" s="9">
        <v>1</v>
      </c>
      <c r="D17" s="9">
        <v>0</v>
      </c>
      <c r="E17" s="9">
        <v>1</v>
      </c>
      <c r="F17" s="9">
        <v>15</v>
      </c>
      <c r="G17" s="9" t="b">
        <v>0</v>
      </c>
      <c r="H17" s="9">
        <v>6</v>
      </c>
      <c r="I17" s="9">
        <v>2</v>
      </c>
      <c r="J17" s="9">
        <v>0.44</v>
      </c>
      <c r="K17" s="9">
        <v>0.43940000000000001</v>
      </c>
      <c r="L17" s="9">
        <v>0.77</v>
      </c>
      <c r="M17" s="9">
        <v>0.29849999999999999</v>
      </c>
      <c r="N17" s="9">
        <v>40</v>
      </c>
      <c r="O17" s="9">
        <v>70</v>
      </c>
      <c r="P17" s="10">
        <v>110</v>
      </c>
    </row>
    <row r="18" spans="1:16" x14ac:dyDescent="0.3">
      <c r="A18" s="5">
        <v>17</v>
      </c>
      <c r="B18" s="11">
        <v>40544</v>
      </c>
      <c r="C18" s="6">
        <v>1</v>
      </c>
      <c r="D18" s="6">
        <v>0</v>
      </c>
      <c r="E18" s="6">
        <v>1</v>
      </c>
      <c r="F18" s="6">
        <v>16</v>
      </c>
      <c r="G18" s="6" t="b">
        <v>0</v>
      </c>
      <c r="H18" s="6">
        <v>6</v>
      </c>
      <c r="I18" s="6">
        <v>2</v>
      </c>
      <c r="J18" s="6">
        <v>0.42</v>
      </c>
      <c r="K18" s="6">
        <v>0.42420000000000002</v>
      </c>
      <c r="L18" s="6">
        <v>0.82</v>
      </c>
      <c r="M18" s="6">
        <v>0.29849999999999999</v>
      </c>
      <c r="N18" s="6">
        <v>41</v>
      </c>
      <c r="O18" s="6">
        <v>52</v>
      </c>
      <c r="P18" s="7">
        <v>93</v>
      </c>
    </row>
    <row r="19" spans="1:16" x14ac:dyDescent="0.3">
      <c r="A19" s="8">
        <v>18</v>
      </c>
      <c r="B19" s="12">
        <v>40544</v>
      </c>
      <c r="C19" s="9">
        <v>1</v>
      </c>
      <c r="D19" s="9">
        <v>0</v>
      </c>
      <c r="E19" s="9">
        <v>1</v>
      </c>
      <c r="F19" s="9">
        <v>17</v>
      </c>
      <c r="G19" s="9" t="b">
        <v>0</v>
      </c>
      <c r="H19" s="9">
        <v>6</v>
      </c>
      <c r="I19" s="9">
        <v>2</v>
      </c>
      <c r="J19" s="9">
        <v>0.44</v>
      </c>
      <c r="K19" s="9">
        <v>0.19993</v>
      </c>
      <c r="L19" s="9">
        <v>0.82</v>
      </c>
      <c r="M19" s="9">
        <v>0.28360000000000002</v>
      </c>
      <c r="N19" s="9">
        <v>15</v>
      </c>
      <c r="O19" s="9">
        <v>52</v>
      </c>
      <c r="P19" s="10">
        <v>67</v>
      </c>
    </row>
    <row r="20" spans="1:16" x14ac:dyDescent="0.3">
      <c r="A20" s="5">
        <v>19</v>
      </c>
      <c r="B20" s="11">
        <v>40544</v>
      </c>
      <c r="C20" s="6">
        <v>1</v>
      </c>
      <c r="D20" s="6">
        <v>0</v>
      </c>
      <c r="E20" s="6">
        <v>1</v>
      </c>
      <c r="F20" s="6">
        <v>18</v>
      </c>
      <c r="G20" s="6" t="b">
        <v>0</v>
      </c>
      <c r="H20" s="6">
        <v>6</v>
      </c>
      <c r="I20" s="6">
        <v>3</v>
      </c>
      <c r="J20" s="6">
        <v>0.42</v>
      </c>
      <c r="K20" s="6">
        <v>0.42420000000000002</v>
      </c>
      <c r="L20" s="6">
        <v>0.88</v>
      </c>
      <c r="M20" s="6">
        <v>0.25369999999999998</v>
      </c>
      <c r="N20" s="6">
        <v>9</v>
      </c>
      <c r="O20" s="6">
        <v>26</v>
      </c>
      <c r="P20" s="7">
        <v>35</v>
      </c>
    </row>
    <row r="21" spans="1:16" x14ac:dyDescent="0.3">
      <c r="A21" s="8">
        <v>20</v>
      </c>
      <c r="B21" s="12">
        <v>40544</v>
      </c>
      <c r="C21" s="9">
        <v>1</v>
      </c>
      <c r="D21" s="9">
        <v>0</v>
      </c>
      <c r="E21" s="9">
        <v>1</v>
      </c>
      <c r="F21" s="9">
        <v>19</v>
      </c>
      <c r="G21" s="9" t="b">
        <v>0</v>
      </c>
      <c r="H21" s="9">
        <v>6</v>
      </c>
      <c r="I21" s="9">
        <v>3</v>
      </c>
      <c r="J21" s="9">
        <v>0.42</v>
      </c>
      <c r="K21" s="9">
        <v>0.42420000000000002</v>
      </c>
      <c r="L21" s="9">
        <v>0.88</v>
      </c>
      <c r="M21" s="9">
        <v>0.25369999999999998</v>
      </c>
      <c r="N21" s="9">
        <v>6</v>
      </c>
      <c r="O21" s="9">
        <v>31</v>
      </c>
      <c r="P21" s="10">
        <v>37</v>
      </c>
    </row>
    <row r="22" spans="1:16" x14ac:dyDescent="0.3">
      <c r="A22" s="5">
        <v>21</v>
      </c>
      <c r="B22" s="11">
        <v>40544</v>
      </c>
      <c r="C22" s="6">
        <v>1</v>
      </c>
      <c r="D22" s="6">
        <v>0</v>
      </c>
      <c r="E22" s="6">
        <v>1</v>
      </c>
      <c r="F22" s="6">
        <v>20</v>
      </c>
      <c r="G22" s="6" t="b">
        <v>0</v>
      </c>
      <c r="H22" s="6">
        <v>6</v>
      </c>
      <c r="I22" s="6">
        <v>2</v>
      </c>
      <c r="J22" s="6">
        <v>0.4</v>
      </c>
      <c r="K22" s="6">
        <v>0.40910000000000002</v>
      </c>
      <c r="L22" s="6">
        <v>0.87</v>
      </c>
      <c r="M22" s="6">
        <v>0.25369999999999998</v>
      </c>
      <c r="N22" s="6">
        <v>11</v>
      </c>
      <c r="O22" s="6">
        <v>25</v>
      </c>
      <c r="P22" s="7">
        <v>36</v>
      </c>
    </row>
    <row r="23" spans="1:16" x14ac:dyDescent="0.3">
      <c r="A23" s="8">
        <v>22</v>
      </c>
      <c r="B23" s="12">
        <v>40544</v>
      </c>
      <c r="C23" s="9">
        <v>1</v>
      </c>
      <c r="D23" s="9">
        <v>0</v>
      </c>
      <c r="E23" s="9">
        <v>1</v>
      </c>
      <c r="F23" s="9">
        <v>21</v>
      </c>
      <c r="G23" s="9" t="b">
        <v>0</v>
      </c>
      <c r="H23" s="9">
        <v>6</v>
      </c>
      <c r="I23" s="9">
        <v>2</v>
      </c>
      <c r="J23" s="9">
        <v>0.4</v>
      </c>
      <c r="K23" s="9">
        <v>0.40910000000000002</v>
      </c>
      <c r="L23" s="9">
        <v>0.87</v>
      </c>
      <c r="M23" s="9">
        <v>0.19400000000000001</v>
      </c>
      <c r="N23" s="9">
        <v>3</v>
      </c>
      <c r="O23" s="9">
        <v>31</v>
      </c>
      <c r="P23" s="10">
        <v>34</v>
      </c>
    </row>
    <row r="24" spans="1:16" x14ac:dyDescent="0.3">
      <c r="A24" s="5">
        <v>23</v>
      </c>
      <c r="B24" s="11">
        <v>40544</v>
      </c>
      <c r="C24" s="6">
        <v>1</v>
      </c>
      <c r="D24" s="6">
        <v>0</v>
      </c>
      <c r="E24" s="6">
        <v>1</v>
      </c>
      <c r="F24" s="6">
        <v>22</v>
      </c>
      <c r="G24" s="6" t="b">
        <v>0</v>
      </c>
      <c r="H24" s="6">
        <v>6</v>
      </c>
      <c r="I24" s="6">
        <v>2</v>
      </c>
      <c r="J24" s="6">
        <v>0.4</v>
      </c>
      <c r="K24" s="6">
        <v>0.40910000000000002</v>
      </c>
      <c r="L24" s="6">
        <v>0.94</v>
      </c>
      <c r="M24" s="6">
        <v>0.22389999999999999</v>
      </c>
      <c r="N24" s="6">
        <v>11</v>
      </c>
      <c r="O24" s="6">
        <v>17</v>
      </c>
      <c r="P24" s="7">
        <v>28</v>
      </c>
    </row>
    <row r="25" spans="1:16" x14ac:dyDescent="0.3">
      <c r="A25" s="8">
        <v>24</v>
      </c>
      <c r="B25" s="12">
        <v>40544</v>
      </c>
      <c r="C25" s="9">
        <v>1</v>
      </c>
      <c r="D25" s="9">
        <v>0</v>
      </c>
      <c r="E25" s="9">
        <v>1</v>
      </c>
      <c r="F25" s="9">
        <v>23</v>
      </c>
      <c r="G25" s="9" t="b">
        <v>0</v>
      </c>
      <c r="H25" s="9">
        <v>6</v>
      </c>
      <c r="I25" s="9">
        <v>2</v>
      </c>
      <c r="J25" s="9">
        <v>0.46</v>
      </c>
      <c r="K25" s="9">
        <v>0.19993</v>
      </c>
      <c r="L25" s="9">
        <v>0.88</v>
      </c>
      <c r="M25" s="9">
        <v>0.29849999999999999</v>
      </c>
      <c r="N25" s="9">
        <v>15</v>
      </c>
      <c r="O25" s="9">
        <v>24</v>
      </c>
      <c r="P25" s="10">
        <v>39</v>
      </c>
    </row>
    <row r="26" spans="1:16" x14ac:dyDescent="0.3">
      <c r="A26" s="5">
        <v>25</v>
      </c>
      <c r="B26" s="11">
        <v>40545</v>
      </c>
      <c r="C26" s="6">
        <v>1</v>
      </c>
      <c r="D26" s="6">
        <v>0</v>
      </c>
      <c r="E26" s="6">
        <v>1</v>
      </c>
      <c r="F26" s="6">
        <v>0</v>
      </c>
      <c r="G26" s="6" t="b">
        <v>0</v>
      </c>
      <c r="H26" s="6">
        <v>0</v>
      </c>
      <c r="I26" s="6">
        <v>2</v>
      </c>
      <c r="J26" s="6">
        <v>0.46</v>
      </c>
      <c r="K26" s="6">
        <v>0.45450000000000002</v>
      </c>
      <c r="L26" s="6">
        <v>0.88</v>
      </c>
      <c r="M26" s="6">
        <v>0.29849999999999999</v>
      </c>
      <c r="N26" s="6">
        <v>4</v>
      </c>
      <c r="O26" s="6">
        <v>13</v>
      </c>
      <c r="P26" s="7">
        <v>17</v>
      </c>
    </row>
    <row r="27" spans="1:16" x14ac:dyDescent="0.3">
      <c r="A27" s="8">
        <v>26</v>
      </c>
      <c r="B27" s="12">
        <v>40545</v>
      </c>
      <c r="C27" s="9">
        <v>1</v>
      </c>
      <c r="D27" s="9">
        <v>0</v>
      </c>
      <c r="E27" s="9">
        <v>1</v>
      </c>
      <c r="F27" s="9">
        <v>1</v>
      </c>
      <c r="G27" s="9" t="b">
        <v>0</v>
      </c>
      <c r="H27" s="9">
        <v>0</v>
      </c>
      <c r="I27" s="9">
        <v>2</v>
      </c>
      <c r="J27" s="9">
        <v>0.44</v>
      </c>
      <c r="K27" s="9">
        <v>0.43940000000000001</v>
      </c>
      <c r="L27" s="9">
        <v>0.94</v>
      </c>
      <c r="M27" s="9">
        <v>0.25369999999999998</v>
      </c>
      <c r="N27" s="9">
        <v>1</v>
      </c>
      <c r="O27" s="9">
        <v>16</v>
      </c>
      <c r="P27" s="10">
        <v>17</v>
      </c>
    </row>
    <row r="28" spans="1:16" x14ac:dyDescent="0.3">
      <c r="A28" s="5">
        <v>27</v>
      </c>
      <c r="B28" s="11">
        <v>40545</v>
      </c>
      <c r="C28" s="6">
        <v>1</v>
      </c>
      <c r="D28" s="6">
        <v>0</v>
      </c>
      <c r="E28" s="6">
        <v>1</v>
      </c>
      <c r="F28" s="6">
        <v>2</v>
      </c>
      <c r="G28" s="6" t="b">
        <v>0</v>
      </c>
      <c r="H28" s="6">
        <v>0</v>
      </c>
      <c r="I28" s="6">
        <v>2</v>
      </c>
      <c r="J28" s="6">
        <v>0.42</v>
      </c>
      <c r="K28" s="6">
        <v>0.42420000000000002</v>
      </c>
      <c r="L28" s="6">
        <v>1</v>
      </c>
      <c r="M28" s="6">
        <v>0.28360000000000002</v>
      </c>
      <c r="N28" s="6">
        <v>1</v>
      </c>
      <c r="O28" s="6">
        <v>8</v>
      </c>
      <c r="P28" s="7">
        <v>9</v>
      </c>
    </row>
    <row r="29" spans="1:16" x14ac:dyDescent="0.3">
      <c r="A29" s="8">
        <v>28</v>
      </c>
      <c r="B29" s="12">
        <v>40545</v>
      </c>
      <c r="C29" s="9">
        <v>1</v>
      </c>
      <c r="D29" s="9">
        <v>0</v>
      </c>
      <c r="E29" s="9">
        <v>1</v>
      </c>
      <c r="F29" s="9">
        <v>3</v>
      </c>
      <c r="G29" s="9" t="b">
        <v>0</v>
      </c>
      <c r="H29" s="9">
        <v>0</v>
      </c>
      <c r="I29" s="9">
        <v>2</v>
      </c>
      <c r="J29" s="9">
        <v>0.46</v>
      </c>
      <c r="K29" s="9">
        <v>0.45450000000000002</v>
      </c>
      <c r="L29" s="9">
        <v>0.94</v>
      </c>
      <c r="M29" s="9">
        <v>0.19400000000000001</v>
      </c>
      <c r="N29" s="9">
        <v>2</v>
      </c>
      <c r="O29" s="9">
        <v>4</v>
      </c>
      <c r="P29" s="10">
        <v>6</v>
      </c>
    </row>
    <row r="30" spans="1:16" x14ac:dyDescent="0.3">
      <c r="A30" s="5">
        <v>29</v>
      </c>
      <c r="B30" s="11">
        <v>40545</v>
      </c>
      <c r="C30" s="6">
        <v>1</v>
      </c>
      <c r="D30" s="6">
        <v>0</v>
      </c>
      <c r="E30" s="6">
        <v>1</v>
      </c>
      <c r="F30" s="6">
        <v>4</v>
      </c>
      <c r="G30" s="6" t="b">
        <v>0</v>
      </c>
      <c r="H30" s="6">
        <v>0</v>
      </c>
      <c r="I30" s="6">
        <v>2</v>
      </c>
      <c r="J30" s="6">
        <v>0.46</v>
      </c>
      <c r="K30" s="6">
        <v>0.19993</v>
      </c>
      <c r="L30" s="6">
        <v>0.94</v>
      </c>
      <c r="M30" s="6">
        <v>0.19400000000000001</v>
      </c>
      <c r="N30" s="6">
        <v>2</v>
      </c>
      <c r="O30" s="6">
        <v>1</v>
      </c>
      <c r="P30" s="7">
        <v>3</v>
      </c>
    </row>
    <row r="31" spans="1:16" x14ac:dyDescent="0.3">
      <c r="A31" s="8">
        <v>30</v>
      </c>
      <c r="B31" s="12">
        <v>40545</v>
      </c>
      <c r="C31" s="9">
        <v>1</v>
      </c>
      <c r="D31" s="9">
        <v>0</v>
      </c>
      <c r="E31" s="9">
        <v>1</v>
      </c>
      <c r="F31" s="9">
        <v>6</v>
      </c>
      <c r="G31" s="9" t="b">
        <v>0</v>
      </c>
      <c r="H31" s="9">
        <v>0</v>
      </c>
      <c r="I31" s="9">
        <v>3</v>
      </c>
      <c r="J31" s="9">
        <v>0.42</v>
      </c>
      <c r="K31" s="9">
        <v>0.42420000000000002</v>
      </c>
      <c r="L31" s="9">
        <v>0.77</v>
      </c>
      <c r="M31" s="9">
        <v>0.29849999999999999</v>
      </c>
      <c r="N31" s="9">
        <v>0</v>
      </c>
      <c r="O31" s="9">
        <v>2</v>
      </c>
      <c r="P31" s="10">
        <v>2</v>
      </c>
    </row>
    <row r="32" spans="1:16" x14ac:dyDescent="0.3">
      <c r="A32" s="5">
        <v>31</v>
      </c>
      <c r="B32" s="11">
        <v>40545</v>
      </c>
      <c r="C32" s="6">
        <v>1</v>
      </c>
      <c r="D32" s="6">
        <v>0</v>
      </c>
      <c r="E32" s="6">
        <v>1</v>
      </c>
      <c r="F32" s="6">
        <v>7</v>
      </c>
      <c r="G32" s="6" t="b">
        <v>0</v>
      </c>
      <c r="H32" s="6">
        <v>0</v>
      </c>
      <c r="I32" s="6">
        <v>2</v>
      </c>
      <c r="J32" s="6">
        <v>0.4</v>
      </c>
      <c r="K32" s="6">
        <v>0.40910000000000002</v>
      </c>
      <c r="L32" s="6">
        <v>0.76</v>
      </c>
      <c r="M32" s="6">
        <v>0.19400000000000001</v>
      </c>
      <c r="N32" s="6">
        <v>0</v>
      </c>
      <c r="O32" s="6">
        <v>1</v>
      </c>
      <c r="P32" s="7">
        <v>1</v>
      </c>
    </row>
    <row r="33" spans="1:16" x14ac:dyDescent="0.3">
      <c r="A33" s="8">
        <v>32</v>
      </c>
      <c r="B33" s="12">
        <v>40545</v>
      </c>
      <c r="C33" s="9">
        <v>1</v>
      </c>
      <c r="D33" s="9">
        <v>0</v>
      </c>
      <c r="E33" s="9">
        <v>1</v>
      </c>
      <c r="F33" s="9">
        <v>8</v>
      </c>
      <c r="G33" s="9" t="b">
        <v>0</v>
      </c>
      <c r="H33" s="9">
        <v>0</v>
      </c>
      <c r="I33" s="9">
        <v>3</v>
      </c>
      <c r="J33" s="9">
        <v>0.4</v>
      </c>
      <c r="K33" s="9">
        <v>0.40910000000000002</v>
      </c>
      <c r="L33" s="9">
        <v>0.71</v>
      </c>
      <c r="M33" s="9">
        <v>0.22389999999999999</v>
      </c>
      <c r="N33" s="9">
        <v>0</v>
      </c>
      <c r="O33" s="9">
        <v>8</v>
      </c>
      <c r="P33" s="10">
        <v>8</v>
      </c>
    </row>
    <row r="34" spans="1:16" x14ac:dyDescent="0.3">
      <c r="A34" s="5">
        <v>33</v>
      </c>
      <c r="B34" s="11">
        <v>40545</v>
      </c>
      <c r="C34" s="6">
        <v>1</v>
      </c>
      <c r="D34" s="6">
        <v>0</v>
      </c>
      <c r="E34" s="6">
        <v>1</v>
      </c>
      <c r="F34" s="6">
        <v>9</v>
      </c>
      <c r="G34" s="6" t="b">
        <v>0</v>
      </c>
      <c r="H34" s="6">
        <v>0</v>
      </c>
      <c r="I34" s="6">
        <v>2</v>
      </c>
      <c r="J34" s="6">
        <v>0.38</v>
      </c>
      <c r="K34" s="6">
        <v>0.19993</v>
      </c>
      <c r="L34" s="6">
        <v>0.76</v>
      </c>
      <c r="M34" s="6">
        <v>0.22389999999999999</v>
      </c>
      <c r="N34" s="6">
        <v>1</v>
      </c>
      <c r="O34" s="6">
        <v>19</v>
      </c>
      <c r="P34" s="7">
        <v>20</v>
      </c>
    </row>
    <row r="35" spans="1:16" x14ac:dyDescent="0.3">
      <c r="A35" s="8">
        <v>34</v>
      </c>
      <c r="B35" s="12">
        <v>40545</v>
      </c>
      <c r="C35" s="9">
        <v>1</v>
      </c>
      <c r="D35" s="9">
        <v>0</v>
      </c>
      <c r="E35" s="9">
        <v>1</v>
      </c>
      <c r="F35" s="9">
        <v>10</v>
      </c>
      <c r="G35" s="9" t="b">
        <v>0</v>
      </c>
      <c r="H35" s="9">
        <v>0</v>
      </c>
      <c r="I35" s="9">
        <v>2</v>
      </c>
      <c r="J35" s="9">
        <v>0.36</v>
      </c>
      <c r="K35" s="9">
        <v>0.34849999999999998</v>
      </c>
      <c r="L35" s="9">
        <v>0.81</v>
      </c>
      <c r="M35" s="9">
        <v>0.22389999999999999</v>
      </c>
      <c r="N35" s="9">
        <v>7</v>
      </c>
      <c r="O35" s="9">
        <v>46</v>
      </c>
      <c r="P35" s="10">
        <v>53</v>
      </c>
    </row>
    <row r="36" spans="1:16" x14ac:dyDescent="0.3">
      <c r="A36" s="5">
        <v>35</v>
      </c>
      <c r="B36" s="11">
        <v>40545</v>
      </c>
      <c r="C36" s="6">
        <v>1</v>
      </c>
      <c r="D36" s="6">
        <v>0</v>
      </c>
      <c r="E36" s="6">
        <v>1</v>
      </c>
      <c r="F36" s="6">
        <v>11</v>
      </c>
      <c r="G36" s="6" t="b">
        <v>0</v>
      </c>
      <c r="H36" s="6">
        <v>0</v>
      </c>
      <c r="I36" s="6">
        <v>2</v>
      </c>
      <c r="J36" s="6">
        <v>0.36</v>
      </c>
      <c r="K36" s="6">
        <v>0.33329999999999999</v>
      </c>
      <c r="L36" s="6">
        <v>0.71</v>
      </c>
      <c r="M36" s="6">
        <v>0.25369999999999998</v>
      </c>
      <c r="N36" s="6">
        <v>16</v>
      </c>
      <c r="O36" s="6">
        <v>54</v>
      </c>
      <c r="P36" s="7">
        <v>70</v>
      </c>
    </row>
    <row r="37" spans="1:16" x14ac:dyDescent="0.3">
      <c r="A37" s="8">
        <v>36</v>
      </c>
      <c r="B37" s="12">
        <v>40545</v>
      </c>
      <c r="C37" s="9">
        <v>1</v>
      </c>
      <c r="D37" s="9">
        <v>0</v>
      </c>
      <c r="E37" s="9">
        <v>1</v>
      </c>
      <c r="F37" s="9">
        <v>12</v>
      </c>
      <c r="G37" s="9" t="b">
        <v>0</v>
      </c>
      <c r="H37" s="9">
        <v>0</v>
      </c>
      <c r="I37" s="9">
        <v>2</v>
      </c>
      <c r="J37" s="9">
        <v>0.36</v>
      </c>
      <c r="K37" s="9">
        <v>0.33329999999999999</v>
      </c>
      <c r="L37" s="9">
        <v>0.66</v>
      </c>
      <c r="M37" s="9">
        <v>0.29849999999999999</v>
      </c>
      <c r="N37" s="9">
        <v>20</v>
      </c>
      <c r="O37" s="9">
        <v>73</v>
      </c>
      <c r="P37" s="10">
        <v>93</v>
      </c>
    </row>
    <row r="38" spans="1:16" x14ac:dyDescent="0.3">
      <c r="A38" s="5">
        <v>37</v>
      </c>
      <c r="B38" s="11">
        <v>40545</v>
      </c>
      <c r="C38" s="6">
        <v>1</v>
      </c>
      <c r="D38" s="6">
        <v>0</v>
      </c>
      <c r="E38" s="6">
        <v>1</v>
      </c>
      <c r="F38" s="6">
        <v>13</v>
      </c>
      <c r="G38" s="6" t="b">
        <v>0</v>
      </c>
      <c r="H38" s="6">
        <v>0</v>
      </c>
      <c r="I38" s="6">
        <v>2</v>
      </c>
      <c r="J38" s="6">
        <v>0.36</v>
      </c>
      <c r="K38" s="6">
        <v>0.34849999999999998</v>
      </c>
      <c r="L38" s="6">
        <v>0.66</v>
      </c>
      <c r="M38" s="6">
        <v>0.1343</v>
      </c>
      <c r="N38" s="6">
        <v>11</v>
      </c>
      <c r="O38" s="6">
        <v>64</v>
      </c>
      <c r="P38" s="7">
        <v>75</v>
      </c>
    </row>
    <row r="39" spans="1:16" x14ac:dyDescent="0.3">
      <c r="A39" s="8">
        <v>38</v>
      </c>
      <c r="B39" s="12">
        <v>40545</v>
      </c>
      <c r="C39" s="9">
        <v>1</v>
      </c>
      <c r="D39" s="9">
        <v>0</v>
      </c>
      <c r="E39" s="9">
        <v>1</v>
      </c>
      <c r="F39" s="9">
        <v>14</v>
      </c>
      <c r="G39" s="9" t="b">
        <v>0</v>
      </c>
      <c r="H39" s="9">
        <v>0</v>
      </c>
      <c r="I39" s="9">
        <v>3</v>
      </c>
      <c r="J39" s="9">
        <v>0.36</v>
      </c>
      <c r="K39" s="9">
        <v>0.19993</v>
      </c>
      <c r="L39" s="9">
        <v>0.76</v>
      </c>
      <c r="M39" s="9">
        <v>0.19400000000000001</v>
      </c>
      <c r="N39" s="9">
        <v>4</v>
      </c>
      <c r="O39" s="9">
        <v>55</v>
      </c>
      <c r="P39" s="10">
        <v>59</v>
      </c>
    </row>
    <row r="40" spans="1:16" x14ac:dyDescent="0.3">
      <c r="A40" s="5">
        <v>39</v>
      </c>
      <c r="B40" s="11">
        <v>40545</v>
      </c>
      <c r="C40" s="6">
        <v>1</v>
      </c>
      <c r="D40" s="6">
        <v>0</v>
      </c>
      <c r="E40" s="6">
        <v>1</v>
      </c>
      <c r="F40" s="6">
        <v>15</v>
      </c>
      <c r="G40" s="6" t="b">
        <v>0</v>
      </c>
      <c r="H40" s="6">
        <v>0</v>
      </c>
      <c r="I40" s="6">
        <v>3</v>
      </c>
      <c r="J40" s="6">
        <v>0.34</v>
      </c>
      <c r="K40" s="6">
        <v>0.33329999999999999</v>
      </c>
      <c r="L40" s="6">
        <v>0.81</v>
      </c>
      <c r="M40" s="6">
        <v>0.16420000000000001</v>
      </c>
      <c r="N40" s="6">
        <v>19</v>
      </c>
      <c r="O40" s="6">
        <v>55</v>
      </c>
      <c r="P40" s="7">
        <v>74</v>
      </c>
    </row>
    <row r="41" spans="1:16" x14ac:dyDescent="0.3">
      <c r="A41" s="8">
        <v>40</v>
      </c>
      <c r="B41" s="12">
        <v>40545</v>
      </c>
      <c r="C41" s="9">
        <v>1</v>
      </c>
      <c r="D41" s="9">
        <v>0</v>
      </c>
      <c r="E41" s="9">
        <v>1</v>
      </c>
      <c r="F41" s="9">
        <v>16</v>
      </c>
      <c r="G41" s="9" t="b">
        <v>0</v>
      </c>
      <c r="H41" s="9">
        <v>0</v>
      </c>
      <c r="I41" s="9">
        <v>3</v>
      </c>
      <c r="J41" s="9">
        <v>0.34</v>
      </c>
      <c r="K41" s="9">
        <v>0.33329999999999999</v>
      </c>
      <c r="L41" s="9">
        <v>0.71</v>
      </c>
      <c r="M41" s="9">
        <v>0.16420000000000001</v>
      </c>
      <c r="N41" s="9">
        <v>9</v>
      </c>
      <c r="O41" s="9">
        <v>67</v>
      </c>
      <c r="P41" s="10">
        <v>76</v>
      </c>
    </row>
    <row r="42" spans="1:16" x14ac:dyDescent="0.3">
      <c r="A42" s="5">
        <v>41</v>
      </c>
      <c r="B42" s="11">
        <v>40545</v>
      </c>
      <c r="C42" s="6">
        <v>1</v>
      </c>
      <c r="D42" s="6">
        <v>0</v>
      </c>
      <c r="E42" s="6">
        <v>1</v>
      </c>
      <c r="F42" s="6">
        <v>17</v>
      </c>
      <c r="G42" s="6" t="b">
        <v>0</v>
      </c>
      <c r="H42" s="6">
        <v>0</v>
      </c>
      <c r="I42" s="6">
        <v>1</v>
      </c>
      <c r="J42" s="6">
        <v>0.34</v>
      </c>
      <c r="K42" s="6">
        <v>0.33329999999999999</v>
      </c>
      <c r="L42" s="6">
        <v>0.56999999999999995</v>
      </c>
      <c r="M42" s="6">
        <v>0.19400000000000001</v>
      </c>
      <c r="N42" s="6">
        <v>7</v>
      </c>
      <c r="O42" s="6">
        <v>58</v>
      </c>
      <c r="P42" s="7">
        <v>65</v>
      </c>
    </row>
    <row r="43" spans="1:16" x14ac:dyDescent="0.3">
      <c r="A43" s="8">
        <v>42</v>
      </c>
      <c r="B43" s="12">
        <v>40545</v>
      </c>
      <c r="C43" s="9">
        <v>1</v>
      </c>
      <c r="D43" s="9">
        <v>0</v>
      </c>
      <c r="E43" s="9">
        <v>1</v>
      </c>
      <c r="F43" s="9">
        <v>18</v>
      </c>
      <c r="G43" s="9" t="b">
        <v>0</v>
      </c>
      <c r="H43" s="9">
        <v>0</v>
      </c>
      <c r="I43" s="9">
        <v>2</v>
      </c>
      <c r="J43" s="9">
        <v>0.36</v>
      </c>
      <c r="K43" s="9">
        <v>0.33329999999999999</v>
      </c>
      <c r="L43" s="9">
        <v>0.46</v>
      </c>
      <c r="M43" s="9">
        <v>0.32840000000000003</v>
      </c>
      <c r="N43" s="9">
        <v>10</v>
      </c>
      <c r="O43" s="9">
        <v>43</v>
      </c>
      <c r="P43" s="10">
        <v>53</v>
      </c>
    </row>
    <row r="44" spans="1:16" x14ac:dyDescent="0.3">
      <c r="A44" s="5">
        <v>43</v>
      </c>
      <c r="B44" s="11">
        <v>40545</v>
      </c>
      <c r="C44" s="6">
        <v>1</v>
      </c>
      <c r="D44" s="6">
        <v>0</v>
      </c>
      <c r="E44" s="6">
        <v>1</v>
      </c>
      <c r="F44" s="6">
        <v>19</v>
      </c>
      <c r="G44" s="6" t="b">
        <v>0</v>
      </c>
      <c r="H44" s="6">
        <v>0</v>
      </c>
      <c r="I44" s="6">
        <v>1</v>
      </c>
      <c r="J44" s="6">
        <v>0.32</v>
      </c>
      <c r="K44" s="6">
        <v>0.28789999999999999</v>
      </c>
      <c r="L44" s="6">
        <v>0.42</v>
      </c>
      <c r="M44" s="6">
        <v>0.44779999999999998</v>
      </c>
      <c r="N44" s="6">
        <v>1</v>
      </c>
      <c r="O44" s="6">
        <v>29</v>
      </c>
      <c r="P44" s="7">
        <v>30</v>
      </c>
    </row>
    <row r="45" spans="1:16" x14ac:dyDescent="0.3">
      <c r="A45" s="8">
        <v>44</v>
      </c>
      <c r="B45" s="12">
        <v>40545</v>
      </c>
      <c r="C45" s="9">
        <v>1</v>
      </c>
      <c r="D45" s="9">
        <v>0</v>
      </c>
      <c r="E45" s="9">
        <v>1</v>
      </c>
      <c r="F45" s="9">
        <v>20</v>
      </c>
      <c r="G45" s="9" t="b">
        <v>0</v>
      </c>
      <c r="H45" s="9">
        <v>0</v>
      </c>
      <c r="I45" s="9">
        <v>1</v>
      </c>
      <c r="J45" s="9">
        <v>0.3</v>
      </c>
      <c r="K45" s="9">
        <v>0.19993</v>
      </c>
      <c r="L45" s="9">
        <v>0.39</v>
      </c>
      <c r="M45" s="9">
        <v>0.35820000000000002</v>
      </c>
      <c r="N45" s="9">
        <v>5</v>
      </c>
      <c r="O45" s="9">
        <v>17</v>
      </c>
      <c r="P45" s="10">
        <v>22</v>
      </c>
    </row>
    <row r="46" spans="1:16" x14ac:dyDescent="0.3">
      <c r="A46" s="5">
        <v>45</v>
      </c>
      <c r="B46" s="11">
        <v>40545</v>
      </c>
      <c r="C46" s="6">
        <v>1</v>
      </c>
      <c r="D46" s="6">
        <v>0</v>
      </c>
      <c r="E46" s="6">
        <v>1</v>
      </c>
      <c r="F46" s="6">
        <v>21</v>
      </c>
      <c r="G46" s="6" t="b">
        <v>0</v>
      </c>
      <c r="H46" s="6">
        <v>0</v>
      </c>
      <c r="I46" s="6">
        <v>1</v>
      </c>
      <c r="J46" s="6">
        <v>0.26</v>
      </c>
      <c r="K46" s="6">
        <v>0.2273</v>
      </c>
      <c r="L46" s="6">
        <v>0.44</v>
      </c>
      <c r="M46" s="6">
        <v>0.32840000000000003</v>
      </c>
      <c r="N46" s="6">
        <v>11</v>
      </c>
      <c r="O46" s="6">
        <v>20</v>
      </c>
      <c r="P46" s="7">
        <v>31</v>
      </c>
    </row>
    <row r="47" spans="1:16" x14ac:dyDescent="0.3">
      <c r="A47" s="8">
        <v>46</v>
      </c>
      <c r="B47" s="12">
        <v>40545</v>
      </c>
      <c r="C47" s="9">
        <v>1</v>
      </c>
      <c r="D47" s="9">
        <v>0</v>
      </c>
      <c r="E47" s="9">
        <v>1</v>
      </c>
      <c r="F47" s="9">
        <v>22</v>
      </c>
      <c r="G47" s="9" t="b">
        <v>0</v>
      </c>
      <c r="H47" s="9">
        <v>0</v>
      </c>
      <c r="I47" s="9">
        <v>1</v>
      </c>
      <c r="J47" s="9">
        <v>0.24</v>
      </c>
      <c r="K47" s="9">
        <v>0.21210000000000001</v>
      </c>
      <c r="L47" s="9">
        <v>0.44</v>
      </c>
      <c r="M47" s="9">
        <v>0.29849999999999999</v>
      </c>
      <c r="N47" s="9">
        <v>0</v>
      </c>
      <c r="O47" s="9">
        <v>9</v>
      </c>
      <c r="P47" s="10">
        <v>9</v>
      </c>
    </row>
    <row r="48" spans="1:16" x14ac:dyDescent="0.3">
      <c r="A48" s="5">
        <v>47</v>
      </c>
      <c r="B48" s="11">
        <v>40545</v>
      </c>
      <c r="C48" s="6">
        <v>1</v>
      </c>
      <c r="D48" s="6">
        <v>0</v>
      </c>
      <c r="E48" s="6">
        <v>1</v>
      </c>
      <c r="F48" s="6">
        <v>23</v>
      </c>
      <c r="G48" s="6" t="b">
        <v>0</v>
      </c>
      <c r="H48" s="6">
        <v>0</v>
      </c>
      <c r="I48" s="6">
        <v>1</v>
      </c>
      <c r="J48" s="6">
        <v>0.22</v>
      </c>
      <c r="K48" s="6">
        <v>0.2273</v>
      </c>
      <c r="L48" s="6">
        <v>0.47</v>
      </c>
      <c r="M48" s="6">
        <v>0.16420000000000001</v>
      </c>
      <c r="N48" s="6">
        <v>0</v>
      </c>
      <c r="O48" s="6">
        <v>8</v>
      </c>
      <c r="P48" s="7">
        <v>8</v>
      </c>
    </row>
    <row r="49" spans="1:16" x14ac:dyDescent="0.3">
      <c r="A49" s="8">
        <v>48</v>
      </c>
      <c r="B49" s="12">
        <v>40546</v>
      </c>
      <c r="C49" s="9">
        <v>1</v>
      </c>
      <c r="D49" s="9">
        <v>0</v>
      </c>
      <c r="E49" s="9">
        <v>1</v>
      </c>
      <c r="F49" s="9">
        <v>0</v>
      </c>
      <c r="G49" s="9" t="b">
        <v>0</v>
      </c>
      <c r="H49" s="9">
        <v>1</v>
      </c>
      <c r="I49" s="9">
        <v>1</v>
      </c>
      <c r="J49" s="9">
        <v>0.22</v>
      </c>
      <c r="K49" s="9">
        <v>0.19700000000000001</v>
      </c>
      <c r="L49" s="9">
        <v>0.44</v>
      </c>
      <c r="M49" s="9">
        <v>0.35820000000000002</v>
      </c>
      <c r="N49" s="9">
        <v>0</v>
      </c>
      <c r="O49" s="9">
        <v>5</v>
      </c>
      <c r="P49" s="10">
        <v>5</v>
      </c>
    </row>
    <row r="50" spans="1:16" x14ac:dyDescent="0.3">
      <c r="A50" s="5">
        <v>49</v>
      </c>
      <c r="B50" s="11">
        <v>40546</v>
      </c>
      <c r="C50" s="6">
        <v>1</v>
      </c>
      <c r="D50" s="6">
        <v>0</v>
      </c>
      <c r="E50" s="6">
        <v>1</v>
      </c>
      <c r="F50" s="6">
        <v>1</v>
      </c>
      <c r="G50" s="6" t="b">
        <v>0</v>
      </c>
      <c r="H50" s="6">
        <v>1</v>
      </c>
      <c r="I50" s="6">
        <v>1</v>
      </c>
      <c r="J50" s="6">
        <v>0.2</v>
      </c>
      <c r="K50" s="6">
        <v>0.19993</v>
      </c>
      <c r="L50" s="6">
        <v>0.44</v>
      </c>
      <c r="M50" s="6">
        <v>0.41789999999999999</v>
      </c>
      <c r="N50" s="6">
        <v>0</v>
      </c>
      <c r="O50" s="6">
        <v>2</v>
      </c>
      <c r="P50" s="7">
        <v>2</v>
      </c>
    </row>
    <row r="51" spans="1:16" x14ac:dyDescent="0.3">
      <c r="A51" s="8">
        <v>50</v>
      </c>
      <c r="B51" s="12">
        <v>40546</v>
      </c>
      <c r="C51" s="9">
        <v>1</v>
      </c>
      <c r="D51" s="9">
        <v>0</v>
      </c>
      <c r="E51" s="9">
        <v>1</v>
      </c>
      <c r="F51" s="9">
        <v>4</v>
      </c>
      <c r="G51" s="9" t="b">
        <v>0</v>
      </c>
      <c r="H51" s="9">
        <v>1</v>
      </c>
      <c r="I51" s="9">
        <v>1</v>
      </c>
      <c r="J51" s="9">
        <v>0.16</v>
      </c>
      <c r="K51" s="9">
        <v>0.13639999999999999</v>
      </c>
      <c r="L51" s="9">
        <v>0.47</v>
      </c>
      <c r="M51" s="9">
        <v>0.3881</v>
      </c>
      <c r="N51" s="9">
        <v>0</v>
      </c>
      <c r="O51" s="9">
        <v>1</v>
      </c>
      <c r="P51" s="10">
        <v>1</v>
      </c>
    </row>
    <row r="52" spans="1:16" x14ac:dyDescent="0.3">
      <c r="A52" s="5">
        <v>51</v>
      </c>
      <c r="B52" s="11">
        <v>40546</v>
      </c>
      <c r="C52" s="6">
        <v>1</v>
      </c>
      <c r="D52" s="6">
        <v>0</v>
      </c>
      <c r="E52" s="6">
        <v>1</v>
      </c>
      <c r="F52" s="6">
        <v>5</v>
      </c>
      <c r="G52" s="6" t="b">
        <v>0</v>
      </c>
      <c r="H52" s="6">
        <v>1</v>
      </c>
      <c r="I52" s="6">
        <v>1</v>
      </c>
      <c r="J52" s="6">
        <v>0.16</v>
      </c>
      <c r="K52" s="6">
        <v>0.13639999999999999</v>
      </c>
      <c r="L52" s="6">
        <v>0.47</v>
      </c>
      <c r="M52" s="6">
        <v>0.28360000000000002</v>
      </c>
      <c r="N52" s="6">
        <v>0</v>
      </c>
      <c r="O52" s="6">
        <v>3</v>
      </c>
      <c r="P52" s="7">
        <v>3</v>
      </c>
    </row>
    <row r="53" spans="1:16" x14ac:dyDescent="0.3">
      <c r="A53" s="8">
        <v>52</v>
      </c>
      <c r="B53" s="12">
        <v>40546</v>
      </c>
      <c r="C53" s="9">
        <v>1</v>
      </c>
      <c r="D53" s="9">
        <v>0</v>
      </c>
      <c r="E53" s="9">
        <v>1</v>
      </c>
      <c r="F53" s="9">
        <v>6</v>
      </c>
      <c r="G53" s="9" t="b">
        <v>0</v>
      </c>
      <c r="H53" s="9">
        <v>1</v>
      </c>
      <c r="I53" s="9">
        <v>1</v>
      </c>
      <c r="J53" s="9">
        <v>0.14000000000000001</v>
      </c>
      <c r="K53" s="9">
        <v>0.1061</v>
      </c>
      <c r="L53" s="9">
        <v>0.5</v>
      </c>
      <c r="M53" s="9">
        <v>0.3881</v>
      </c>
      <c r="N53" s="9">
        <v>0</v>
      </c>
      <c r="O53" s="9">
        <v>30</v>
      </c>
      <c r="P53" s="10">
        <v>30</v>
      </c>
    </row>
    <row r="54" spans="1:16" x14ac:dyDescent="0.3">
      <c r="A54" s="5">
        <v>53</v>
      </c>
      <c r="B54" s="11">
        <v>40546</v>
      </c>
      <c r="C54" s="6">
        <v>1</v>
      </c>
      <c r="D54" s="6">
        <v>0</v>
      </c>
      <c r="E54" s="6">
        <v>1</v>
      </c>
      <c r="F54" s="6">
        <v>7</v>
      </c>
      <c r="G54" s="6" t="b">
        <v>0</v>
      </c>
      <c r="H54" s="6">
        <v>1</v>
      </c>
      <c r="I54" s="6">
        <v>1</v>
      </c>
      <c r="J54" s="6">
        <v>0.14000000000000001</v>
      </c>
      <c r="K54" s="6">
        <v>0.13639999999999999</v>
      </c>
      <c r="L54" s="6">
        <v>0.5</v>
      </c>
      <c r="M54" s="6">
        <v>0.19400000000000001</v>
      </c>
      <c r="N54" s="6">
        <v>1</v>
      </c>
      <c r="O54" s="6">
        <v>63</v>
      </c>
      <c r="P54" s="7">
        <v>64</v>
      </c>
    </row>
    <row r="55" spans="1:16" x14ac:dyDescent="0.3">
      <c r="A55" s="8">
        <v>54</v>
      </c>
      <c r="B55" s="12">
        <v>40546</v>
      </c>
      <c r="C55" s="9">
        <v>1</v>
      </c>
      <c r="D55" s="9">
        <v>0</v>
      </c>
      <c r="E55" s="9">
        <v>1</v>
      </c>
      <c r="F55" s="9">
        <v>8</v>
      </c>
      <c r="G55" s="9" t="b">
        <v>0</v>
      </c>
      <c r="H55" s="9">
        <v>1</v>
      </c>
      <c r="I55" s="9">
        <v>1</v>
      </c>
      <c r="J55" s="9">
        <v>0.14000000000000001</v>
      </c>
      <c r="K55" s="9">
        <v>0.1212</v>
      </c>
      <c r="L55" s="9">
        <v>0.5</v>
      </c>
      <c r="M55" s="9">
        <v>0.28360000000000002</v>
      </c>
      <c r="N55" s="9">
        <v>1</v>
      </c>
      <c r="O55" s="9">
        <v>153</v>
      </c>
      <c r="P55" s="10">
        <v>154</v>
      </c>
    </row>
    <row r="56" spans="1:16" x14ac:dyDescent="0.3">
      <c r="A56" s="5">
        <v>55</v>
      </c>
      <c r="B56" s="11">
        <v>40546</v>
      </c>
      <c r="C56" s="6">
        <v>1</v>
      </c>
      <c r="D56" s="6">
        <v>0</v>
      </c>
      <c r="E56" s="6">
        <v>1</v>
      </c>
      <c r="F56" s="6">
        <v>9</v>
      </c>
      <c r="G56" s="6" t="b">
        <v>0</v>
      </c>
      <c r="H56" s="6">
        <v>1</v>
      </c>
      <c r="I56" s="6">
        <v>1</v>
      </c>
      <c r="J56" s="6">
        <v>0.16</v>
      </c>
      <c r="K56" s="6">
        <v>0.13639999999999999</v>
      </c>
      <c r="L56" s="6">
        <v>0.43</v>
      </c>
      <c r="M56" s="6">
        <v>0.3881</v>
      </c>
      <c r="N56" s="6">
        <v>7</v>
      </c>
      <c r="O56" s="6">
        <v>81</v>
      </c>
      <c r="P56" s="7">
        <v>88</v>
      </c>
    </row>
    <row r="57" spans="1:16" x14ac:dyDescent="0.3">
      <c r="A57" s="8">
        <v>56</v>
      </c>
      <c r="B57" s="12">
        <v>40546</v>
      </c>
      <c r="C57" s="9">
        <v>1</v>
      </c>
      <c r="D57" s="9">
        <v>0</v>
      </c>
      <c r="E57" s="9">
        <v>1</v>
      </c>
      <c r="F57" s="9">
        <v>10</v>
      </c>
      <c r="G57" s="9" t="b">
        <v>0</v>
      </c>
      <c r="H57" s="9">
        <v>1</v>
      </c>
      <c r="I57" s="9">
        <v>1</v>
      </c>
      <c r="J57" s="9">
        <v>0.18</v>
      </c>
      <c r="K57" s="9">
        <v>0.16669999999999999</v>
      </c>
      <c r="L57" s="9">
        <v>0.43</v>
      </c>
      <c r="M57" s="9">
        <v>0.25369999999999998</v>
      </c>
      <c r="N57" s="9">
        <v>11</v>
      </c>
      <c r="O57" s="9">
        <v>33</v>
      </c>
      <c r="P57" s="10">
        <v>44</v>
      </c>
    </row>
    <row r="58" spans="1:16" x14ac:dyDescent="0.3">
      <c r="A58" s="5">
        <v>57</v>
      </c>
      <c r="B58" s="11">
        <v>40546</v>
      </c>
      <c r="C58" s="6">
        <v>1</v>
      </c>
      <c r="D58" s="6">
        <v>0</v>
      </c>
      <c r="E58" s="6">
        <v>1</v>
      </c>
      <c r="F58" s="6">
        <v>11</v>
      </c>
      <c r="G58" s="6" t="b">
        <v>0</v>
      </c>
      <c r="H58" s="6">
        <v>1</v>
      </c>
      <c r="I58" s="6">
        <v>1</v>
      </c>
      <c r="J58" s="6">
        <v>0.2</v>
      </c>
      <c r="K58" s="6">
        <v>0.18179999999999999</v>
      </c>
      <c r="L58" s="6">
        <v>0.4</v>
      </c>
      <c r="M58" s="6">
        <v>0.32840000000000003</v>
      </c>
      <c r="N58" s="6">
        <v>10</v>
      </c>
      <c r="O58" s="6">
        <v>41</v>
      </c>
      <c r="P58" s="7">
        <v>51</v>
      </c>
    </row>
    <row r="59" spans="1:16" x14ac:dyDescent="0.3">
      <c r="A59" s="8">
        <v>58</v>
      </c>
      <c r="B59" s="12">
        <v>40546</v>
      </c>
      <c r="C59" s="9">
        <v>1</v>
      </c>
      <c r="D59" s="9">
        <v>0</v>
      </c>
      <c r="E59" s="9">
        <v>1</v>
      </c>
      <c r="F59" s="9">
        <v>12</v>
      </c>
      <c r="G59" s="9" t="b">
        <v>0</v>
      </c>
      <c r="H59" s="9">
        <v>1</v>
      </c>
      <c r="I59" s="9">
        <v>1</v>
      </c>
      <c r="J59" s="9">
        <v>0.22</v>
      </c>
      <c r="K59" s="9">
        <v>0.21210000000000001</v>
      </c>
      <c r="L59" s="9">
        <v>0.35</v>
      </c>
      <c r="M59" s="9">
        <v>0.29849999999999999</v>
      </c>
      <c r="N59" s="9">
        <v>13</v>
      </c>
      <c r="O59" s="9">
        <v>48</v>
      </c>
      <c r="P59" s="10">
        <v>61</v>
      </c>
    </row>
    <row r="60" spans="1:16" x14ac:dyDescent="0.3">
      <c r="A60" s="5">
        <v>59</v>
      </c>
      <c r="B60" s="11">
        <v>40546</v>
      </c>
      <c r="C60" s="6">
        <v>1</v>
      </c>
      <c r="D60" s="6">
        <v>0</v>
      </c>
      <c r="E60" s="6">
        <v>1</v>
      </c>
      <c r="F60" s="6">
        <v>13</v>
      </c>
      <c r="G60" s="6" t="b">
        <v>0</v>
      </c>
      <c r="H60" s="6">
        <v>1</v>
      </c>
      <c r="I60" s="6">
        <v>1</v>
      </c>
      <c r="J60" s="6">
        <v>0.24</v>
      </c>
      <c r="K60" s="6">
        <v>0.19993</v>
      </c>
      <c r="L60" s="6">
        <v>0.35</v>
      </c>
      <c r="M60" s="6">
        <v>0.28360000000000002</v>
      </c>
      <c r="N60" s="6">
        <v>8</v>
      </c>
      <c r="O60" s="6">
        <v>53</v>
      </c>
      <c r="P60" s="7">
        <v>61</v>
      </c>
    </row>
    <row r="61" spans="1:16" x14ac:dyDescent="0.3">
      <c r="A61" s="8">
        <v>60</v>
      </c>
      <c r="B61" s="12">
        <v>40546</v>
      </c>
      <c r="C61" s="9">
        <v>1</v>
      </c>
      <c r="D61" s="9">
        <v>0</v>
      </c>
      <c r="E61" s="9">
        <v>1</v>
      </c>
      <c r="F61" s="9">
        <v>14</v>
      </c>
      <c r="G61" s="9" t="b">
        <v>0</v>
      </c>
      <c r="H61" s="9">
        <v>1</v>
      </c>
      <c r="I61" s="9">
        <v>1</v>
      </c>
      <c r="J61" s="9">
        <v>0.26</v>
      </c>
      <c r="K61" s="9">
        <v>0.2424</v>
      </c>
      <c r="L61" s="9">
        <v>0.3</v>
      </c>
      <c r="M61" s="9">
        <v>0.28360000000000002</v>
      </c>
      <c r="N61" s="9">
        <v>11</v>
      </c>
      <c r="O61" s="9">
        <v>66</v>
      </c>
      <c r="P61" s="10">
        <v>77</v>
      </c>
    </row>
    <row r="62" spans="1:16" x14ac:dyDescent="0.3">
      <c r="A62" s="5">
        <v>61</v>
      </c>
      <c r="B62" s="11">
        <v>40546</v>
      </c>
      <c r="C62" s="6">
        <v>1</v>
      </c>
      <c r="D62" s="6">
        <v>0</v>
      </c>
      <c r="E62" s="6">
        <v>1</v>
      </c>
      <c r="F62" s="6">
        <v>15</v>
      </c>
      <c r="G62" s="6" t="b">
        <v>0</v>
      </c>
      <c r="H62" s="6">
        <v>1</v>
      </c>
      <c r="I62" s="6">
        <v>1</v>
      </c>
      <c r="J62" s="6">
        <v>0.26</v>
      </c>
      <c r="K62" s="6">
        <v>0.2424</v>
      </c>
      <c r="L62" s="6">
        <v>0.3</v>
      </c>
      <c r="M62" s="6">
        <v>0.25369999999999998</v>
      </c>
      <c r="N62" s="6">
        <v>14</v>
      </c>
      <c r="O62" s="6">
        <v>58</v>
      </c>
      <c r="P62" s="7">
        <v>72</v>
      </c>
    </row>
    <row r="63" spans="1:16" x14ac:dyDescent="0.3">
      <c r="A63" s="8">
        <v>62</v>
      </c>
      <c r="B63" s="12">
        <v>40546</v>
      </c>
      <c r="C63" s="9">
        <v>1</v>
      </c>
      <c r="D63" s="9">
        <v>0</v>
      </c>
      <c r="E63" s="9">
        <v>1</v>
      </c>
      <c r="F63" s="9">
        <v>16</v>
      </c>
      <c r="G63" s="9" t="b">
        <v>0</v>
      </c>
      <c r="H63" s="9">
        <v>1</v>
      </c>
      <c r="I63" s="9">
        <v>1</v>
      </c>
      <c r="J63" s="9">
        <v>0.26</v>
      </c>
      <c r="K63" s="9">
        <v>0.2424</v>
      </c>
      <c r="L63" s="9">
        <v>0.3</v>
      </c>
      <c r="M63" s="9">
        <v>0.25369999999999998</v>
      </c>
      <c r="N63" s="9">
        <v>9</v>
      </c>
      <c r="O63" s="9">
        <v>67</v>
      </c>
      <c r="P63" s="10">
        <v>76</v>
      </c>
    </row>
    <row r="64" spans="1:16" x14ac:dyDescent="0.3">
      <c r="A64" s="5">
        <v>63</v>
      </c>
      <c r="B64" s="11">
        <v>40546</v>
      </c>
      <c r="C64" s="6">
        <v>1</v>
      </c>
      <c r="D64" s="6">
        <v>0</v>
      </c>
      <c r="E64" s="6">
        <v>1</v>
      </c>
      <c r="F64" s="6">
        <v>17</v>
      </c>
      <c r="G64" s="6" t="b">
        <v>0</v>
      </c>
      <c r="H64" s="6">
        <v>1</v>
      </c>
      <c r="I64" s="6">
        <v>1</v>
      </c>
      <c r="J64" s="6">
        <v>0.24</v>
      </c>
      <c r="K64" s="6">
        <v>0.2273</v>
      </c>
      <c r="L64" s="6">
        <v>0.3</v>
      </c>
      <c r="M64" s="6">
        <v>0.22389999999999999</v>
      </c>
      <c r="N64" s="6">
        <v>11</v>
      </c>
      <c r="O64" s="6">
        <v>146</v>
      </c>
      <c r="P64" s="7">
        <v>157</v>
      </c>
    </row>
    <row r="65" spans="1:16" x14ac:dyDescent="0.3">
      <c r="A65" s="8">
        <v>64</v>
      </c>
      <c r="B65" s="12">
        <v>40546</v>
      </c>
      <c r="C65" s="9">
        <v>1</v>
      </c>
      <c r="D65" s="9">
        <v>0</v>
      </c>
      <c r="E65" s="9">
        <v>1</v>
      </c>
      <c r="F65" s="9">
        <v>18</v>
      </c>
      <c r="G65" s="9" t="b">
        <v>0</v>
      </c>
      <c r="H65" s="9">
        <v>1</v>
      </c>
      <c r="I65" s="9">
        <v>1</v>
      </c>
      <c r="J65" s="9">
        <v>0.24</v>
      </c>
      <c r="K65" s="9">
        <v>0.2576</v>
      </c>
      <c r="L65" s="9">
        <v>0.32</v>
      </c>
      <c r="M65" s="9">
        <v>0.1045</v>
      </c>
      <c r="N65" s="9">
        <v>9</v>
      </c>
      <c r="O65" s="9">
        <v>148</v>
      </c>
      <c r="P65" s="10">
        <v>157</v>
      </c>
    </row>
    <row r="66" spans="1:16" x14ac:dyDescent="0.3">
      <c r="A66" s="5">
        <v>65</v>
      </c>
      <c r="B66" s="11">
        <v>40546</v>
      </c>
      <c r="C66" s="6">
        <v>1</v>
      </c>
      <c r="D66" s="6">
        <v>0</v>
      </c>
      <c r="E66" s="6">
        <v>1</v>
      </c>
      <c r="F66" s="6">
        <v>19</v>
      </c>
      <c r="G66" s="6" t="b">
        <v>0</v>
      </c>
      <c r="H66" s="6">
        <v>1</v>
      </c>
      <c r="I66" s="6">
        <v>1</v>
      </c>
      <c r="J66" s="6">
        <v>0.2</v>
      </c>
      <c r="K66" s="6">
        <v>0.2576</v>
      </c>
      <c r="L66" s="6">
        <v>0.47</v>
      </c>
      <c r="M66" s="6">
        <v>0</v>
      </c>
      <c r="N66" s="6">
        <v>8</v>
      </c>
      <c r="O66" s="6">
        <v>102</v>
      </c>
      <c r="P66" s="7">
        <v>110</v>
      </c>
    </row>
    <row r="67" spans="1:16" x14ac:dyDescent="0.3">
      <c r="A67" s="8">
        <v>66</v>
      </c>
      <c r="B67" s="12">
        <v>40546</v>
      </c>
      <c r="C67" s="9">
        <v>1</v>
      </c>
      <c r="D67" s="9">
        <v>0</v>
      </c>
      <c r="E67" s="9">
        <v>1</v>
      </c>
      <c r="F67" s="9">
        <v>20</v>
      </c>
      <c r="G67" s="9" t="b">
        <v>0</v>
      </c>
      <c r="H67" s="9">
        <v>1</v>
      </c>
      <c r="I67" s="9">
        <v>1</v>
      </c>
      <c r="J67" s="9">
        <v>0.2</v>
      </c>
      <c r="K67" s="9">
        <v>0.19993</v>
      </c>
      <c r="L67" s="9">
        <v>0.47</v>
      </c>
      <c r="M67" s="9">
        <v>0.1045</v>
      </c>
      <c r="N67" s="9">
        <v>3</v>
      </c>
      <c r="O67" s="9">
        <v>49</v>
      </c>
      <c r="P67" s="10">
        <v>52</v>
      </c>
    </row>
    <row r="68" spans="1:16" x14ac:dyDescent="0.3">
      <c r="A68" s="5">
        <v>67</v>
      </c>
      <c r="B68" s="11">
        <v>40546</v>
      </c>
      <c r="C68" s="6">
        <v>1</v>
      </c>
      <c r="D68" s="6">
        <v>0</v>
      </c>
      <c r="E68" s="6">
        <v>1</v>
      </c>
      <c r="F68" s="6">
        <v>21</v>
      </c>
      <c r="G68" s="6" t="b">
        <v>0</v>
      </c>
      <c r="H68" s="6">
        <v>1</v>
      </c>
      <c r="I68" s="6">
        <v>1</v>
      </c>
      <c r="J68" s="6">
        <v>0.18</v>
      </c>
      <c r="K68" s="6">
        <v>0.19700000000000001</v>
      </c>
      <c r="L68" s="6">
        <v>0.64</v>
      </c>
      <c r="M68" s="6">
        <v>0.1343</v>
      </c>
      <c r="N68" s="6">
        <v>3</v>
      </c>
      <c r="O68" s="6">
        <v>49</v>
      </c>
      <c r="P68" s="7">
        <v>52</v>
      </c>
    </row>
    <row r="69" spans="1:16" x14ac:dyDescent="0.3">
      <c r="A69" s="8">
        <v>68</v>
      </c>
      <c r="B69" s="12">
        <v>40546</v>
      </c>
      <c r="C69" s="9">
        <v>1</v>
      </c>
      <c r="D69" s="9">
        <v>0</v>
      </c>
      <c r="E69" s="9">
        <v>1</v>
      </c>
      <c r="F69" s="9">
        <v>22</v>
      </c>
      <c r="G69" s="9" t="b">
        <v>0</v>
      </c>
      <c r="H69" s="9">
        <v>1</v>
      </c>
      <c r="I69" s="9">
        <v>1</v>
      </c>
      <c r="J69" s="9">
        <v>0.14000000000000001</v>
      </c>
      <c r="K69" s="9">
        <v>0.1515</v>
      </c>
      <c r="L69" s="9">
        <v>0.69</v>
      </c>
      <c r="M69" s="9">
        <v>0.1343</v>
      </c>
      <c r="N69" s="9">
        <v>0</v>
      </c>
      <c r="O69" s="9">
        <v>20</v>
      </c>
      <c r="P69" s="10">
        <v>20</v>
      </c>
    </row>
    <row r="70" spans="1:16" x14ac:dyDescent="0.3">
      <c r="A70" s="5">
        <v>69</v>
      </c>
      <c r="B70" s="11">
        <v>40546</v>
      </c>
      <c r="C70" s="6">
        <v>1</v>
      </c>
      <c r="D70" s="6">
        <v>0</v>
      </c>
      <c r="E70" s="6">
        <v>1</v>
      </c>
      <c r="F70" s="6">
        <v>23</v>
      </c>
      <c r="G70" s="6" t="b">
        <v>0</v>
      </c>
      <c r="H70" s="6">
        <v>1</v>
      </c>
      <c r="I70" s="6">
        <v>1</v>
      </c>
      <c r="J70" s="6">
        <v>0.18</v>
      </c>
      <c r="K70" s="6">
        <v>0.21210000000000001</v>
      </c>
      <c r="L70" s="6">
        <v>0.55000000000000004</v>
      </c>
      <c r="M70" s="6">
        <v>0.1045</v>
      </c>
      <c r="N70" s="6">
        <v>1</v>
      </c>
      <c r="O70" s="6">
        <v>11</v>
      </c>
      <c r="P70" s="7">
        <v>12</v>
      </c>
    </row>
    <row r="71" spans="1:16" x14ac:dyDescent="0.3">
      <c r="A71" s="8">
        <v>70</v>
      </c>
      <c r="B71" s="12">
        <v>40547</v>
      </c>
      <c r="C71" s="9">
        <v>1</v>
      </c>
      <c r="D71" s="9">
        <v>0</v>
      </c>
      <c r="E71" s="9">
        <v>1</v>
      </c>
      <c r="F71" s="9">
        <v>0</v>
      </c>
      <c r="G71" s="9" t="b">
        <v>0</v>
      </c>
      <c r="H71" s="9">
        <v>2</v>
      </c>
      <c r="I71" s="9">
        <v>1</v>
      </c>
      <c r="J71" s="9">
        <v>0.16</v>
      </c>
      <c r="K71" s="9">
        <v>0.19993</v>
      </c>
      <c r="L71" s="9">
        <v>0.55000000000000004</v>
      </c>
      <c r="M71" s="9">
        <v>0.1045</v>
      </c>
      <c r="N71" s="9">
        <v>0</v>
      </c>
      <c r="O71" s="9">
        <v>5</v>
      </c>
      <c r="P71" s="10">
        <v>5</v>
      </c>
    </row>
    <row r="72" spans="1:16" x14ac:dyDescent="0.3">
      <c r="A72" s="5">
        <v>71</v>
      </c>
      <c r="B72" s="11">
        <v>40547</v>
      </c>
      <c r="C72" s="6">
        <v>1</v>
      </c>
      <c r="D72" s="6">
        <v>0</v>
      </c>
      <c r="E72" s="6">
        <v>1</v>
      </c>
      <c r="F72" s="6">
        <v>1</v>
      </c>
      <c r="G72" s="6" t="b">
        <v>0</v>
      </c>
      <c r="H72" s="6">
        <v>2</v>
      </c>
      <c r="I72" s="6">
        <v>1</v>
      </c>
      <c r="J72" s="6">
        <v>0.16</v>
      </c>
      <c r="K72" s="6">
        <v>0.18179999999999999</v>
      </c>
      <c r="L72" s="6">
        <v>0.59</v>
      </c>
      <c r="M72" s="6">
        <v>0.1045</v>
      </c>
      <c r="N72" s="6">
        <v>0</v>
      </c>
      <c r="O72" s="6">
        <v>2</v>
      </c>
      <c r="P72" s="7">
        <v>2</v>
      </c>
    </row>
    <row r="73" spans="1:16" x14ac:dyDescent="0.3">
      <c r="A73" s="8">
        <v>72</v>
      </c>
      <c r="B73" s="12">
        <v>40547</v>
      </c>
      <c r="C73" s="9">
        <v>1</v>
      </c>
      <c r="D73" s="9">
        <v>0</v>
      </c>
      <c r="E73" s="9">
        <v>1</v>
      </c>
      <c r="F73" s="9">
        <v>2</v>
      </c>
      <c r="G73" s="9" t="b">
        <v>0</v>
      </c>
      <c r="H73" s="9">
        <v>2</v>
      </c>
      <c r="I73" s="9">
        <v>1</v>
      </c>
      <c r="J73" s="9">
        <v>0.14000000000000001</v>
      </c>
      <c r="K73" s="9">
        <v>0.1515</v>
      </c>
      <c r="L73" s="9">
        <v>0.63</v>
      </c>
      <c r="M73" s="9">
        <v>0.1343</v>
      </c>
      <c r="N73" s="9">
        <v>0</v>
      </c>
      <c r="O73" s="9">
        <v>1</v>
      </c>
      <c r="P73" s="10">
        <v>1</v>
      </c>
    </row>
    <row r="74" spans="1:16" x14ac:dyDescent="0.3">
      <c r="A74" s="5">
        <v>73</v>
      </c>
      <c r="B74" s="11">
        <v>40547</v>
      </c>
      <c r="C74" s="6">
        <v>1</v>
      </c>
      <c r="D74" s="6">
        <v>0</v>
      </c>
      <c r="E74" s="6">
        <v>1</v>
      </c>
      <c r="F74" s="6">
        <v>4</v>
      </c>
      <c r="G74" s="6" t="b">
        <v>0</v>
      </c>
      <c r="H74" s="6">
        <v>2</v>
      </c>
      <c r="I74" s="6">
        <v>1</v>
      </c>
      <c r="J74" s="6">
        <v>0.14000000000000001</v>
      </c>
      <c r="K74" s="6">
        <v>0.18179999999999999</v>
      </c>
      <c r="L74" s="6">
        <v>0.63</v>
      </c>
      <c r="M74" s="6">
        <v>8.9599999999999999E-2</v>
      </c>
      <c r="N74" s="6">
        <v>0</v>
      </c>
      <c r="O74" s="6">
        <v>2</v>
      </c>
      <c r="P74" s="7">
        <v>2</v>
      </c>
    </row>
    <row r="75" spans="1:16" x14ac:dyDescent="0.3">
      <c r="A75" s="8">
        <v>74</v>
      </c>
      <c r="B75" s="12">
        <v>40547</v>
      </c>
      <c r="C75" s="9">
        <v>1</v>
      </c>
      <c r="D75" s="9">
        <v>0</v>
      </c>
      <c r="E75" s="9">
        <v>1</v>
      </c>
      <c r="F75" s="9">
        <v>5</v>
      </c>
      <c r="G75" s="9" t="b">
        <v>0</v>
      </c>
      <c r="H75" s="9">
        <v>2</v>
      </c>
      <c r="I75" s="9">
        <v>1</v>
      </c>
      <c r="J75" s="9">
        <v>0.12</v>
      </c>
      <c r="K75" s="9">
        <v>0.1515</v>
      </c>
      <c r="L75" s="9">
        <v>0.68</v>
      </c>
      <c r="M75" s="9">
        <v>0.1045</v>
      </c>
      <c r="N75" s="9">
        <v>0</v>
      </c>
      <c r="O75" s="9">
        <v>4</v>
      </c>
      <c r="P75" s="10">
        <v>4</v>
      </c>
    </row>
    <row r="76" spans="1:16" x14ac:dyDescent="0.3">
      <c r="A76" s="5">
        <v>75</v>
      </c>
      <c r="B76" s="11">
        <v>40547</v>
      </c>
      <c r="C76" s="6">
        <v>1</v>
      </c>
      <c r="D76" s="6">
        <v>0</v>
      </c>
      <c r="E76" s="6">
        <v>1</v>
      </c>
      <c r="F76" s="6">
        <v>6</v>
      </c>
      <c r="G76" s="6" t="b">
        <v>0</v>
      </c>
      <c r="H76" s="6">
        <v>2</v>
      </c>
      <c r="I76" s="6">
        <v>1</v>
      </c>
      <c r="J76" s="6">
        <v>0.12</v>
      </c>
      <c r="K76" s="6">
        <v>0.1515</v>
      </c>
      <c r="L76" s="6">
        <v>0.74</v>
      </c>
      <c r="M76" s="6">
        <v>0.1045</v>
      </c>
      <c r="N76" s="6">
        <v>0</v>
      </c>
      <c r="O76" s="6">
        <v>36</v>
      </c>
      <c r="P76" s="7">
        <v>36</v>
      </c>
    </row>
    <row r="77" spans="1:16" x14ac:dyDescent="0.3">
      <c r="A77" s="8">
        <v>76</v>
      </c>
      <c r="B77" s="12">
        <v>40547</v>
      </c>
      <c r="C77" s="9">
        <v>1</v>
      </c>
      <c r="D77" s="9">
        <v>0</v>
      </c>
      <c r="E77" s="9">
        <v>1</v>
      </c>
      <c r="F77" s="9">
        <v>7</v>
      </c>
      <c r="G77" s="9" t="b">
        <v>0</v>
      </c>
      <c r="H77" s="9">
        <v>2</v>
      </c>
      <c r="I77" s="9">
        <v>1</v>
      </c>
      <c r="J77" s="9">
        <v>0.12</v>
      </c>
      <c r="K77" s="9">
        <v>0.1515</v>
      </c>
      <c r="L77" s="9">
        <v>0.74</v>
      </c>
      <c r="M77" s="9">
        <v>0.1343</v>
      </c>
      <c r="N77" s="9">
        <v>2</v>
      </c>
      <c r="O77" s="9">
        <v>92</v>
      </c>
      <c r="P77" s="10">
        <v>94</v>
      </c>
    </row>
    <row r="78" spans="1:16" x14ac:dyDescent="0.3">
      <c r="A78" s="5">
        <v>77</v>
      </c>
      <c r="B78" s="11">
        <v>40547</v>
      </c>
      <c r="C78" s="6">
        <v>1</v>
      </c>
      <c r="D78" s="6">
        <v>0</v>
      </c>
      <c r="E78" s="6">
        <v>1</v>
      </c>
      <c r="F78" s="6">
        <v>8</v>
      </c>
      <c r="G78" s="6" t="b">
        <v>0</v>
      </c>
      <c r="H78" s="6">
        <v>2</v>
      </c>
      <c r="I78" s="6">
        <v>1</v>
      </c>
      <c r="J78" s="6">
        <v>0.14000000000000001</v>
      </c>
      <c r="K78" s="6">
        <v>0.1515</v>
      </c>
      <c r="L78" s="6">
        <v>0.69</v>
      </c>
      <c r="M78" s="6">
        <v>0.16420000000000001</v>
      </c>
      <c r="N78" s="6">
        <v>2</v>
      </c>
      <c r="O78" s="6">
        <v>177</v>
      </c>
      <c r="P78" s="7">
        <v>179</v>
      </c>
    </row>
    <row r="79" spans="1:16" x14ac:dyDescent="0.3">
      <c r="A79" s="8">
        <v>78</v>
      </c>
      <c r="B79" s="12">
        <v>40547</v>
      </c>
      <c r="C79" s="9">
        <v>1</v>
      </c>
      <c r="D79" s="9">
        <v>0</v>
      </c>
      <c r="E79" s="9">
        <v>1</v>
      </c>
      <c r="F79" s="9">
        <v>9</v>
      </c>
      <c r="G79" s="9" t="b">
        <v>0</v>
      </c>
      <c r="H79" s="9">
        <v>2</v>
      </c>
      <c r="I79" s="9">
        <v>1</v>
      </c>
      <c r="J79" s="9">
        <v>0.16</v>
      </c>
      <c r="K79" s="9">
        <v>0.1515</v>
      </c>
      <c r="L79" s="9">
        <v>0.64</v>
      </c>
      <c r="M79" s="9">
        <v>0.22389999999999999</v>
      </c>
      <c r="N79" s="9">
        <v>2</v>
      </c>
      <c r="O79" s="9">
        <v>98</v>
      </c>
      <c r="P79" s="10">
        <v>100</v>
      </c>
    </row>
    <row r="80" spans="1:16" x14ac:dyDescent="0.3">
      <c r="A80" s="5">
        <v>79</v>
      </c>
      <c r="B80" s="11">
        <v>40547</v>
      </c>
      <c r="C80" s="6">
        <v>1</v>
      </c>
      <c r="D80" s="6">
        <v>0</v>
      </c>
      <c r="E80" s="6">
        <v>1</v>
      </c>
      <c r="F80" s="6">
        <v>10</v>
      </c>
      <c r="G80" s="6" t="b">
        <v>0</v>
      </c>
      <c r="H80" s="6">
        <v>2</v>
      </c>
      <c r="I80" s="6">
        <v>2</v>
      </c>
      <c r="J80" s="6">
        <v>0.16</v>
      </c>
      <c r="K80" s="6">
        <v>0.13639999999999999</v>
      </c>
      <c r="L80" s="6">
        <v>0.69</v>
      </c>
      <c r="M80" s="6">
        <v>0.32840000000000003</v>
      </c>
      <c r="N80" s="6">
        <v>5</v>
      </c>
      <c r="O80" s="6">
        <v>37</v>
      </c>
      <c r="P80" s="7">
        <v>42</v>
      </c>
    </row>
    <row r="81" spans="1:16" x14ac:dyDescent="0.3">
      <c r="A81" s="8">
        <v>80</v>
      </c>
      <c r="B81" s="12">
        <v>40547</v>
      </c>
      <c r="C81" s="9">
        <v>1</v>
      </c>
      <c r="D81" s="9">
        <v>0</v>
      </c>
      <c r="E81" s="9">
        <v>1</v>
      </c>
      <c r="F81" s="9">
        <v>11</v>
      </c>
      <c r="G81" s="9" t="b">
        <v>0</v>
      </c>
      <c r="H81" s="9">
        <v>2</v>
      </c>
      <c r="I81" s="9">
        <v>1</v>
      </c>
      <c r="J81" s="9">
        <v>0.22</v>
      </c>
      <c r="K81" s="9">
        <v>0.21210000000000001</v>
      </c>
      <c r="L81" s="9">
        <v>0.51</v>
      </c>
      <c r="M81" s="9">
        <v>0.29849999999999999</v>
      </c>
      <c r="N81" s="9">
        <v>7</v>
      </c>
      <c r="O81" s="9">
        <v>50</v>
      </c>
      <c r="P81" s="10">
        <v>57</v>
      </c>
    </row>
    <row r="82" spans="1:16" x14ac:dyDescent="0.3">
      <c r="A82" s="5">
        <v>81</v>
      </c>
      <c r="B82" s="11">
        <v>40547</v>
      </c>
      <c r="C82" s="6">
        <v>1</v>
      </c>
      <c r="D82" s="6">
        <v>0</v>
      </c>
      <c r="E82" s="6">
        <v>1</v>
      </c>
      <c r="F82" s="6">
        <v>12</v>
      </c>
      <c r="G82" s="6" t="b">
        <v>0</v>
      </c>
      <c r="H82" s="6">
        <v>2</v>
      </c>
      <c r="I82" s="6">
        <v>1</v>
      </c>
      <c r="J82" s="6">
        <v>0.22</v>
      </c>
      <c r="K82" s="6">
        <v>0.2273</v>
      </c>
      <c r="L82" s="6">
        <v>0.51</v>
      </c>
      <c r="M82" s="6">
        <v>0.16420000000000001</v>
      </c>
      <c r="N82" s="6">
        <v>12</v>
      </c>
      <c r="O82" s="6">
        <v>66</v>
      </c>
      <c r="P82" s="7">
        <v>78</v>
      </c>
    </row>
    <row r="83" spans="1:16" x14ac:dyDescent="0.3">
      <c r="A83" s="8">
        <v>82</v>
      </c>
      <c r="B83" s="12">
        <v>40547</v>
      </c>
      <c r="C83" s="9">
        <v>1</v>
      </c>
      <c r="D83" s="9">
        <v>0</v>
      </c>
      <c r="E83" s="9">
        <v>1</v>
      </c>
      <c r="F83" s="9">
        <v>13</v>
      </c>
      <c r="G83" s="9" t="b">
        <v>0</v>
      </c>
      <c r="H83" s="9">
        <v>2</v>
      </c>
      <c r="I83" s="9">
        <v>1</v>
      </c>
      <c r="J83" s="9">
        <v>0.24</v>
      </c>
      <c r="K83" s="9">
        <v>0.2273</v>
      </c>
      <c r="L83" s="9">
        <v>0.56000000000000005</v>
      </c>
      <c r="M83" s="9">
        <v>0.19400000000000001</v>
      </c>
      <c r="N83" s="9">
        <v>18</v>
      </c>
      <c r="O83" s="9">
        <v>79</v>
      </c>
      <c r="P83" s="10">
        <v>97</v>
      </c>
    </row>
    <row r="84" spans="1:16" x14ac:dyDescent="0.3">
      <c r="A84" s="5">
        <v>83</v>
      </c>
      <c r="B84" s="11">
        <v>40547</v>
      </c>
      <c r="C84" s="6">
        <v>1</v>
      </c>
      <c r="D84" s="6">
        <v>0</v>
      </c>
      <c r="E84" s="6">
        <v>1</v>
      </c>
      <c r="F84" s="6">
        <v>14</v>
      </c>
      <c r="G84" s="6" t="b">
        <v>0</v>
      </c>
      <c r="H84" s="6">
        <v>2</v>
      </c>
      <c r="I84" s="6">
        <v>1</v>
      </c>
      <c r="J84" s="6">
        <v>0.26</v>
      </c>
      <c r="K84" s="6">
        <v>0.2576</v>
      </c>
      <c r="L84" s="6">
        <v>0.52</v>
      </c>
      <c r="M84" s="6">
        <v>0.22389999999999999</v>
      </c>
      <c r="N84" s="6">
        <v>9</v>
      </c>
      <c r="O84" s="6">
        <v>54</v>
      </c>
      <c r="P84" s="7">
        <v>63</v>
      </c>
    </row>
    <row r="85" spans="1:16" x14ac:dyDescent="0.3">
      <c r="A85" s="8">
        <v>84</v>
      </c>
      <c r="B85" s="12">
        <v>40547</v>
      </c>
      <c r="C85" s="9">
        <v>1</v>
      </c>
      <c r="D85" s="9">
        <v>0</v>
      </c>
      <c r="E85" s="9">
        <v>1</v>
      </c>
      <c r="F85" s="9">
        <v>15</v>
      </c>
      <c r="G85" s="9" t="b">
        <v>0</v>
      </c>
      <c r="H85" s="9">
        <v>2</v>
      </c>
      <c r="I85" s="9">
        <v>1</v>
      </c>
      <c r="J85" s="9">
        <v>0.28000000000000003</v>
      </c>
      <c r="K85" s="9">
        <v>0.2727</v>
      </c>
      <c r="L85" s="9">
        <v>0.52</v>
      </c>
      <c r="M85" s="9">
        <v>0.25369999999999998</v>
      </c>
      <c r="N85" s="9">
        <v>17</v>
      </c>
      <c r="O85" s="9">
        <v>48</v>
      </c>
      <c r="P85" s="10">
        <v>65</v>
      </c>
    </row>
    <row r="86" spans="1:16" x14ac:dyDescent="0.3">
      <c r="A86" s="5">
        <v>85</v>
      </c>
      <c r="B86" s="11">
        <v>40547</v>
      </c>
      <c r="C86" s="6">
        <v>1</v>
      </c>
      <c r="D86" s="6">
        <v>0</v>
      </c>
      <c r="E86" s="6">
        <v>1</v>
      </c>
      <c r="F86" s="6">
        <v>16</v>
      </c>
      <c r="G86" s="6" t="b">
        <v>0</v>
      </c>
      <c r="H86" s="6">
        <v>2</v>
      </c>
      <c r="I86" s="6">
        <v>1</v>
      </c>
      <c r="J86" s="6">
        <v>0.3</v>
      </c>
      <c r="K86" s="6">
        <v>0.28789999999999999</v>
      </c>
      <c r="L86" s="6">
        <v>0.49</v>
      </c>
      <c r="M86" s="6">
        <v>0.25369999999999998</v>
      </c>
      <c r="N86" s="6">
        <v>15</v>
      </c>
      <c r="O86" s="6">
        <v>68</v>
      </c>
      <c r="P86" s="7">
        <v>83</v>
      </c>
    </row>
    <row r="87" spans="1:16" x14ac:dyDescent="0.3">
      <c r="A87" s="8">
        <v>86</v>
      </c>
      <c r="B87" s="12">
        <v>40547</v>
      </c>
      <c r="C87" s="9">
        <v>1</v>
      </c>
      <c r="D87" s="9">
        <v>0</v>
      </c>
      <c r="E87" s="9">
        <v>1</v>
      </c>
      <c r="F87" s="9">
        <v>17</v>
      </c>
      <c r="G87" s="9" t="b">
        <v>0</v>
      </c>
      <c r="H87" s="9">
        <v>2</v>
      </c>
      <c r="I87" s="9">
        <v>1</v>
      </c>
      <c r="J87" s="9">
        <v>0.28000000000000003</v>
      </c>
      <c r="K87" s="9">
        <v>0.2727</v>
      </c>
      <c r="L87" s="9">
        <v>0.48</v>
      </c>
      <c r="M87" s="9">
        <v>0.22389999999999999</v>
      </c>
      <c r="N87" s="9">
        <v>10</v>
      </c>
      <c r="O87" s="9">
        <v>202</v>
      </c>
      <c r="P87" s="10">
        <v>212</v>
      </c>
    </row>
    <row r="88" spans="1:16" x14ac:dyDescent="0.3">
      <c r="A88" s="5">
        <v>87</v>
      </c>
      <c r="B88" s="11">
        <v>40547</v>
      </c>
      <c r="C88" s="6">
        <v>1</v>
      </c>
      <c r="D88" s="6">
        <v>0</v>
      </c>
      <c r="E88" s="6">
        <v>1</v>
      </c>
      <c r="F88" s="6">
        <v>18</v>
      </c>
      <c r="G88" s="6" t="b">
        <v>0</v>
      </c>
      <c r="H88" s="6">
        <v>2</v>
      </c>
      <c r="I88" s="6">
        <v>1</v>
      </c>
      <c r="J88" s="6">
        <v>0.26</v>
      </c>
      <c r="K88" s="6">
        <v>0.2576</v>
      </c>
      <c r="L88" s="6">
        <v>0.48</v>
      </c>
      <c r="M88" s="6">
        <v>0.19400000000000001</v>
      </c>
      <c r="N88" s="6">
        <v>3</v>
      </c>
      <c r="O88" s="6">
        <v>179</v>
      </c>
      <c r="P88" s="7">
        <v>182</v>
      </c>
    </row>
    <row r="89" spans="1:16" x14ac:dyDescent="0.3">
      <c r="A89" s="8">
        <v>88</v>
      </c>
      <c r="B89" s="12">
        <v>40547</v>
      </c>
      <c r="C89" s="9">
        <v>1</v>
      </c>
      <c r="D89" s="9">
        <v>0</v>
      </c>
      <c r="E89" s="9">
        <v>1</v>
      </c>
      <c r="F89" s="9">
        <v>19</v>
      </c>
      <c r="G89" s="9" t="b">
        <v>0</v>
      </c>
      <c r="H89" s="9">
        <v>2</v>
      </c>
      <c r="I89" s="9">
        <v>1</v>
      </c>
      <c r="J89" s="9">
        <v>0.24</v>
      </c>
      <c r="K89" s="9">
        <v>0.2576</v>
      </c>
      <c r="L89" s="9">
        <v>0.48</v>
      </c>
      <c r="M89" s="9">
        <v>0.1045</v>
      </c>
      <c r="N89" s="9">
        <v>2</v>
      </c>
      <c r="O89" s="9">
        <v>110</v>
      </c>
      <c r="P89" s="10">
        <v>112</v>
      </c>
    </row>
    <row r="90" spans="1:16" x14ac:dyDescent="0.3">
      <c r="A90" s="5">
        <v>89</v>
      </c>
      <c r="B90" s="11">
        <v>40547</v>
      </c>
      <c r="C90" s="6">
        <v>1</v>
      </c>
      <c r="D90" s="6">
        <v>0</v>
      </c>
      <c r="E90" s="6">
        <v>1</v>
      </c>
      <c r="F90" s="6">
        <v>20</v>
      </c>
      <c r="G90" s="6" t="b">
        <v>0</v>
      </c>
      <c r="H90" s="6">
        <v>2</v>
      </c>
      <c r="I90" s="6">
        <v>1</v>
      </c>
      <c r="J90" s="6">
        <v>0.24</v>
      </c>
      <c r="K90" s="6">
        <v>0.2576</v>
      </c>
      <c r="L90" s="6">
        <v>0.48</v>
      </c>
      <c r="M90" s="6">
        <v>0.1045</v>
      </c>
      <c r="N90" s="6">
        <v>1</v>
      </c>
      <c r="O90" s="6">
        <v>53</v>
      </c>
      <c r="P90" s="7">
        <v>54</v>
      </c>
    </row>
    <row r="91" spans="1:16" x14ac:dyDescent="0.3">
      <c r="A91" s="8">
        <v>90</v>
      </c>
      <c r="B91" s="12">
        <v>40547</v>
      </c>
      <c r="C91" s="9">
        <v>1</v>
      </c>
      <c r="D91" s="9">
        <v>0</v>
      </c>
      <c r="E91" s="9">
        <v>1</v>
      </c>
      <c r="F91" s="9">
        <v>21</v>
      </c>
      <c r="G91" s="9" t="b">
        <v>0</v>
      </c>
      <c r="H91" s="9">
        <v>2</v>
      </c>
      <c r="I91" s="9">
        <v>1</v>
      </c>
      <c r="J91" s="9">
        <v>0.22</v>
      </c>
      <c r="K91" s="9">
        <v>0.2727</v>
      </c>
      <c r="L91" s="9">
        <v>0.64</v>
      </c>
      <c r="M91" s="9">
        <v>0</v>
      </c>
      <c r="N91" s="9">
        <v>0</v>
      </c>
      <c r="O91" s="9">
        <v>48</v>
      </c>
      <c r="P91" s="10">
        <v>48</v>
      </c>
    </row>
    <row r="92" spans="1:16" x14ac:dyDescent="0.3">
      <c r="A92" s="5">
        <v>91</v>
      </c>
      <c r="B92" s="11">
        <v>40547</v>
      </c>
      <c r="C92" s="6">
        <v>1</v>
      </c>
      <c r="D92" s="6">
        <v>0</v>
      </c>
      <c r="E92" s="6">
        <v>1</v>
      </c>
      <c r="F92" s="6">
        <v>22</v>
      </c>
      <c r="G92" s="6" t="b">
        <v>0</v>
      </c>
      <c r="H92" s="6">
        <v>2</v>
      </c>
      <c r="I92" s="6">
        <v>1</v>
      </c>
      <c r="J92" s="6">
        <v>0.22</v>
      </c>
      <c r="K92" s="6">
        <v>0.2576</v>
      </c>
      <c r="L92" s="6">
        <v>0.64</v>
      </c>
      <c r="M92" s="6">
        <v>8.9599999999999999E-2</v>
      </c>
      <c r="N92" s="6">
        <v>1</v>
      </c>
      <c r="O92" s="6">
        <v>34</v>
      </c>
      <c r="P92" s="7">
        <v>35</v>
      </c>
    </row>
    <row r="93" spans="1:16" x14ac:dyDescent="0.3">
      <c r="A93" s="8">
        <v>92</v>
      </c>
      <c r="B93" s="12">
        <v>40547</v>
      </c>
      <c r="C93" s="9">
        <v>1</v>
      </c>
      <c r="D93" s="9">
        <v>0</v>
      </c>
      <c r="E93" s="9">
        <v>1</v>
      </c>
      <c r="F93" s="9">
        <v>23</v>
      </c>
      <c r="G93" s="9" t="b">
        <v>0</v>
      </c>
      <c r="H93" s="9">
        <v>2</v>
      </c>
      <c r="I93" s="9">
        <v>1</v>
      </c>
      <c r="J93" s="9">
        <v>0.2</v>
      </c>
      <c r="K93" s="9">
        <v>0.2273</v>
      </c>
      <c r="L93" s="9">
        <v>0.69</v>
      </c>
      <c r="M93" s="9">
        <v>8.9599999999999999E-2</v>
      </c>
      <c r="N93" s="9">
        <v>2</v>
      </c>
      <c r="O93" s="9">
        <v>9</v>
      </c>
      <c r="P93" s="10">
        <v>11</v>
      </c>
    </row>
    <row r="94" spans="1:16" x14ac:dyDescent="0.3">
      <c r="A94" s="5">
        <v>93</v>
      </c>
      <c r="B94" s="11">
        <v>40548</v>
      </c>
      <c r="C94" s="6">
        <v>1</v>
      </c>
      <c r="D94" s="6">
        <v>0</v>
      </c>
      <c r="E94" s="6">
        <v>1</v>
      </c>
      <c r="F94" s="6">
        <v>0</v>
      </c>
      <c r="G94" s="6" t="b">
        <v>0</v>
      </c>
      <c r="H94" s="6">
        <v>3</v>
      </c>
      <c r="I94" s="6">
        <v>1</v>
      </c>
      <c r="J94" s="6">
        <v>0.2</v>
      </c>
      <c r="K94" s="6">
        <v>0.2576</v>
      </c>
      <c r="L94" s="6">
        <v>0.64</v>
      </c>
      <c r="M94" s="6">
        <v>0</v>
      </c>
      <c r="N94" s="6">
        <v>0</v>
      </c>
      <c r="O94" s="6">
        <v>6</v>
      </c>
      <c r="P94" s="7">
        <v>6</v>
      </c>
    </row>
    <row r="95" spans="1:16" x14ac:dyDescent="0.3">
      <c r="A95" s="8">
        <v>94</v>
      </c>
      <c r="B95" s="12">
        <v>40548</v>
      </c>
      <c r="C95" s="9">
        <v>1</v>
      </c>
      <c r="D95" s="9">
        <v>0</v>
      </c>
      <c r="E95" s="9">
        <v>1</v>
      </c>
      <c r="F95" s="9">
        <v>1</v>
      </c>
      <c r="G95" s="9" t="b">
        <v>0</v>
      </c>
      <c r="H95" s="9">
        <v>3</v>
      </c>
      <c r="I95" s="9">
        <v>1</v>
      </c>
      <c r="J95" s="9">
        <v>0.16</v>
      </c>
      <c r="K95" s="9">
        <v>0.19700000000000001</v>
      </c>
      <c r="L95" s="9">
        <v>0.74</v>
      </c>
      <c r="M95" s="9">
        <v>8.9599999999999999E-2</v>
      </c>
      <c r="N95" s="9">
        <v>0</v>
      </c>
      <c r="O95" s="9">
        <v>6</v>
      </c>
      <c r="P95" s="10">
        <v>6</v>
      </c>
    </row>
    <row r="96" spans="1:16" x14ac:dyDescent="0.3">
      <c r="A96" s="5">
        <v>95</v>
      </c>
      <c r="B96" s="11">
        <v>40548</v>
      </c>
      <c r="C96" s="6">
        <v>1</v>
      </c>
      <c r="D96" s="6">
        <v>0</v>
      </c>
      <c r="E96" s="6">
        <v>1</v>
      </c>
      <c r="F96" s="6">
        <v>2</v>
      </c>
      <c r="G96" s="6" t="b">
        <v>0</v>
      </c>
      <c r="H96" s="6">
        <v>3</v>
      </c>
      <c r="I96" s="6">
        <v>1</v>
      </c>
      <c r="J96" s="6">
        <v>0.16</v>
      </c>
      <c r="K96" s="6">
        <v>0.19700000000000001</v>
      </c>
      <c r="L96" s="6">
        <v>0.74</v>
      </c>
      <c r="M96" s="6">
        <v>8.9599999999999999E-2</v>
      </c>
      <c r="N96" s="6">
        <v>0</v>
      </c>
      <c r="O96" s="6">
        <v>2</v>
      </c>
      <c r="P96" s="7">
        <v>2</v>
      </c>
    </row>
    <row r="97" spans="1:16" x14ac:dyDescent="0.3">
      <c r="A97" s="8">
        <v>96</v>
      </c>
      <c r="B97" s="12">
        <v>40548</v>
      </c>
      <c r="C97" s="9">
        <v>1</v>
      </c>
      <c r="D97" s="9">
        <v>0</v>
      </c>
      <c r="E97" s="9">
        <v>1</v>
      </c>
      <c r="F97" s="9">
        <v>4</v>
      </c>
      <c r="G97" s="9" t="b">
        <v>0</v>
      </c>
      <c r="H97" s="9">
        <v>3</v>
      </c>
      <c r="I97" s="9">
        <v>1</v>
      </c>
      <c r="J97" s="9">
        <v>0.24</v>
      </c>
      <c r="K97" s="9">
        <v>0.2273</v>
      </c>
      <c r="L97" s="9">
        <v>0.48</v>
      </c>
      <c r="M97" s="9">
        <v>0.22389999999999999</v>
      </c>
      <c r="N97" s="9">
        <v>0</v>
      </c>
      <c r="O97" s="9">
        <v>2</v>
      </c>
      <c r="P97" s="10">
        <v>2</v>
      </c>
    </row>
    <row r="98" spans="1:16" x14ac:dyDescent="0.3">
      <c r="A98" s="5">
        <v>97</v>
      </c>
      <c r="B98" s="11">
        <v>40548</v>
      </c>
      <c r="C98" s="6">
        <v>1</v>
      </c>
      <c r="D98" s="6">
        <v>0</v>
      </c>
      <c r="E98" s="6">
        <v>1</v>
      </c>
      <c r="F98" s="6">
        <v>5</v>
      </c>
      <c r="G98" s="6" t="b">
        <v>0</v>
      </c>
      <c r="H98" s="6">
        <v>3</v>
      </c>
      <c r="I98" s="6">
        <v>1</v>
      </c>
      <c r="J98" s="6">
        <v>0.22</v>
      </c>
      <c r="K98" s="6">
        <v>0.2273</v>
      </c>
      <c r="L98" s="6">
        <v>0.47</v>
      </c>
      <c r="M98" s="6">
        <v>0.16420000000000001</v>
      </c>
      <c r="N98" s="6">
        <v>0</v>
      </c>
      <c r="O98" s="6">
        <v>3</v>
      </c>
      <c r="P98" s="7">
        <v>3</v>
      </c>
    </row>
    <row r="99" spans="1:16" x14ac:dyDescent="0.3">
      <c r="A99" s="8">
        <v>98</v>
      </c>
      <c r="B99" s="12">
        <v>40548</v>
      </c>
      <c r="C99" s="9">
        <v>1</v>
      </c>
      <c r="D99" s="9">
        <v>0</v>
      </c>
      <c r="E99" s="9">
        <v>1</v>
      </c>
      <c r="F99" s="9">
        <v>6</v>
      </c>
      <c r="G99" s="9" t="b">
        <v>0</v>
      </c>
      <c r="H99" s="9">
        <v>3</v>
      </c>
      <c r="I99" s="9">
        <v>1</v>
      </c>
      <c r="J99" s="9">
        <v>0.2</v>
      </c>
      <c r="K99" s="9">
        <v>0.19700000000000001</v>
      </c>
      <c r="L99" s="9">
        <v>0.47</v>
      </c>
      <c r="M99" s="9">
        <v>0.22389999999999999</v>
      </c>
      <c r="N99" s="9">
        <v>0</v>
      </c>
      <c r="O99" s="9">
        <v>33</v>
      </c>
      <c r="P99" s="10">
        <v>33</v>
      </c>
    </row>
    <row r="100" spans="1:16" x14ac:dyDescent="0.3">
      <c r="A100" s="5">
        <v>99</v>
      </c>
      <c r="B100" s="11">
        <v>40548</v>
      </c>
      <c r="C100" s="6">
        <v>1</v>
      </c>
      <c r="D100" s="6">
        <v>0</v>
      </c>
      <c r="E100" s="6">
        <v>1</v>
      </c>
      <c r="F100" s="6">
        <v>7</v>
      </c>
      <c r="G100" s="6" t="b">
        <v>0</v>
      </c>
      <c r="H100" s="6">
        <v>3</v>
      </c>
      <c r="I100" s="6">
        <v>1</v>
      </c>
      <c r="J100" s="6">
        <v>0.18</v>
      </c>
      <c r="K100" s="6">
        <v>0.18179999999999999</v>
      </c>
      <c r="L100" s="6">
        <v>0.43</v>
      </c>
      <c r="M100" s="6">
        <v>0.19400000000000001</v>
      </c>
      <c r="N100" s="6">
        <v>1</v>
      </c>
      <c r="O100" s="6">
        <v>87</v>
      </c>
      <c r="P100" s="7">
        <v>88</v>
      </c>
    </row>
    <row r="101" spans="1:16" x14ac:dyDescent="0.3">
      <c r="A101" s="8">
        <v>100</v>
      </c>
      <c r="B101" s="12">
        <v>40548</v>
      </c>
      <c r="C101" s="9">
        <v>1</v>
      </c>
      <c r="D101" s="9">
        <v>0</v>
      </c>
      <c r="E101" s="9">
        <v>1</v>
      </c>
      <c r="F101" s="9">
        <v>8</v>
      </c>
      <c r="G101" s="9" t="b">
        <v>0</v>
      </c>
      <c r="H101" s="9">
        <v>3</v>
      </c>
      <c r="I101" s="9">
        <v>1</v>
      </c>
      <c r="J101" s="9">
        <v>0.2</v>
      </c>
      <c r="K101" s="9">
        <v>0.18179999999999999</v>
      </c>
      <c r="L101" s="9">
        <v>0.4</v>
      </c>
      <c r="M101" s="9">
        <v>0.29849999999999999</v>
      </c>
      <c r="N101" s="9">
        <v>3</v>
      </c>
      <c r="O101" s="9">
        <v>192</v>
      </c>
      <c r="P101" s="10">
        <v>195</v>
      </c>
    </row>
    <row r="102" spans="1:16" x14ac:dyDescent="0.3">
      <c r="A102" s="5">
        <v>101</v>
      </c>
      <c r="B102" s="11">
        <v>40548</v>
      </c>
      <c r="C102" s="6">
        <v>1</v>
      </c>
      <c r="D102" s="6">
        <v>0</v>
      </c>
      <c r="E102" s="6">
        <v>1</v>
      </c>
      <c r="F102" s="6">
        <v>9</v>
      </c>
      <c r="G102" s="6" t="b">
        <v>0</v>
      </c>
      <c r="H102" s="6">
        <v>3</v>
      </c>
      <c r="I102" s="6">
        <v>1</v>
      </c>
      <c r="J102" s="6">
        <v>0.22</v>
      </c>
      <c r="K102" s="6">
        <v>0.19700000000000001</v>
      </c>
      <c r="L102" s="6">
        <v>0.37</v>
      </c>
      <c r="M102" s="6">
        <v>0.32840000000000003</v>
      </c>
      <c r="N102" s="6">
        <v>6</v>
      </c>
      <c r="O102" s="6">
        <v>109</v>
      </c>
      <c r="P102" s="7">
        <v>115</v>
      </c>
    </row>
    <row r="103" spans="1:16" x14ac:dyDescent="0.3">
      <c r="A103" s="8">
        <v>102</v>
      </c>
      <c r="B103" s="12">
        <v>40548</v>
      </c>
      <c r="C103" s="9">
        <v>1</v>
      </c>
      <c r="D103" s="9">
        <v>0</v>
      </c>
      <c r="E103" s="9">
        <v>1</v>
      </c>
      <c r="F103" s="9">
        <v>10</v>
      </c>
      <c r="G103" s="9" t="b">
        <v>0</v>
      </c>
      <c r="H103" s="9">
        <v>3</v>
      </c>
      <c r="I103" s="9">
        <v>1</v>
      </c>
      <c r="J103" s="9">
        <v>0.22</v>
      </c>
      <c r="K103" s="9">
        <v>0.19700000000000001</v>
      </c>
      <c r="L103" s="9">
        <v>0.37</v>
      </c>
      <c r="M103" s="9">
        <v>0.32840000000000003</v>
      </c>
      <c r="N103" s="9">
        <v>4</v>
      </c>
      <c r="O103" s="9">
        <v>53</v>
      </c>
      <c r="P103" s="10">
        <v>57</v>
      </c>
    </row>
    <row r="104" spans="1:16" x14ac:dyDescent="0.3">
      <c r="A104" s="5">
        <v>103</v>
      </c>
      <c r="B104" s="11">
        <v>40548</v>
      </c>
      <c r="C104" s="6">
        <v>1</v>
      </c>
      <c r="D104" s="6">
        <v>0</v>
      </c>
      <c r="E104" s="6">
        <v>1</v>
      </c>
      <c r="F104" s="6">
        <v>11</v>
      </c>
      <c r="G104" s="6" t="b">
        <v>0</v>
      </c>
      <c r="H104" s="6">
        <v>3</v>
      </c>
      <c r="I104" s="6">
        <v>1</v>
      </c>
      <c r="J104" s="6">
        <v>0.26</v>
      </c>
      <c r="K104" s="6">
        <v>0.2273</v>
      </c>
      <c r="L104" s="6">
        <v>0.33</v>
      </c>
      <c r="M104" s="6">
        <v>0.32840000000000003</v>
      </c>
      <c r="N104" s="6">
        <v>12</v>
      </c>
      <c r="O104" s="6">
        <v>34</v>
      </c>
      <c r="P104" s="7">
        <v>46</v>
      </c>
    </row>
    <row r="105" spans="1:16" x14ac:dyDescent="0.3">
      <c r="A105" s="8">
        <v>104</v>
      </c>
      <c r="B105" s="12">
        <v>40548</v>
      </c>
      <c r="C105" s="9">
        <v>1</v>
      </c>
      <c r="D105" s="9">
        <v>0</v>
      </c>
      <c r="E105" s="9">
        <v>1</v>
      </c>
      <c r="F105" s="9">
        <v>12</v>
      </c>
      <c r="G105" s="9" t="b">
        <v>0</v>
      </c>
      <c r="H105" s="9">
        <v>3</v>
      </c>
      <c r="I105" s="9">
        <v>1</v>
      </c>
      <c r="J105" s="9">
        <v>0.26</v>
      </c>
      <c r="K105" s="9">
        <v>0.2273</v>
      </c>
      <c r="L105" s="9">
        <v>0.33</v>
      </c>
      <c r="M105" s="9">
        <v>0.32840000000000003</v>
      </c>
      <c r="N105" s="9">
        <v>5</v>
      </c>
      <c r="O105" s="9">
        <v>74</v>
      </c>
      <c r="P105" s="10">
        <v>79</v>
      </c>
    </row>
    <row r="106" spans="1:16" x14ac:dyDescent="0.3">
      <c r="A106" s="5">
        <v>105</v>
      </c>
      <c r="B106" s="11">
        <v>40548</v>
      </c>
      <c r="C106" s="6">
        <v>1</v>
      </c>
      <c r="D106" s="6">
        <v>0</v>
      </c>
      <c r="E106" s="6">
        <v>1</v>
      </c>
      <c r="F106" s="6">
        <v>13</v>
      </c>
      <c r="G106" s="6" t="b">
        <v>0</v>
      </c>
      <c r="H106" s="6">
        <v>3</v>
      </c>
      <c r="I106" s="6">
        <v>1</v>
      </c>
      <c r="J106" s="6">
        <v>0.28000000000000003</v>
      </c>
      <c r="K106" s="6">
        <v>0.2576</v>
      </c>
      <c r="L106" s="6">
        <v>0.3</v>
      </c>
      <c r="M106" s="6">
        <v>0.29849999999999999</v>
      </c>
      <c r="N106" s="6">
        <v>6</v>
      </c>
      <c r="O106" s="6">
        <v>65</v>
      </c>
      <c r="P106" s="7">
        <v>71</v>
      </c>
    </row>
    <row r="107" spans="1:16" x14ac:dyDescent="0.3">
      <c r="A107" s="8">
        <v>106</v>
      </c>
      <c r="B107" s="12">
        <v>40548</v>
      </c>
      <c r="C107" s="9">
        <v>1</v>
      </c>
      <c r="D107" s="9">
        <v>0</v>
      </c>
      <c r="E107" s="9">
        <v>1</v>
      </c>
      <c r="F107" s="9">
        <v>14</v>
      </c>
      <c r="G107" s="9" t="b">
        <v>0</v>
      </c>
      <c r="H107" s="9">
        <v>3</v>
      </c>
      <c r="I107" s="9">
        <v>1</v>
      </c>
      <c r="J107" s="9">
        <v>0.3</v>
      </c>
      <c r="K107" s="9">
        <v>0.28789999999999999</v>
      </c>
      <c r="L107" s="9">
        <v>0.28000000000000003</v>
      </c>
      <c r="M107" s="9">
        <v>0.19400000000000001</v>
      </c>
      <c r="N107" s="9">
        <v>10</v>
      </c>
      <c r="O107" s="9">
        <v>52</v>
      </c>
      <c r="P107" s="10">
        <v>62</v>
      </c>
    </row>
    <row r="108" spans="1:16" x14ac:dyDescent="0.3">
      <c r="A108" s="5">
        <v>107</v>
      </c>
      <c r="B108" s="11">
        <v>40548</v>
      </c>
      <c r="C108" s="6">
        <v>1</v>
      </c>
      <c r="D108" s="6">
        <v>0</v>
      </c>
      <c r="E108" s="6">
        <v>1</v>
      </c>
      <c r="F108" s="6">
        <v>15</v>
      </c>
      <c r="G108" s="6" t="b">
        <v>0</v>
      </c>
      <c r="H108" s="6">
        <v>3</v>
      </c>
      <c r="I108" s="6">
        <v>1</v>
      </c>
      <c r="J108" s="6">
        <v>0.3</v>
      </c>
      <c r="K108" s="6">
        <v>0.28789999999999999</v>
      </c>
      <c r="L108" s="6">
        <v>0.28000000000000003</v>
      </c>
      <c r="M108" s="6">
        <v>0.19400000000000001</v>
      </c>
      <c r="N108" s="6">
        <v>7</v>
      </c>
      <c r="O108" s="6">
        <v>55</v>
      </c>
      <c r="P108" s="7">
        <v>62</v>
      </c>
    </row>
    <row r="109" spans="1:16" x14ac:dyDescent="0.3">
      <c r="A109" s="8">
        <v>108</v>
      </c>
      <c r="B109" s="12">
        <v>40548</v>
      </c>
      <c r="C109" s="9">
        <v>1</v>
      </c>
      <c r="D109" s="9">
        <v>0</v>
      </c>
      <c r="E109" s="9">
        <v>1</v>
      </c>
      <c r="F109" s="9">
        <v>16</v>
      </c>
      <c r="G109" s="9" t="b">
        <v>0</v>
      </c>
      <c r="H109" s="9">
        <v>3</v>
      </c>
      <c r="I109" s="9">
        <v>1</v>
      </c>
      <c r="J109" s="9">
        <v>0.3</v>
      </c>
      <c r="K109" s="9">
        <v>0.31819999999999998</v>
      </c>
      <c r="L109" s="9">
        <v>0.28000000000000003</v>
      </c>
      <c r="M109" s="9">
        <v>8.9599999999999999E-2</v>
      </c>
      <c r="N109" s="9">
        <v>4</v>
      </c>
      <c r="O109" s="9">
        <v>85</v>
      </c>
      <c r="P109" s="10">
        <v>89</v>
      </c>
    </row>
    <row r="110" spans="1:16" x14ac:dyDescent="0.3">
      <c r="A110" s="5">
        <v>109</v>
      </c>
      <c r="B110" s="11">
        <v>40548</v>
      </c>
      <c r="C110" s="6">
        <v>1</v>
      </c>
      <c r="D110" s="6">
        <v>0</v>
      </c>
      <c r="E110" s="6">
        <v>1</v>
      </c>
      <c r="F110" s="6">
        <v>17</v>
      </c>
      <c r="G110" s="6" t="b">
        <v>0</v>
      </c>
      <c r="H110" s="6">
        <v>3</v>
      </c>
      <c r="I110" s="6">
        <v>1</v>
      </c>
      <c r="J110" s="6">
        <v>0.24</v>
      </c>
      <c r="K110" s="6">
        <v>0.2273</v>
      </c>
      <c r="L110" s="6">
        <v>0.38</v>
      </c>
      <c r="M110" s="6">
        <v>0.19400000000000001</v>
      </c>
      <c r="N110" s="6">
        <v>4</v>
      </c>
      <c r="O110" s="6">
        <v>186</v>
      </c>
      <c r="P110" s="7">
        <v>190</v>
      </c>
    </row>
    <row r="111" spans="1:16" x14ac:dyDescent="0.3">
      <c r="A111" s="8">
        <v>110</v>
      </c>
      <c r="B111" s="12">
        <v>40548</v>
      </c>
      <c r="C111" s="9">
        <v>1</v>
      </c>
      <c r="D111" s="9">
        <v>0</v>
      </c>
      <c r="E111" s="9">
        <v>1</v>
      </c>
      <c r="F111" s="9">
        <v>18</v>
      </c>
      <c r="G111" s="9" t="b">
        <v>0</v>
      </c>
      <c r="H111" s="9">
        <v>3</v>
      </c>
      <c r="I111" s="9">
        <v>1</v>
      </c>
      <c r="J111" s="9">
        <v>0.24</v>
      </c>
      <c r="K111" s="9">
        <v>0.2424</v>
      </c>
      <c r="L111" s="9">
        <v>0.38</v>
      </c>
      <c r="M111" s="9">
        <v>0.1343</v>
      </c>
      <c r="N111" s="9">
        <v>3</v>
      </c>
      <c r="O111" s="9">
        <v>166</v>
      </c>
      <c r="P111" s="10">
        <v>169</v>
      </c>
    </row>
    <row r="112" spans="1:16" x14ac:dyDescent="0.3">
      <c r="A112" s="5">
        <v>111</v>
      </c>
      <c r="B112" s="11">
        <v>40548</v>
      </c>
      <c r="C112" s="6">
        <v>1</v>
      </c>
      <c r="D112" s="6">
        <v>0</v>
      </c>
      <c r="E112" s="6">
        <v>1</v>
      </c>
      <c r="F112" s="6">
        <v>19</v>
      </c>
      <c r="G112" s="6" t="b">
        <v>0</v>
      </c>
      <c r="H112" s="6">
        <v>3</v>
      </c>
      <c r="I112" s="6">
        <v>1</v>
      </c>
      <c r="J112" s="6">
        <v>0.24</v>
      </c>
      <c r="K112" s="6">
        <v>0.2576</v>
      </c>
      <c r="L112" s="6">
        <v>0.38</v>
      </c>
      <c r="M112" s="6">
        <v>0.1045</v>
      </c>
      <c r="N112" s="6">
        <v>5</v>
      </c>
      <c r="O112" s="6">
        <v>127</v>
      </c>
      <c r="P112" s="7">
        <v>132</v>
      </c>
    </row>
    <row r="113" spans="1:16" x14ac:dyDescent="0.3">
      <c r="A113" s="8">
        <v>112</v>
      </c>
      <c r="B113" s="12">
        <v>40548</v>
      </c>
      <c r="C113" s="9">
        <v>1</v>
      </c>
      <c r="D113" s="9">
        <v>0</v>
      </c>
      <c r="E113" s="9">
        <v>1</v>
      </c>
      <c r="F113" s="9">
        <v>20</v>
      </c>
      <c r="G113" s="9" t="b">
        <v>0</v>
      </c>
      <c r="H113" s="9">
        <v>3</v>
      </c>
      <c r="I113" s="9">
        <v>1</v>
      </c>
      <c r="J113" s="9">
        <v>0.22</v>
      </c>
      <c r="K113" s="9">
        <v>0.2273</v>
      </c>
      <c r="L113" s="9">
        <v>0.47</v>
      </c>
      <c r="M113" s="9">
        <v>0.16420000000000001</v>
      </c>
      <c r="N113" s="9">
        <v>7</v>
      </c>
      <c r="O113" s="9">
        <v>82</v>
      </c>
      <c r="P113" s="10">
        <v>89</v>
      </c>
    </row>
    <row r="114" spans="1:16" x14ac:dyDescent="0.3">
      <c r="A114" s="5">
        <v>113</v>
      </c>
      <c r="B114" s="11">
        <v>40548</v>
      </c>
      <c r="C114" s="6">
        <v>1</v>
      </c>
      <c r="D114" s="6">
        <v>0</v>
      </c>
      <c r="E114" s="6">
        <v>1</v>
      </c>
      <c r="F114" s="6">
        <v>21</v>
      </c>
      <c r="G114" s="6" t="b">
        <v>0</v>
      </c>
      <c r="H114" s="6">
        <v>3</v>
      </c>
      <c r="I114" s="6">
        <v>1</v>
      </c>
      <c r="J114" s="6">
        <v>0.2</v>
      </c>
      <c r="K114" s="6">
        <v>0.19700000000000001</v>
      </c>
      <c r="L114" s="6">
        <v>0.51</v>
      </c>
      <c r="M114" s="6">
        <v>0.19400000000000001</v>
      </c>
      <c r="N114" s="6">
        <v>3</v>
      </c>
      <c r="O114" s="6">
        <v>40</v>
      </c>
      <c r="P114" s="7">
        <v>43</v>
      </c>
    </row>
    <row r="115" spans="1:16" x14ac:dyDescent="0.3">
      <c r="A115" s="8">
        <v>114</v>
      </c>
      <c r="B115" s="12">
        <v>40548</v>
      </c>
      <c r="C115" s="9">
        <v>1</v>
      </c>
      <c r="D115" s="9">
        <v>0</v>
      </c>
      <c r="E115" s="9">
        <v>1</v>
      </c>
      <c r="F115" s="9">
        <v>22</v>
      </c>
      <c r="G115" s="9" t="b">
        <v>0</v>
      </c>
      <c r="H115" s="9">
        <v>3</v>
      </c>
      <c r="I115" s="9">
        <v>1</v>
      </c>
      <c r="J115" s="9">
        <v>0.18</v>
      </c>
      <c r="K115" s="9">
        <v>0.19700000000000001</v>
      </c>
      <c r="L115" s="9">
        <v>0.55000000000000004</v>
      </c>
      <c r="M115" s="9">
        <v>0.1343</v>
      </c>
      <c r="N115" s="9">
        <v>1</v>
      </c>
      <c r="O115" s="9">
        <v>41</v>
      </c>
      <c r="P115" s="10">
        <v>42</v>
      </c>
    </row>
    <row r="116" spans="1:16" x14ac:dyDescent="0.3">
      <c r="A116" s="5">
        <v>115</v>
      </c>
      <c r="B116" s="11">
        <v>40548</v>
      </c>
      <c r="C116" s="6">
        <v>1</v>
      </c>
      <c r="D116" s="6">
        <v>0</v>
      </c>
      <c r="E116" s="6">
        <v>1</v>
      </c>
      <c r="F116" s="6">
        <v>23</v>
      </c>
      <c r="G116" s="6" t="b">
        <v>0</v>
      </c>
      <c r="H116" s="6">
        <v>3</v>
      </c>
      <c r="I116" s="6">
        <v>1</v>
      </c>
      <c r="J116" s="6">
        <v>0.2</v>
      </c>
      <c r="K116" s="6">
        <v>0.2576</v>
      </c>
      <c r="L116" s="6">
        <v>0.47</v>
      </c>
      <c r="M116" s="6">
        <v>0</v>
      </c>
      <c r="N116" s="6">
        <v>1</v>
      </c>
      <c r="O116" s="6">
        <v>18</v>
      </c>
      <c r="P116" s="7">
        <v>19</v>
      </c>
    </row>
    <row r="117" spans="1:16" x14ac:dyDescent="0.3">
      <c r="A117" s="8">
        <v>116</v>
      </c>
      <c r="B117" s="12">
        <v>40549</v>
      </c>
      <c r="C117" s="9">
        <v>1</v>
      </c>
      <c r="D117" s="9">
        <v>0</v>
      </c>
      <c r="E117" s="9">
        <v>1</v>
      </c>
      <c r="F117" s="9">
        <v>0</v>
      </c>
      <c r="G117" s="9" t="b">
        <v>0</v>
      </c>
      <c r="H117" s="9">
        <v>4</v>
      </c>
      <c r="I117" s="9">
        <v>1</v>
      </c>
      <c r="J117" s="9">
        <v>0.18</v>
      </c>
      <c r="K117" s="9">
        <v>0.2424</v>
      </c>
      <c r="L117" s="9">
        <v>0.55000000000000004</v>
      </c>
      <c r="M117" s="9">
        <v>0</v>
      </c>
      <c r="N117" s="9">
        <v>0</v>
      </c>
      <c r="O117" s="9">
        <v>11</v>
      </c>
      <c r="P117" s="10">
        <v>11</v>
      </c>
    </row>
    <row r="118" spans="1:16" x14ac:dyDescent="0.3">
      <c r="A118" s="5">
        <v>117</v>
      </c>
      <c r="B118" s="11">
        <v>40549</v>
      </c>
      <c r="C118" s="6">
        <v>1</v>
      </c>
      <c r="D118" s="6">
        <v>0</v>
      </c>
      <c r="E118" s="6">
        <v>1</v>
      </c>
      <c r="F118" s="6">
        <v>1</v>
      </c>
      <c r="G118" s="6" t="b">
        <v>0</v>
      </c>
      <c r="H118" s="6">
        <v>4</v>
      </c>
      <c r="I118" s="6">
        <v>1</v>
      </c>
      <c r="J118" s="6">
        <v>0.16</v>
      </c>
      <c r="K118" s="6">
        <v>0.2273</v>
      </c>
      <c r="L118" s="6">
        <v>0.64</v>
      </c>
      <c r="M118" s="6">
        <v>0</v>
      </c>
      <c r="N118" s="6">
        <v>0</v>
      </c>
      <c r="O118" s="6">
        <v>4</v>
      </c>
      <c r="P118" s="7">
        <v>4</v>
      </c>
    </row>
    <row r="119" spans="1:16" x14ac:dyDescent="0.3">
      <c r="A119" s="8">
        <v>118</v>
      </c>
      <c r="B119" s="12">
        <v>40549</v>
      </c>
      <c r="C119" s="9">
        <v>1</v>
      </c>
      <c r="D119" s="9">
        <v>0</v>
      </c>
      <c r="E119" s="9">
        <v>1</v>
      </c>
      <c r="F119" s="9">
        <v>2</v>
      </c>
      <c r="G119" s="9" t="b">
        <v>0</v>
      </c>
      <c r="H119" s="9">
        <v>4</v>
      </c>
      <c r="I119" s="9">
        <v>1</v>
      </c>
      <c r="J119" s="9">
        <v>0.16</v>
      </c>
      <c r="K119" s="9">
        <v>0.2273</v>
      </c>
      <c r="L119" s="9">
        <v>0.64</v>
      </c>
      <c r="M119" s="9">
        <v>0</v>
      </c>
      <c r="N119" s="9">
        <v>0</v>
      </c>
      <c r="O119" s="9">
        <v>2</v>
      </c>
      <c r="P119" s="10">
        <v>2</v>
      </c>
    </row>
    <row r="120" spans="1:16" x14ac:dyDescent="0.3">
      <c r="A120" s="5">
        <v>119</v>
      </c>
      <c r="B120" s="11">
        <v>40549</v>
      </c>
      <c r="C120" s="6">
        <v>1</v>
      </c>
      <c r="D120" s="6">
        <v>0</v>
      </c>
      <c r="E120" s="6">
        <v>1</v>
      </c>
      <c r="F120" s="6">
        <v>4</v>
      </c>
      <c r="G120" s="6" t="b">
        <v>0</v>
      </c>
      <c r="H120" s="6">
        <v>4</v>
      </c>
      <c r="I120" s="6">
        <v>2</v>
      </c>
      <c r="J120" s="6">
        <v>0.16</v>
      </c>
      <c r="K120" s="6">
        <v>0.19700000000000001</v>
      </c>
      <c r="L120" s="6">
        <v>0.64</v>
      </c>
      <c r="M120" s="6">
        <v>8.9599999999999999E-2</v>
      </c>
      <c r="N120" s="6">
        <v>0</v>
      </c>
      <c r="O120" s="6">
        <v>1</v>
      </c>
      <c r="P120" s="7">
        <v>1</v>
      </c>
    </row>
    <row r="121" spans="1:16" x14ac:dyDescent="0.3">
      <c r="A121" s="8">
        <v>120</v>
      </c>
      <c r="B121" s="12">
        <v>40549</v>
      </c>
      <c r="C121" s="9">
        <v>1</v>
      </c>
      <c r="D121" s="9">
        <v>0</v>
      </c>
      <c r="E121" s="9">
        <v>1</v>
      </c>
      <c r="F121" s="9">
        <v>5</v>
      </c>
      <c r="G121" s="9" t="b">
        <v>0</v>
      </c>
      <c r="H121" s="9">
        <v>4</v>
      </c>
      <c r="I121" s="9">
        <v>2</v>
      </c>
      <c r="J121" s="9">
        <v>0.14000000000000001</v>
      </c>
      <c r="K121" s="9">
        <v>0.18179999999999999</v>
      </c>
      <c r="L121" s="9">
        <v>0.69</v>
      </c>
      <c r="M121" s="9">
        <v>8.9599999999999999E-2</v>
      </c>
      <c r="N121" s="9">
        <v>0</v>
      </c>
      <c r="O121" s="9">
        <v>4</v>
      </c>
      <c r="P121" s="10">
        <v>4</v>
      </c>
    </row>
    <row r="122" spans="1:16" x14ac:dyDescent="0.3">
      <c r="A122" s="5">
        <v>121</v>
      </c>
      <c r="B122" s="11">
        <v>40549</v>
      </c>
      <c r="C122" s="6">
        <v>1</v>
      </c>
      <c r="D122" s="6">
        <v>0</v>
      </c>
      <c r="E122" s="6">
        <v>1</v>
      </c>
      <c r="F122" s="6">
        <v>6</v>
      </c>
      <c r="G122" s="6" t="b">
        <v>0</v>
      </c>
      <c r="H122" s="6">
        <v>4</v>
      </c>
      <c r="I122" s="6">
        <v>2</v>
      </c>
      <c r="J122" s="6">
        <v>0.14000000000000001</v>
      </c>
      <c r="K122" s="6">
        <v>0.16669999999999999</v>
      </c>
      <c r="L122" s="6">
        <v>0.63</v>
      </c>
      <c r="M122" s="6">
        <v>0.1045</v>
      </c>
      <c r="N122" s="6">
        <v>0</v>
      </c>
      <c r="O122" s="6">
        <v>36</v>
      </c>
      <c r="P122" s="7">
        <v>36</v>
      </c>
    </row>
    <row r="123" spans="1:16" x14ac:dyDescent="0.3">
      <c r="A123" s="8">
        <v>122</v>
      </c>
      <c r="B123" s="12">
        <v>40549</v>
      </c>
      <c r="C123" s="9">
        <v>1</v>
      </c>
      <c r="D123" s="9">
        <v>0</v>
      </c>
      <c r="E123" s="9">
        <v>1</v>
      </c>
      <c r="F123" s="9">
        <v>7</v>
      </c>
      <c r="G123" s="9" t="b">
        <v>0</v>
      </c>
      <c r="H123" s="9">
        <v>4</v>
      </c>
      <c r="I123" s="9">
        <v>2</v>
      </c>
      <c r="J123" s="9">
        <v>0.16</v>
      </c>
      <c r="K123" s="9">
        <v>0.2273</v>
      </c>
      <c r="L123" s="9">
        <v>0.59</v>
      </c>
      <c r="M123" s="9">
        <v>0</v>
      </c>
      <c r="N123" s="9">
        <v>0</v>
      </c>
      <c r="O123" s="9">
        <v>95</v>
      </c>
      <c r="P123" s="10">
        <v>95</v>
      </c>
    </row>
    <row r="124" spans="1:16" x14ac:dyDescent="0.3">
      <c r="A124" s="5">
        <v>123</v>
      </c>
      <c r="B124" s="11">
        <v>40549</v>
      </c>
      <c r="C124" s="6">
        <v>1</v>
      </c>
      <c r="D124" s="6">
        <v>0</v>
      </c>
      <c r="E124" s="6">
        <v>1</v>
      </c>
      <c r="F124" s="6">
        <v>8</v>
      </c>
      <c r="G124" s="6" t="b">
        <v>0</v>
      </c>
      <c r="H124" s="6">
        <v>4</v>
      </c>
      <c r="I124" s="6">
        <v>1</v>
      </c>
      <c r="J124" s="6">
        <v>0.16</v>
      </c>
      <c r="K124" s="6">
        <v>0.2273</v>
      </c>
      <c r="L124" s="6">
        <v>0.59</v>
      </c>
      <c r="M124" s="6">
        <v>0</v>
      </c>
      <c r="N124" s="6">
        <v>3</v>
      </c>
      <c r="O124" s="6">
        <v>216</v>
      </c>
      <c r="P124" s="7">
        <v>219</v>
      </c>
    </row>
    <row r="125" spans="1:16" x14ac:dyDescent="0.3">
      <c r="A125" s="8">
        <v>124</v>
      </c>
      <c r="B125" s="12">
        <v>40549</v>
      </c>
      <c r="C125" s="9">
        <v>1</v>
      </c>
      <c r="D125" s="9">
        <v>0</v>
      </c>
      <c r="E125" s="9">
        <v>1</v>
      </c>
      <c r="F125" s="9">
        <v>9</v>
      </c>
      <c r="G125" s="9" t="b">
        <v>0</v>
      </c>
      <c r="H125" s="9">
        <v>4</v>
      </c>
      <c r="I125" s="9">
        <v>2</v>
      </c>
      <c r="J125" s="9">
        <v>0.18</v>
      </c>
      <c r="K125" s="9">
        <v>0.2424</v>
      </c>
      <c r="L125" s="9">
        <v>0.51</v>
      </c>
      <c r="M125" s="9">
        <v>0</v>
      </c>
      <c r="N125" s="9">
        <v>6</v>
      </c>
      <c r="O125" s="9">
        <v>116</v>
      </c>
      <c r="P125" s="10">
        <v>122</v>
      </c>
    </row>
    <row r="126" spans="1:16" x14ac:dyDescent="0.3">
      <c r="A126" s="5">
        <v>125</v>
      </c>
      <c r="B126" s="11">
        <v>40549</v>
      </c>
      <c r="C126" s="6">
        <v>1</v>
      </c>
      <c r="D126" s="6">
        <v>0</v>
      </c>
      <c r="E126" s="6">
        <v>1</v>
      </c>
      <c r="F126" s="6">
        <v>10</v>
      </c>
      <c r="G126" s="6" t="b">
        <v>0</v>
      </c>
      <c r="H126" s="6">
        <v>4</v>
      </c>
      <c r="I126" s="6">
        <v>1</v>
      </c>
      <c r="J126" s="6">
        <v>0.2</v>
      </c>
      <c r="K126" s="6">
        <v>0.2576</v>
      </c>
      <c r="L126" s="6">
        <v>0.47</v>
      </c>
      <c r="M126" s="6">
        <v>0</v>
      </c>
      <c r="N126" s="6">
        <v>3</v>
      </c>
      <c r="O126" s="6">
        <v>42</v>
      </c>
      <c r="P126" s="7">
        <v>45</v>
      </c>
    </row>
    <row r="127" spans="1:16" x14ac:dyDescent="0.3">
      <c r="A127" s="8">
        <v>126</v>
      </c>
      <c r="B127" s="12">
        <v>40549</v>
      </c>
      <c r="C127" s="9">
        <v>1</v>
      </c>
      <c r="D127" s="9">
        <v>0</v>
      </c>
      <c r="E127" s="9">
        <v>1</v>
      </c>
      <c r="F127" s="9">
        <v>11</v>
      </c>
      <c r="G127" s="9" t="b">
        <v>0</v>
      </c>
      <c r="H127" s="9">
        <v>4</v>
      </c>
      <c r="I127" s="9">
        <v>1</v>
      </c>
      <c r="J127" s="9">
        <v>0.22</v>
      </c>
      <c r="K127" s="9">
        <v>0.2576</v>
      </c>
      <c r="L127" s="9">
        <v>0.44</v>
      </c>
      <c r="M127" s="9">
        <v>8.9599999999999999E-2</v>
      </c>
      <c r="N127" s="9">
        <v>2</v>
      </c>
      <c r="O127" s="9">
        <v>57</v>
      </c>
      <c r="P127" s="10">
        <v>59</v>
      </c>
    </row>
    <row r="128" spans="1:16" x14ac:dyDescent="0.3">
      <c r="A128" s="5">
        <v>127</v>
      </c>
      <c r="B128" s="11">
        <v>40549</v>
      </c>
      <c r="C128" s="6">
        <v>1</v>
      </c>
      <c r="D128" s="6">
        <v>0</v>
      </c>
      <c r="E128" s="6">
        <v>1</v>
      </c>
      <c r="F128" s="6">
        <v>12</v>
      </c>
      <c r="G128" s="6" t="b">
        <v>0</v>
      </c>
      <c r="H128" s="6">
        <v>4</v>
      </c>
      <c r="I128" s="6">
        <v>1</v>
      </c>
      <c r="J128" s="6">
        <v>0.26</v>
      </c>
      <c r="K128" s="6">
        <v>0.28789999999999999</v>
      </c>
      <c r="L128" s="6">
        <v>0.35</v>
      </c>
      <c r="M128" s="6">
        <v>0</v>
      </c>
      <c r="N128" s="6">
        <v>6</v>
      </c>
      <c r="O128" s="6">
        <v>78</v>
      </c>
      <c r="P128" s="7">
        <v>84</v>
      </c>
    </row>
    <row r="129" spans="1:16" x14ac:dyDescent="0.3">
      <c r="A129" s="8">
        <v>128</v>
      </c>
      <c r="B129" s="12">
        <v>40549</v>
      </c>
      <c r="C129" s="9">
        <v>1</v>
      </c>
      <c r="D129" s="9">
        <v>0</v>
      </c>
      <c r="E129" s="9">
        <v>1</v>
      </c>
      <c r="F129" s="9">
        <v>13</v>
      </c>
      <c r="G129" s="9" t="b">
        <v>0</v>
      </c>
      <c r="H129" s="9">
        <v>4</v>
      </c>
      <c r="I129" s="9">
        <v>1</v>
      </c>
      <c r="J129" s="9">
        <v>0.26</v>
      </c>
      <c r="K129" s="9">
        <v>0.2727</v>
      </c>
      <c r="L129" s="9">
        <v>0.35</v>
      </c>
      <c r="M129" s="9">
        <v>0.1045</v>
      </c>
      <c r="N129" s="9">
        <v>12</v>
      </c>
      <c r="O129" s="9">
        <v>55</v>
      </c>
      <c r="P129" s="10">
        <v>67</v>
      </c>
    </row>
    <row r="130" spans="1:16" x14ac:dyDescent="0.3">
      <c r="A130" s="5">
        <v>129</v>
      </c>
      <c r="B130" s="11">
        <v>40549</v>
      </c>
      <c r="C130" s="6">
        <v>1</v>
      </c>
      <c r="D130" s="6">
        <v>0</v>
      </c>
      <c r="E130" s="6">
        <v>1</v>
      </c>
      <c r="F130" s="6">
        <v>14</v>
      </c>
      <c r="G130" s="6" t="b">
        <v>0</v>
      </c>
      <c r="H130" s="6">
        <v>4</v>
      </c>
      <c r="I130" s="6">
        <v>1</v>
      </c>
      <c r="J130" s="6">
        <v>0.28000000000000003</v>
      </c>
      <c r="K130" s="6">
        <v>0.2727</v>
      </c>
      <c r="L130" s="6">
        <v>0.36</v>
      </c>
      <c r="M130" s="6">
        <v>0.16420000000000001</v>
      </c>
      <c r="N130" s="6">
        <v>11</v>
      </c>
      <c r="O130" s="6">
        <v>59</v>
      </c>
      <c r="P130" s="7">
        <v>70</v>
      </c>
    </row>
    <row r="131" spans="1:16" x14ac:dyDescent="0.3">
      <c r="A131" s="8">
        <v>130</v>
      </c>
      <c r="B131" s="12">
        <v>40549</v>
      </c>
      <c r="C131" s="9">
        <v>1</v>
      </c>
      <c r="D131" s="9">
        <v>0</v>
      </c>
      <c r="E131" s="9">
        <v>1</v>
      </c>
      <c r="F131" s="9">
        <v>15</v>
      </c>
      <c r="G131" s="9" t="b">
        <v>0</v>
      </c>
      <c r="H131" s="9">
        <v>4</v>
      </c>
      <c r="I131" s="9">
        <v>1</v>
      </c>
      <c r="J131" s="9">
        <v>0.28000000000000003</v>
      </c>
      <c r="K131" s="9">
        <v>0.2727</v>
      </c>
      <c r="L131" s="9">
        <v>0.36</v>
      </c>
      <c r="M131" s="9">
        <v>0</v>
      </c>
      <c r="N131" s="9">
        <v>8</v>
      </c>
      <c r="O131" s="9">
        <v>54</v>
      </c>
      <c r="P131" s="10">
        <v>62</v>
      </c>
    </row>
    <row r="132" spans="1:16" x14ac:dyDescent="0.3">
      <c r="A132" s="5">
        <v>131</v>
      </c>
      <c r="B132" s="11">
        <v>40549</v>
      </c>
      <c r="C132" s="6">
        <v>1</v>
      </c>
      <c r="D132" s="6">
        <v>0</v>
      </c>
      <c r="E132" s="6">
        <v>1</v>
      </c>
      <c r="F132" s="6">
        <v>16</v>
      </c>
      <c r="G132" s="6" t="b">
        <v>0</v>
      </c>
      <c r="H132" s="6">
        <v>4</v>
      </c>
      <c r="I132" s="6">
        <v>1</v>
      </c>
      <c r="J132" s="6">
        <v>0.26</v>
      </c>
      <c r="K132" s="6">
        <v>0.2576</v>
      </c>
      <c r="L132" s="6">
        <v>0.38</v>
      </c>
      <c r="M132" s="6">
        <v>0.16420000000000001</v>
      </c>
      <c r="N132" s="6">
        <v>12</v>
      </c>
      <c r="O132" s="6">
        <v>74</v>
      </c>
      <c r="P132" s="7">
        <v>86</v>
      </c>
    </row>
    <row r="133" spans="1:16" x14ac:dyDescent="0.3">
      <c r="A133" s="8">
        <v>132</v>
      </c>
      <c r="B133" s="12">
        <v>40549</v>
      </c>
      <c r="C133" s="9">
        <v>1</v>
      </c>
      <c r="D133" s="9">
        <v>0</v>
      </c>
      <c r="E133" s="9">
        <v>1</v>
      </c>
      <c r="F133" s="9">
        <v>17</v>
      </c>
      <c r="G133" s="9" t="b">
        <v>0</v>
      </c>
      <c r="H133" s="9">
        <v>4</v>
      </c>
      <c r="I133" s="9">
        <v>1</v>
      </c>
      <c r="J133" s="9">
        <v>0.22</v>
      </c>
      <c r="K133" s="9">
        <v>0.2273</v>
      </c>
      <c r="L133" s="9">
        <v>0.51</v>
      </c>
      <c r="M133" s="9">
        <v>0.16420000000000001</v>
      </c>
      <c r="N133" s="9">
        <v>9</v>
      </c>
      <c r="O133" s="9">
        <v>163</v>
      </c>
      <c r="P133" s="10">
        <v>172</v>
      </c>
    </row>
    <row r="134" spans="1:16" x14ac:dyDescent="0.3">
      <c r="A134" s="5">
        <v>133</v>
      </c>
      <c r="B134" s="11">
        <v>40549</v>
      </c>
      <c r="C134" s="6">
        <v>1</v>
      </c>
      <c r="D134" s="6">
        <v>0</v>
      </c>
      <c r="E134" s="6">
        <v>1</v>
      </c>
      <c r="F134" s="6">
        <v>18</v>
      </c>
      <c r="G134" s="6" t="b">
        <v>0</v>
      </c>
      <c r="H134" s="6">
        <v>4</v>
      </c>
      <c r="I134" s="6">
        <v>1</v>
      </c>
      <c r="J134" s="6">
        <v>0.22</v>
      </c>
      <c r="K134" s="6">
        <v>0.2273</v>
      </c>
      <c r="L134" s="6">
        <v>0.51</v>
      </c>
      <c r="M134" s="6">
        <v>0.1343</v>
      </c>
      <c r="N134" s="6">
        <v>5</v>
      </c>
      <c r="O134" s="6">
        <v>158</v>
      </c>
      <c r="P134" s="7">
        <v>163</v>
      </c>
    </row>
    <row r="135" spans="1:16" x14ac:dyDescent="0.3">
      <c r="A135" s="8">
        <v>134</v>
      </c>
      <c r="B135" s="12">
        <v>40549</v>
      </c>
      <c r="C135" s="9">
        <v>1</v>
      </c>
      <c r="D135" s="9">
        <v>0</v>
      </c>
      <c r="E135" s="9">
        <v>1</v>
      </c>
      <c r="F135" s="9">
        <v>19</v>
      </c>
      <c r="G135" s="9" t="b">
        <v>0</v>
      </c>
      <c r="H135" s="9">
        <v>4</v>
      </c>
      <c r="I135" s="9">
        <v>1</v>
      </c>
      <c r="J135" s="9">
        <v>0.22</v>
      </c>
      <c r="K135" s="9">
        <v>0.2576</v>
      </c>
      <c r="L135" s="9">
        <v>0.55000000000000004</v>
      </c>
      <c r="M135" s="9">
        <v>8.9599999999999999E-2</v>
      </c>
      <c r="N135" s="9">
        <v>3</v>
      </c>
      <c r="O135" s="9">
        <v>109</v>
      </c>
      <c r="P135" s="10">
        <v>112</v>
      </c>
    </row>
    <row r="136" spans="1:16" x14ac:dyDescent="0.3">
      <c r="A136" s="5">
        <v>135</v>
      </c>
      <c r="B136" s="11">
        <v>40549</v>
      </c>
      <c r="C136" s="6">
        <v>1</v>
      </c>
      <c r="D136" s="6">
        <v>0</v>
      </c>
      <c r="E136" s="6">
        <v>1</v>
      </c>
      <c r="F136" s="6">
        <v>20</v>
      </c>
      <c r="G136" s="6" t="b">
        <v>0</v>
      </c>
      <c r="H136" s="6">
        <v>4</v>
      </c>
      <c r="I136" s="6">
        <v>1</v>
      </c>
      <c r="J136" s="6">
        <v>0.2</v>
      </c>
      <c r="K136" s="6">
        <v>0.21210000000000001</v>
      </c>
      <c r="L136" s="6">
        <v>0.51</v>
      </c>
      <c r="M136" s="6">
        <v>0.16420000000000001</v>
      </c>
      <c r="N136" s="6">
        <v>3</v>
      </c>
      <c r="O136" s="6">
        <v>66</v>
      </c>
      <c r="P136" s="7">
        <v>69</v>
      </c>
    </row>
    <row r="137" spans="1:16" x14ac:dyDescent="0.3">
      <c r="A137" s="8">
        <v>136</v>
      </c>
      <c r="B137" s="12">
        <v>40549</v>
      </c>
      <c r="C137" s="9">
        <v>1</v>
      </c>
      <c r="D137" s="9">
        <v>0</v>
      </c>
      <c r="E137" s="9">
        <v>1</v>
      </c>
      <c r="F137" s="9">
        <v>21</v>
      </c>
      <c r="G137" s="9" t="b">
        <v>0</v>
      </c>
      <c r="H137" s="9">
        <v>4</v>
      </c>
      <c r="I137" s="9">
        <v>2</v>
      </c>
      <c r="J137" s="9">
        <v>0.22</v>
      </c>
      <c r="K137" s="9">
        <v>0.21210000000000001</v>
      </c>
      <c r="L137" s="9">
        <v>0.55000000000000004</v>
      </c>
      <c r="M137" s="9">
        <v>0.22389999999999999</v>
      </c>
      <c r="N137" s="9">
        <v>0</v>
      </c>
      <c r="O137" s="9">
        <v>48</v>
      </c>
      <c r="P137" s="10">
        <v>48</v>
      </c>
    </row>
    <row r="138" spans="1:16" x14ac:dyDescent="0.3">
      <c r="A138" s="5">
        <v>137</v>
      </c>
      <c r="B138" s="11">
        <v>40549</v>
      </c>
      <c r="C138" s="6">
        <v>1</v>
      </c>
      <c r="D138" s="6">
        <v>0</v>
      </c>
      <c r="E138" s="6">
        <v>1</v>
      </c>
      <c r="F138" s="6">
        <v>22</v>
      </c>
      <c r="G138" s="6" t="b">
        <v>0</v>
      </c>
      <c r="H138" s="6">
        <v>4</v>
      </c>
      <c r="I138" s="6">
        <v>2</v>
      </c>
      <c r="J138" s="6">
        <v>0.22</v>
      </c>
      <c r="K138" s="6">
        <v>0.21210000000000001</v>
      </c>
      <c r="L138" s="6">
        <v>0.51</v>
      </c>
      <c r="M138" s="6">
        <v>0.28360000000000002</v>
      </c>
      <c r="N138" s="6">
        <v>1</v>
      </c>
      <c r="O138" s="6">
        <v>51</v>
      </c>
      <c r="P138" s="7">
        <v>52</v>
      </c>
    </row>
    <row r="139" spans="1:16" x14ac:dyDescent="0.3">
      <c r="A139" s="8">
        <v>138</v>
      </c>
      <c r="B139" s="12">
        <v>40549</v>
      </c>
      <c r="C139" s="9">
        <v>1</v>
      </c>
      <c r="D139" s="9">
        <v>0</v>
      </c>
      <c r="E139" s="9">
        <v>1</v>
      </c>
      <c r="F139" s="9">
        <v>23</v>
      </c>
      <c r="G139" s="9" t="b">
        <v>0</v>
      </c>
      <c r="H139" s="9">
        <v>4</v>
      </c>
      <c r="I139" s="9">
        <v>2</v>
      </c>
      <c r="J139" s="9">
        <v>0.2</v>
      </c>
      <c r="K139" s="9">
        <v>0.19700000000000001</v>
      </c>
      <c r="L139" s="9">
        <v>0.59</v>
      </c>
      <c r="M139" s="9">
        <v>0.19400000000000001</v>
      </c>
      <c r="N139" s="9">
        <v>4</v>
      </c>
      <c r="O139" s="9">
        <v>19</v>
      </c>
      <c r="P139" s="10">
        <v>23</v>
      </c>
    </row>
    <row r="140" spans="1:16" x14ac:dyDescent="0.3">
      <c r="A140" s="5">
        <v>139</v>
      </c>
      <c r="B140" s="11">
        <v>40550</v>
      </c>
      <c r="C140" s="6">
        <v>1</v>
      </c>
      <c r="D140" s="6">
        <v>0</v>
      </c>
      <c r="E140" s="6">
        <v>1</v>
      </c>
      <c r="F140" s="6">
        <v>0</v>
      </c>
      <c r="G140" s="6" t="b">
        <v>0</v>
      </c>
      <c r="H140" s="6">
        <v>5</v>
      </c>
      <c r="I140" s="6">
        <v>2</v>
      </c>
      <c r="J140" s="6">
        <v>0.2</v>
      </c>
      <c r="K140" s="6">
        <v>0.19700000000000001</v>
      </c>
      <c r="L140" s="6">
        <v>0.64</v>
      </c>
      <c r="M140" s="6">
        <v>0.19400000000000001</v>
      </c>
      <c r="N140" s="6">
        <v>4</v>
      </c>
      <c r="O140" s="6">
        <v>13</v>
      </c>
      <c r="P140" s="7">
        <v>17</v>
      </c>
    </row>
    <row r="141" spans="1:16" x14ac:dyDescent="0.3">
      <c r="A141" s="8">
        <v>140</v>
      </c>
      <c r="B141" s="12">
        <v>40550</v>
      </c>
      <c r="C141" s="9">
        <v>1</v>
      </c>
      <c r="D141" s="9">
        <v>0</v>
      </c>
      <c r="E141" s="9">
        <v>1</v>
      </c>
      <c r="F141" s="9">
        <v>1</v>
      </c>
      <c r="G141" s="9" t="b">
        <v>0</v>
      </c>
      <c r="H141" s="9">
        <v>5</v>
      </c>
      <c r="I141" s="9">
        <v>2</v>
      </c>
      <c r="J141" s="9">
        <v>0.2</v>
      </c>
      <c r="K141" s="9">
        <v>0.19700000000000001</v>
      </c>
      <c r="L141" s="9">
        <v>0.69</v>
      </c>
      <c r="M141" s="9">
        <v>0.22389999999999999</v>
      </c>
      <c r="N141" s="9">
        <v>2</v>
      </c>
      <c r="O141" s="9">
        <v>5</v>
      </c>
      <c r="P141" s="10">
        <v>7</v>
      </c>
    </row>
    <row r="142" spans="1:16" x14ac:dyDescent="0.3">
      <c r="A142" s="5">
        <v>141</v>
      </c>
      <c r="B142" s="11">
        <v>40550</v>
      </c>
      <c r="C142" s="6">
        <v>1</v>
      </c>
      <c r="D142" s="6">
        <v>0</v>
      </c>
      <c r="E142" s="6">
        <v>1</v>
      </c>
      <c r="F142" s="6">
        <v>2</v>
      </c>
      <c r="G142" s="6" t="b">
        <v>0</v>
      </c>
      <c r="H142" s="6">
        <v>5</v>
      </c>
      <c r="I142" s="6">
        <v>2</v>
      </c>
      <c r="J142" s="6">
        <v>0.2</v>
      </c>
      <c r="K142" s="6">
        <v>0.19700000000000001</v>
      </c>
      <c r="L142" s="6">
        <v>0.69</v>
      </c>
      <c r="M142" s="6">
        <v>0.22389999999999999</v>
      </c>
      <c r="N142" s="6">
        <v>0</v>
      </c>
      <c r="O142" s="6">
        <v>1</v>
      </c>
      <c r="P142" s="7">
        <v>1</v>
      </c>
    </row>
    <row r="143" spans="1:16" x14ac:dyDescent="0.3">
      <c r="A143" s="8">
        <v>142</v>
      </c>
      <c r="B143" s="12">
        <v>40550</v>
      </c>
      <c r="C143" s="9">
        <v>1</v>
      </c>
      <c r="D143" s="9">
        <v>0</v>
      </c>
      <c r="E143" s="9">
        <v>1</v>
      </c>
      <c r="F143" s="9">
        <v>4</v>
      </c>
      <c r="G143" s="9" t="b">
        <v>0</v>
      </c>
      <c r="H143" s="9">
        <v>5</v>
      </c>
      <c r="I143" s="9">
        <v>2</v>
      </c>
      <c r="J143" s="9">
        <v>0.2</v>
      </c>
      <c r="K143" s="9">
        <v>0.21210000000000001</v>
      </c>
      <c r="L143" s="9">
        <v>0.69</v>
      </c>
      <c r="M143" s="9">
        <v>0.1343</v>
      </c>
      <c r="N143" s="9">
        <v>0</v>
      </c>
      <c r="O143" s="9">
        <v>1</v>
      </c>
      <c r="P143" s="10">
        <v>1</v>
      </c>
    </row>
    <row r="144" spans="1:16" x14ac:dyDescent="0.3">
      <c r="A144" s="5">
        <v>143</v>
      </c>
      <c r="B144" s="11">
        <v>40550</v>
      </c>
      <c r="C144" s="6">
        <v>1</v>
      </c>
      <c r="D144" s="6">
        <v>0</v>
      </c>
      <c r="E144" s="6">
        <v>1</v>
      </c>
      <c r="F144" s="6">
        <v>5</v>
      </c>
      <c r="G144" s="6" t="b">
        <v>0</v>
      </c>
      <c r="H144" s="6">
        <v>5</v>
      </c>
      <c r="I144" s="6">
        <v>3</v>
      </c>
      <c r="J144" s="6">
        <v>0.22</v>
      </c>
      <c r="K144" s="6">
        <v>0.2727</v>
      </c>
      <c r="L144" s="6">
        <v>0.55000000000000004</v>
      </c>
      <c r="M144" s="6">
        <v>0</v>
      </c>
      <c r="N144" s="6">
        <v>0</v>
      </c>
      <c r="O144" s="6">
        <v>5</v>
      </c>
      <c r="P144" s="7">
        <v>5</v>
      </c>
    </row>
    <row r="145" spans="1:16" x14ac:dyDescent="0.3">
      <c r="A145" s="8">
        <v>144</v>
      </c>
      <c r="B145" s="12">
        <v>40550</v>
      </c>
      <c r="C145" s="9">
        <v>1</v>
      </c>
      <c r="D145" s="9">
        <v>0</v>
      </c>
      <c r="E145" s="9">
        <v>1</v>
      </c>
      <c r="F145" s="9">
        <v>6</v>
      </c>
      <c r="G145" s="9" t="b">
        <v>0</v>
      </c>
      <c r="H145" s="9">
        <v>5</v>
      </c>
      <c r="I145" s="9">
        <v>2</v>
      </c>
      <c r="J145" s="9">
        <v>0.2</v>
      </c>
      <c r="K145" s="9">
        <v>0.2576</v>
      </c>
      <c r="L145" s="9">
        <v>0.69</v>
      </c>
      <c r="M145" s="9">
        <v>0</v>
      </c>
      <c r="N145" s="9">
        <v>8</v>
      </c>
      <c r="O145" s="9">
        <v>26</v>
      </c>
      <c r="P145" s="10">
        <v>34</v>
      </c>
    </row>
    <row r="146" spans="1:16" x14ac:dyDescent="0.3">
      <c r="A146" s="5">
        <v>145</v>
      </c>
      <c r="B146" s="11">
        <v>40550</v>
      </c>
      <c r="C146" s="6">
        <v>1</v>
      </c>
      <c r="D146" s="6">
        <v>0</v>
      </c>
      <c r="E146" s="6">
        <v>1</v>
      </c>
      <c r="F146" s="6">
        <v>7</v>
      </c>
      <c r="G146" s="6" t="b">
        <v>0</v>
      </c>
      <c r="H146" s="6">
        <v>5</v>
      </c>
      <c r="I146" s="6">
        <v>1</v>
      </c>
      <c r="J146" s="6">
        <v>0.2</v>
      </c>
      <c r="K146" s="6">
        <v>0.21210000000000001</v>
      </c>
      <c r="L146" s="6">
        <v>0.69</v>
      </c>
      <c r="M146" s="6">
        <v>0.1343</v>
      </c>
      <c r="N146" s="6">
        <v>8</v>
      </c>
      <c r="O146" s="6">
        <v>76</v>
      </c>
      <c r="P146" s="7">
        <v>84</v>
      </c>
    </row>
    <row r="147" spans="1:16" x14ac:dyDescent="0.3">
      <c r="A147" s="8">
        <v>146</v>
      </c>
      <c r="B147" s="12">
        <v>40550</v>
      </c>
      <c r="C147" s="9">
        <v>1</v>
      </c>
      <c r="D147" s="9">
        <v>0</v>
      </c>
      <c r="E147" s="9">
        <v>1</v>
      </c>
      <c r="F147" s="9">
        <v>8</v>
      </c>
      <c r="G147" s="9" t="b">
        <v>0</v>
      </c>
      <c r="H147" s="9">
        <v>5</v>
      </c>
      <c r="I147" s="9">
        <v>1</v>
      </c>
      <c r="J147" s="9">
        <v>0.2</v>
      </c>
      <c r="K147" s="9">
        <v>0.19700000000000001</v>
      </c>
      <c r="L147" s="9">
        <v>0.51</v>
      </c>
      <c r="M147" s="9">
        <v>0.25369999999999998</v>
      </c>
      <c r="N147" s="9">
        <v>20</v>
      </c>
      <c r="O147" s="9">
        <v>190</v>
      </c>
      <c r="P147" s="10">
        <v>210</v>
      </c>
    </row>
    <row r="148" spans="1:16" x14ac:dyDescent="0.3">
      <c r="A148" s="5">
        <v>147</v>
      </c>
      <c r="B148" s="11">
        <v>40550</v>
      </c>
      <c r="C148" s="6">
        <v>1</v>
      </c>
      <c r="D148" s="6">
        <v>0</v>
      </c>
      <c r="E148" s="6">
        <v>1</v>
      </c>
      <c r="F148" s="6">
        <v>9</v>
      </c>
      <c r="G148" s="6" t="b">
        <v>0</v>
      </c>
      <c r="H148" s="6">
        <v>5</v>
      </c>
      <c r="I148" s="6">
        <v>1</v>
      </c>
      <c r="J148" s="6">
        <v>0.2</v>
      </c>
      <c r="K148" s="6">
        <v>0.18179999999999999</v>
      </c>
      <c r="L148" s="6">
        <v>0.47</v>
      </c>
      <c r="M148" s="6">
        <v>0.29849999999999999</v>
      </c>
      <c r="N148" s="6">
        <v>9</v>
      </c>
      <c r="O148" s="6">
        <v>125</v>
      </c>
      <c r="P148" s="7">
        <v>134</v>
      </c>
    </row>
    <row r="149" spans="1:16" x14ac:dyDescent="0.3">
      <c r="A149" s="8">
        <v>148</v>
      </c>
      <c r="B149" s="12">
        <v>40550</v>
      </c>
      <c r="C149" s="9">
        <v>1</v>
      </c>
      <c r="D149" s="9">
        <v>0</v>
      </c>
      <c r="E149" s="9">
        <v>1</v>
      </c>
      <c r="F149" s="9">
        <v>10</v>
      </c>
      <c r="G149" s="9" t="b">
        <v>0</v>
      </c>
      <c r="H149" s="9">
        <v>5</v>
      </c>
      <c r="I149" s="9">
        <v>1</v>
      </c>
      <c r="J149" s="9">
        <v>0.22</v>
      </c>
      <c r="K149" s="9">
        <v>0.19700000000000001</v>
      </c>
      <c r="L149" s="9">
        <v>0.37</v>
      </c>
      <c r="M149" s="9">
        <v>0.32840000000000003</v>
      </c>
      <c r="N149" s="9">
        <v>16</v>
      </c>
      <c r="O149" s="9">
        <v>47</v>
      </c>
      <c r="P149" s="10">
        <v>63</v>
      </c>
    </row>
    <row r="150" spans="1:16" x14ac:dyDescent="0.3">
      <c r="A150" s="5">
        <v>149</v>
      </c>
      <c r="B150" s="11">
        <v>40550</v>
      </c>
      <c r="C150" s="6">
        <v>1</v>
      </c>
      <c r="D150" s="6">
        <v>0</v>
      </c>
      <c r="E150" s="6">
        <v>1</v>
      </c>
      <c r="F150" s="6">
        <v>11</v>
      </c>
      <c r="G150" s="6" t="b">
        <v>0</v>
      </c>
      <c r="H150" s="6">
        <v>5</v>
      </c>
      <c r="I150" s="6">
        <v>2</v>
      </c>
      <c r="J150" s="6">
        <v>0.2</v>
      </c>
      <c r="K150" s="6">
        <v>0.19700000000000001</v>
      </c>
      <c r="L150" s="6">
        <v>0.4</v>
      </c>
      <c r="M150" s="6">
        <v>0.22389999999999999</v>
      </c>
      <c r="N150" s="6">
        <v>19</v>
      </c>
      <c r="O150" s="6">
        <v>48</v>
      </c>
      <c r="P150" s="7">
        <v>67</v>
      </c>
    </row>
    <row r="151" spans="1:16" x14ac:dyDescent="0.3">
      <c r="A151" s="8">
        <v>150</v>
      </c>
      <c r="B151" s="12">
        <v>40550</v>
      </c>
      <c r="C151" s="9">
        <v>1</v>
      </c>
      <c r="D151" s="9">
        <v>0</v>
      </c>
      <c r="E151" s="9">
        <v>1</v>
      </c>
      <c r="F151" s="9">
        <v>12</v>
      </c>
      <c r="G151" s="9" t="b">
        <v>0</v>
      </c>
      <c r="H151" s="9">
        <v>5</v>
      </c>
      <c r="I151" s="9">
        <v>2</v>
      </c>
      <c r="J151" s="9">
        <v>0.2</v>
      </c>
      <c r="K151" s="9">
        <v>0.19700000000000001</v>
      </c>
      <c r="L151" s="9">
        <v>0.37</v>
      </c>
      <c r="M151" s="9">
        <v>0.25369999999999998</v>
      </c>
      <c r="N151" s="9">
        <v>9</v>
      </c>
      <c r="O151" s="9">
        <v>50</v>
      </c>
      <c r="P151" s="10">
        <v>59</v>
      </c>
    </row>
    <row r="152" spans="1:16" x14ac:dyDescent="0.3">
      <c r="A152" s="5">
        <v>151</v>
      </c>
      <c r="B152" s="11">
        <v>40550</v>
      </c>
      <c r="C152" s="6">
        <v>1</v>
      </c>
      <c r="D152" s="6">
        <v>0</v>
      </c>
      <c r="E152" s="6">
        <v>1</v>
      </c>
      <c r="F152" s="6">
        <v>13</v>
      </c>
      <c r="G152" s="6" t="b">
        <v>0</v>
      </c>
      <c r="H152" s="6">
        <v>5</v>
      </c>
      <c r="I152" s="6">
        <v>2</v>
      </c>
      <c r="J152" s="6">
        <v>0.2</v>
      </c>
      <c r="K152" s="6">
        <v>0.18179999999999999</v>
      </c>
      <c r="L152" s="6">
        <v>0.37</v>
      </c>
      <c r="M152" s="6">
        <v>0.28360000000000002</v>
      </c>
      <c r="N152" s="6">
        <v>9</v>
      </c>
      <c r="O152" s="6">
        <v>64</v>
      </c>
      <c r="P152" s="7">
        <v>73</v>
      </c>
    </row>
    <row r="153" spans="1:16" x14ac:dyDescent="0.3">
      <c r="A153" s="8">
        <v>152</v>
      </c>
      <c r="B153" s="12">
        <v>40550</v>
      </c>
      <c r="C153" s="9">
        <v>1</v>
      </c>
      <c r="D153" s="9">
        <v>0</v>
      </c>
      <c r="E153" s="9">
        <v>1</v>
      </c>
      <c r="F153" s="9">
        <v>14</v>
      </c>
      <c r="G153" s="9" t="b">
        <v>0</v>
      </c>
      <c r="H153" s="9">
        <v>5</v>
      </c>
      <c r="I153" s="9">
        <v>2</v>
      </c>
      <c r="J153" s="9">
        <v>0.2</v>
      </c>
      <c r="K153" s="9">
        <v>0.19700000000000001</v>
      </c>
      <c r="L153" s="9">
        <v>0.4</v>
      </c>
      <c r="M153" s="9">
        <v>0.25369999999999998</v>
      </c>
      <c r="N153" s="9">
        <v>7</v>
      </c>
      <c r="O153" s="9">
        <v>43</v>
      </c>
      <c r="P153" s="10">
        <v>50</v>
      </c>
    </row>
    <row r="154" spans="1:16" x14ac:dyDescent="0.3">
      <c r="A154" s="5">
        <v>153</v>
      </c>
      <c r="B154" s="11">
        <v>40550</v>
      </c>
      <c r="C154" s="6">
        <v>1</v>
      </c>
      <c r="D154" s="6">
        <v>0</v>
      </c>
      <c r="E154" s="6">
        <v>1</v>
      </c>
      <c r="F154" s="6">
        <v>15</v>
      </c>
      <c r="G154" s="6" t="b">
        <v>0</v>
      </c>
      <c r="H154" s="6">
        <v>5</v>
      </c>
      <c r="I154" s="6">
        <v>2</v>
      </c>
      <c r="J154" s="6">
        <v>0.2</v>
      </c>
      <c r="K154" s="6">
        <v>0.21210000000000001</v>
      </c>
      <c r="L154" s="6">
        <v>0.37</v>
      </c>
      <c r="M154" s="6">
        <v>0.16420000000000001</v>
      </c>
      <c r="N154" s="6">
        <v>9</v>
      </c>
      <c r="O154" s="6">
        <v>63</v>
      </c>
      <c r="P154" s="7">
        <v>72</v>
      </c>
    </row>
    <row r="155" spans="1:16" x14ac:dyDescent="0.3">
      <c r="A155" s="8">
        <v>154</v>
      </c>
      <c r="B155" s="12">
        <v>40550</v>
      </c>
      <c r="C155" s="9">
        <v>1</v>
      </c>
      <c r="D155" s="9">
        <v>0</v>
      </c>
      <c r="E155" s="9">
        <v>1</v>
      </c>
      <c r="F155" s="9">
        <v>16</v>
      </c>
      <c r="G155" s="9" t="b">
        <v>0</v>
      </c>
      <c r="H155" s="9">
        <v>5</v>
      </c>
      <c r="I155" s="9">
        <v>2</v>
      </c>
      <c r="J155" s="9">
        <v>0.2</v>
      </c>
      <c r="K155" s="9">
        <v>0.21210000000000001</v>
      </c>
      <c r="L155" s="9">
        <v>0.37</v>
      </c>
      <c r="M155" s="9">
        <v>0.16420000000000001</v>
      </c>
      <c r="N155" s="9">
        <v>5</v>
      </c>
      <c r="O155" s="9">
        <v>82</v>
      </c>
      <c r="P155" s="10">
        <v>87</v>
      </c>
    </row>
    <row r="156" spans="1:16" x14ac:dyDescent="0.3">
      <c r="A156" s="5">
        <v>155</v>
      </c>
      <c r="B156" s="11">
        <v>40550</v>
      </c>
      <c r="C156" s="6">
        <v>1</v>
      </c>
      <c r="D156" s="6">
        <v>0</v>
      </c>
      <c r="E156" s="6">
        <v>1</v>
      </c>
      <c r="F156" s="6">
        <v>17</v>
      </c>
      <c r="G156" s="6" t="b">
        <v>0</v>
      </c>
      <c r="H156" s="6">
        <v>5</v>
      </c>
      <c r="I156" s="6">
        <v>2</v>
      </c>
      <c r="J156" s="6">
        <v>0.2</v>
      </c>
      <c r="K156" s="6">
        <v>0.2576</v>
      </c>
      <c r="L156" s="6">
        <v>0.37</v>
      </c>
      <c r="M156" s="6">
        <v>0</v>
      </c>
      <c r="N156" s="6">
        <v>9</v>
      </c>
      <c r="O156" s="6">
        <v>178</v>
      </c>
      <c r="P156" s="7">
        <v>187</v>
      </c>
    </row>
    <row r="157" spans="1:16" x14ac:dyDescent="0.3">
      <c r="A157" s="8">
        <v>156</v>
      </c>
      <c r="B157" s="12">
        <v>40550</v>
      </c>
      <c r="C157" s="9">
        <v>1</v>
      </c>
      <c r="D157" s="9">
        <v>0</v>
      </c>
      <c r="E157" s="9">
        <v>1</v>
      </c>
      <c r="F157" s="9">
        <v>18</v>
      </c>
      <c r="G157" s="9" t="b">
        <v>0</v>
      </c>
      <c r="H157" s="9">
        <v>5</v>
      </c>
      <c r="I157" s="9">
        <v>1</v>
      </c>
      <c r="J157" s="9">
        <v>0.2</v>
      </c>
      <c r="K157" s="9">
        <v>0.2273</v>
      </c>
      <c r="L157" s="9">
        <v>0.4</v>
      </c>
      <c r="M157" s="9">
        <v>8.9599999999999999E-2</v>
      </c>
      <c r="N157" s="9">
        <v>7</v>
      </c>
      <c r="O157" s="9">
        <v>116</v>
      </c>
      <c r="P157" s="10">
        <v>123</v>
      </c>
    </row>
    <row r="158" spans="1:16" x14ac:dyDescent="0.3">
      <c r="A158" s="5">
        <v>157</v>
      </c>
      <c r="B158" s="11">
        <v>40550</v>
      </c>
      <c r="C158" s="6">
        <v>1</v>
      </c>
      <c r="D158" s="6">
        <v>0</v>
      </c>
      <c r="E158" s="6">
        <v>1</v>
      </c>
      <c r="F158" s="6">
        <v>19</v>
      </c>
      <c r="G158" s="6" t="b">
        <v>0</v>
      </c>
      <c r="H158" s="6">
        <v>5</v>
      </c>
      <c r="I158" s="6">
        <v>1</v>
      </c>
      <c r="J158" s="6">
        <v>0.16</v>
      </c>
      <c r="K158" s="6">
        <v>0.19700000000000001</v>
      </c>
      <c r="L158" s="6">
        <v>0.55000000000000004</v>
      </c>
      <c r="M158" s="6">
        <v>8.9599999999999999E-2</v>
      </c>
      <c r="N158" s="6">
        <v>3</v>
      </c>
      <c r="O158" s="6">
        <v>92</v>
      </c>
      <c r="P158" s="7">
        <v>95</v>
      </c>
    </row>
    <row r="159" spans="1:16" x14ac:dyDescent="0.3">
      <c r="A159" s="8">
        <v>158</v>
      </c>
      <c r="B159" s="12">
        <v>40550</v>
      </c>
      <c r="C159" s="9">
        <v>1</v>
      </c>
      <c r="D159" s="9">
        <v>0</v>
      </c>
      <c r="E159" s="9">
        <v>1</v>
      </c>
      <c r="F159" s="9">
        <v>20</v>
      </c>
      <c r="G159" s="9" t="b">
        <v>0</v>
      </c>
      <c r="H159" s="9">
        <v>5</v>
      </c>
      <c r="I159" s="9">
        <v>1</v>
      </c>
      <c r="J159" s="9">
        <v>0.18</v>
      </c>
      <c r="K159" s="9">
        <v>0.21210000000000001</v>
      </c>
      <c r="L159" s="9">
        <v>0.47</v>
      </c>
      <c r="M159" s="9">
        <v>0.1045</v>
      </c>
      <c r="N159" s="9">
        <v>1</v>
      </c>
      <c r="O159" s="9">
        <v>50</v>
      </c>
      <c r="P159" s="10">
        <v>51</v>
      </c>
    </row>
    <row r="160" spans="1:16" x14ac:dyDescent="0.3">
      <c r="A160" s="5">
        <v>159</v>
      </c>
      <c r="B160" s="11">
        <v>40550</v>
      </c>
      <c r="C160" s="6">
        <v>1</v>
      </c>
      <c r="D160" s="6">
        <v>0</v>
      </c>
      <c r="E160" s="6">
        <v>1</v>
      </c>
      <c r="F160" s="6">
        <v>21</v>
      </c>
      <c r="G160" s="6" t="b">
        <v>0</v>
      </c>
      <c r="H160" s="6">
        <v>5</v>
      </c>
      <c r="I160" s="6">
        <v>1</v>
      </c>
      <c r="J160" s="6">
        <v>0.18</v>
      </c>
      <c r="K160" s="6">
        <v>0.19700000000000001</v>
      </c>
      <c r="L160" s="6">
        <v>0.47</v>
      </c>
      <c r="M160" s="6">
        <v>0.1343</v>
      </c>
      <c r="N160" s="6">
        <v>0</v>
      </c>
      <c r="O160" s="6">
        <v>39</v>
      </c>
      <c r="P160" s="7">
        <v>39</v>
      </c>
    </row>
    <row r="161" spans="1:16" x14ac:dyDescent="0.3">
      <c r="A161" s="8">
        <v>160</v>
      </c>
      <c r="B161" s="12">
        <v>40550</v>
      </c>
      <c r="C161" s="9">
        <v>1</v>
      </c>
      <c r="D161" s="9">
        <v>0</v>
      </c>
      <c r="E161" s="9">
        <v>1</v>
      </c>
      <c r="F161" s="9">
        <v>22</v>
      </c>
      <c r="G161" s="9" t="b">
        <v>0</v>
      </c>
      <c r="H161" s="9">
        <v>5</v>
      </c>
      <c r="I161" s="9">
        <v>2</v>
      </c>
      <c r="J161" s="9">
        <v>0.18</v>
      </c>
      <c r="K161" s="9">
        <v>0.19700000000000001</v>
      </c>
      <c r="L161" s="9">
        <v>0.43</v>
      </c>
      <c r="M161" s="9">
        <v>0.16420000000000001</v>
      </c>
      <c r="N161" s="9">
        <v>2</v>
      </c>
      <c r="O161" s="9">
        <v>34</v>
      </c>
      <c r="P161" s="10">
        <v>36</v>
      </c>
    </row>
    <row r="162" spans="1:16" x14ac:dyDescent="0.3">
      <c r="A162" s="5">
        <v>161</v>
      </c>
      <c r="B162" s="11">
        <v>40550</v>
      </c>
      <c r="C162" s="6">
        <v>1</v>
      </c>
      <c r="D162" s="6">
        <v>0</v>
      </c>
      <c r="E162" s="6">
        <v>1</v>
      </c>
      <c r="F162" s="6">
        <v>23</v>
      </c>
      <c r="G162" s="6" t="b">
        <v>0</v>
      </c>
      <c r="H162" s="6">
        <v>5</v>
      </c>
      <c r="I162" s="6">
        <v>2</v>
      </c>
      <c r="J162" s="6">
        <v>0.18</v>
      </c>
      <c r="K162" s="6">
        <v>0.19700000000000001</v>
      </c>
      <c r="L162" s="6">
        <v>0.51</v>
      </c>
      <c r="M162" s="6">
        <v>0.16420000000000001</v>
      </c>
      <c r="N162" s="6">
        <v>1</v>
      </c>
      <c r="O162" s="6">
        <v>14</v>
      </c>
      <c r="P162" s="7">
        <v>15</v>
      </c>
    </row>
    <row r="163" spans="1:16" x14ac:dyDescent="0.3">
      <c r="A163" s="8">
        <v>162</v>
      </c>
      <c r="B163" s="12">
        <v>40551</v>
      </c>
      <c r="C163" s="9">
        <v>1</v>
      </c>
      <c r="D163" s="9">
        <v>0</v>
      </c>
      <c r="E163" s="9">
        <v>1</v>
      </c>
      <c r="F163" s="9">
        <v>0</v>
      </c>
      <c r="G163" s="9" t="b">
        <v>0</v>
      </c>
      <c r="H163" s="9">
        <v>6</v>
      </c>
      <c r="I163" s="9">
        <v>2</v>
      </c>
      <c r="J163" s="9">
        <v>0.18</v>
      </c>
      <c r="K163" s="9">
        <v>0.19700000000000001</v>
      </c>
      <c r="L163" s="9">
        <v>0.51</v>
      </c>
      <c r="M163" s="9">
        <v>0.16420000000000001</v>
      </c>
      <c r="N163" s="9">
        <v>1</v>
      </c>
      <c r="O163" s="9">
        <v>24</v>
      </c>
      <c r="P163" s="10">
        <v>25</v>
      </c>
    </row>
    <row r="164" spans="1:16" x14ac:dyDescent="0.3">
      <c r="A164" s="5">
        <v>163</v>
      </c>
      <c r="B164" s="11">
        <v>40551</v>
      </c>
      <c r="C164" s="6">
        <v>1</v>
      </c>
      <c r="D164" s="6">
        <v>0</v>
      </c>
      <c r="E164" s="6">
        <v>1</v>
      </c>
      <c r="F164" s="6">
        <v>1</v>
      </c>
      <c r="G164" s="6" t="b">
        <v>0</v>
      </c>
      <c r="H164" s="6">
        <v>6</v>
      </c>
      <c r="I164" s="6">
        <v>2</v>
      </c>
      <c r="J164" s="6">
        <v>0.18</v>
      </c>
      <c r="K164" s="6">
        <v>0.21210000000000001</v>
      </c>
      <c r="L164" s="6">
        <v>0.55000000000000004</v>
      </c>
      <c r="M164" s="6">
        <v>8.9599999999999999E-2</v>
      </c>
      <c r="N164" s="6">
        <v>1</v>
      </c>
      <c r="O164" s="6">
        <v>15</v>
      </c>
      <c r="P164" s="7">
        <v>16</v>
      </c>
    </row>
    <row r="165" spans="1:16" x14ac:dyDescent="0.3">
      <c r="A165" s="8">
        <v>164</v>
      </c>
      <c r="B165" s="12">
        <v>40551</v>
      </c>
      <c r="C165" s="9">
        <v>1</v>
      </c>
      <c r="D165" s="9">
        <v>0</v>
      </c>
      <c r="E165" s="9">
        <v>1</v>
      </c>
      <c r="F165" s="9">
        <v>2</v>
      </c>
      <c r="G165" s="9" t="b">
        <v>0</v>
      </c>
      <c r="H165" s="9">
        <v>6</v>
      </c>
      <c r="I165" s="9">
        <v>2</v>
      </c>
      <c r="J165" s="9">
        <v>0.18</v>
      </c>
      <c r="K165" s="9">
        <v>0.2424</v>
      </c>
      <c r="L165" s="9">
        <v>0.55000000000000004</v>
      </c>
      <c r="M165" s="9">
        <v>0</v>
      </c>
      <c r="N165" s="9">
        <v>3</v>
      </c>
      <c r="O165" s="9">
        <v>13</v>
      </c>
      <c r="P165" s="10">
        <v>16</v>
      </c>
    </row>
    <row r="166" spans="1:16" x14ac:dyDescent="0.3">
      <c r="A166" s="5">
        <v>165</v>
      </c>
      <c r="B166" s="11">
        <v>40551</v>
      </c>
      <c r="C166" s="6">
        <v>1</v>
      </c>
      <c r="D166" s="6">
        <v>0</v>
      </c>
      <c r="E166" s="6">
        <v>1</v>
      </c>
      <c r="F166" s="6">
        <v>3</v>
      </c>
      <c r="G166" s="6" t="b">
        <v>0</v>
      </c>
      <c r="H166" s="6">
        <v>6</v>
      </c>
      <c r="I166" s="6">
        <v>3</v>
      </c>
      <c r="J166" s="6">
        <v>0.18</v>
      </c>
      <c r="K166" s="6">
        <v>0.19700000000000001</v>
      </c>
      <c r="L166" s="6">
        <v>0.55000000000000004</v>
      </c>
      <c r="M166" s="6">
        <v>0.16420000000000001</v>
      </c>
      <c r="N166" s="6">
        <v>0</v>
      </c>
      <c r="O166" s="6">
        <v>7</v>
      </c>
      <c r="P166" s="7">
        <v>7</v>
      </c>
    </row>
    <row r="167" spans="1:16" x14ac:dyDescent="0.3">
      <c r="A167" s="8">
        <v>166</v>
      </c>
      <c r="B167" s="12">
        <v>40551</v>
      </c>
      <c r="C167" s="9">
        <v>1</v>
      </c>
      <c r="D167" s="9">
        <v>0</v>
      </c>
      <c r="E167" s="9">
        <v>1</v>
      </c>
      <c r="F167" s="9">
        <v>4</v>
      </c>
      <c r="G167" s="9" t="b">
        <v>0</v>
      </c>
      <c r="H167" s="9">
        <v>6</v>
      </c>
      <c r="I167" s="9">
        <v>3</v>
      </c>
      <c r="J167" s="9">
        <v>0.18</v>
      </c>
      <c r="K167" s="9">
        <v>0.19700000000000001</v>
      </c>
      <c r="L167" s="9">
        <v>0.55000000000000004</v>
      </c>
      <c r="M167" s="9">
        <v>0.16420000000000001</v>
      </c>
      <c r="N167" s="9">
        <v>0</v>
      </c>
      <c r="O167" s="9">
        <v>1</v>
      </c>
      <c r="P167" s="10">
        <v>1</v>
      </c>
    </row>
    <row r="168" spans="1:16" x14ac:dyDescent="0.3">
      <c r="A168" s="5">
        <v>167</v>
      </c>
      <c r="B168" s="11">
        <v>40551</v>
      </c>
      <c r="C168" s="6">
        <v>1</v>
      </c>
      <c r="D168" s="6">
        <v>0</v>
      </c>
      <c r="E168" s="6">
        <v>1</v>
      </c>
      <c r="F168" s="6">
        <v>5</v>
      </c>
      <c r="G168" s="6" t="b">
        <v>0</v>
      </c>
      <c r="H168" s="6">
        <v>6</v>
      </c>
      <c r="I168" s="6">
        <v>2</v>
      </c>
      <c r="J168" s="6">
        <v>0.16</v>
      </c>
      <c r="K168" s="6">
        <v>0.16669999999999999</v>
      </c>
      <c r="L168" s="6">
        <v>0.74</v>
      </c>
      <c r="M168" s="6">
        <v>0.16420000000000001</v>
      </c>
      <c r="N168" s="6">
        <v>0</v>
      </c>
      <c r="O168" s="6">
        <v>5</v>
      </c>
      <c r="P168" s="7">
        <v>5</v>
      </c>
    </row>
    <row r="169" spans="1:16" x14ac:dyDescent="0.3">
      <c r="A169" s="8">
        <v>168</v>
      </c>
      <c r="B169" s="12">
        <v>40551</v>
      </c>
      <c r="C169" s="9">
        <v>1</v>
      </c>
      <c r="D169" s="9">
        <v>0</v>
      </c>
      <c r="E169" s="9">
        <v>1</v>
      </c>
      <c r="F169" s="9">
        <v>6</v>
      </c>
      <c r="G169" s="9" t="b">
        <v>0</v>
      </c>
      <c r="H169" s="9">
        <v>6</v>
      </c>
      <c r="I169" s="9">
        <v>2</v>
      </c>
      <c r="J169" s="9">
        <v>0.16</v>
      </c>
      <c r="K169" s="9">
        <v>0.16669999999999999</v>
      </c>
      <c r="L169" s="9">
        <v>0.74</v>
      </c>
      <c r="M169" s="9">
        <v>0.16420000000000001</v>
      </c>
      <c r="N169" s="9">
        <v>0</v>
      </c>
      <c r="O169" s="9">
        <v>2</v>
      </c>
      <c r="P169" s="10">
        <v>2</v>
      </c>
    </row>
    <row r="170" spans="1:16" x14ac:dyDescent="0.3">
      <c r="A170" s="5">
        <v>169</v>
      </c>
      <c r="B170" s="11">
        <v>40551</v>
      </c>
      <c r="C170" s="6">
        <v>1</v>
      </c>
      <c r="D170" s="6">
        <v>0</v>
      </c>
      <c r="E170" s="6">
        <v>1</v>
      </c>
      <c r="F170" s="6">
        <v>7</v>
      </c>
      <c r="G170" s="6" t="b">
        <v>0</v>
      </c>
      <c r="H170" s="6">
        <v>6</v>
      </c>
      <c r="I170" s="6">
        <v>2</v>
      </c>
      <c r="J170" s="6">
        <v>0.16</v>
      </c>
      <c r="K170" s="6">
        <v>0.18179999999999999</v>
      </c>
      <c r="L170" s="6">
        <v>0.74</v>
      </c>
      <c r="M170" s="6">
        <v>0.1045</v>
      </c>
      <c r="N170" s="6">
        <v>1</v>
      </c>
      <c r="O170" s="6">
        <v>8</v>
      </c>
      <c r="P170" s="7">
        <v>9</v>
      </c>
    </row>
    <row r="171" spans="1:16" x14ac:dyDescent="0.3">
      <c r="A171" s="8">
        <v>170</v>
      </c>
      <c r="B171" s="12">
        <v>40551</v>
      </c>
      <c r="C171" s="9">
        <v>1</v>
      </c>
      <c r="D171" s="9">
        <v>0</v>
      </c>
      <c r="E171" s="9">
        <v>1</v>
      </c>
      <c r="F171" s="9">
        <v>8</v>
      </c>
      <c r="G171" s="9" t="b">
        <v>0</v>
      </c>
      <c r="H171" s="9">
        <v>6</v>
      </c>
      <c r="I171" s="9">
        <v>3</v>
      </c>
      <c r="J171" s="9">
        <v>0.16</v>
      </c>
      <c r="K171" s="9">
        <v>0.18179999999999999</v>
      </c>
      <c r="L171" s="9">
        <v>0.93</v>
      </c>
      <c r="M171" s="9">
        <v>0.1045</v>
      </c>
      <c r="N171" s="9">
        <v>0</v>
      </c>
      <c r="O171" s="9">
        <v>15</v>
      </c>
      <c r="P171" s="10">
        <v>15</v>
      </c>
    </row>
    <row r="172" spans="1:16" x14ac:dyDescent="0.3">
      <c r="A172" s="5">
        <v>171</v>
      </c>
      <c r="B172" s="11">
        <v>40551</v>
      </c>
      <c r="C172" s="6">
        <v>1</v>
      </c>
      <c r="D172" s="6">
        <v>0</v>
      </c>
      <c r="E172" s="6">
        <v>1</v>
      </c>
      <c r="F172" s="6">
        <v>9</v>
      </c>
      <c r="G172" s="6" t="b">
        <v>0</v>
      </c>
      <c r="H172" s="6">
        <v>6</v>
      </c>
      <c r="I172" s="6">
        <v>3</v>
      </c>
      <c r="J172" s="6">
        <v>0.16</v>
      </c>
      <c r="K172" s="6">
        <v>0.18179999999999999</v>
      </c>
      <c r="L172" s="6">
        <v>0.93</v>
      </c>
      <c r="M172" s="6">
        <v>0.1045</v>
      </c>
      <c r="N172" s="6">
        <v>0</v>
      </c>
      <c r="O172" s="6">
        <v>20</v>
      </c>
      <c r="P172" s="7">
        <v>20</v>
      </c>
    </row>
    <row r="173" spans="1:16" x14ac:dyDescent="0.3">
      <c r="A173" s="8">
        <v>172</v>
      </c>
      <c r="B173" s="12">
        <v>40551</v>
      </c>
      <c r="C173" s="9">
        <v>1</v>
      </c>
      <c r="D173" s="9">
        <v>0</v>
      </c>
      <c r="E173" s="9">
        <v>1</v>
      </c>
      <c r="F173" s="9">
        <v>10</v>
      </c>
      <c r="G173" s="9" t="b">
        <v>0</v>
      </c>
      <c r="H173" s="9">
        <v>6</v>
      </c>
      <c r="I173" s="9">
        <v>2</v>
      </c>
      <c r="J173" s="9">
        <v>0.18</v>
      </c>
      <c r="K173" s="9">
        <v>0.19700000000000001</v>
      </c>
      <c r="L173" s="9">
        <v>0.8</v>
      </c>
      <c r="M173" s="9">
        <v>0.16420000000000001</v>
      </c>
      <c r="N173" s="9">
        <v>5</v>
      </c>
      <c r="O173" s="9">
        <v>56</v>
      </c>
      <c r="P173" s="10">
        <v>61</v>
      </c>
    </row>
    <row r="174" spans="1:16" x14ac:dyDescent="0.3">
      <c r="A174" s="5">
        <v>173</v>
      </c>
      <c r="B174" s="11">
        <v>40551</v>
      </c>
      <c r="C174" s="6">
        <v>1</v>
      </c>
      <c r="D174" s="6">
        <v>0</v>
      </c>
      <c r="E174" s="6">
        <v>1</v>
      </c>
      <c r="F174" s="6">
        <v>11</v>
      </c>
      <c r="G174" s="6" t="b">
        <v>0</v>
      </c>
      <c r="H174" s="6">
        <v>6</v>
      </c>
      <c r="I174" s="6">
        <v>2</v>
      </c>
      <c r="J174" s="6">
        <v>0.2</v>
      </c>
      <c r="K174" s="6">
        <v>0.18179999999999999</v>
      </c>
      <c r="L174" s="6">
        <v>0.69</v>
      </c>
      <c r="M174" s="6">
        <v>0.3881</v>
      </c>
      <c r="N174" s="6">
        <v>2</v>
      </c>
      <c r="O174" s="6">
        <v>60</v>
      </c>
      <c r="P174" s="7">
        <v>62</v>
      </c>
    </row>
    <row r="175" spans="1:16" x14ac:dyDescent="0.3">
      <c r="A175" s="8">
        <v>174</v>
      </c>
      <c r="B175" s="12">
        <v>40551</v>
      </c>
      <c r="C175" s="9">
        <v>1</v>
      </c>
      <c r="D175" s="9">
        <v>0</v>
      </c>
      <c r="E175" s="9">
        <v>1</v>
      </c>
      <c r="F175" s="9">
        <v>12</v>
      </c>
      <c r="G175" s="9" t="b">
        <v>0</v>
      </c>
      <c r="H175" s="9">
        <v>6</v>
      </c>
      <c r="I175" s="9">
        <v>2</v>
      </c>
      <c r="J175" s="9">
        <v>0.2</v>
      </c>
      <c r="K175" s="9">
        <v>0.18179999999999999</v>
      </c>
      <c r="L175" s="9">
        <v>0.59</v>
      </c>
      <c r="M175" s="9">
        <v>0.35820000000000002</v>
      </c>
      <c r="N175" s="9">
        <v>8</v>
      </c>
      <c r="O175" s="9">
        <v>90</v>
      </c>
      <c r="P175" s="10">
        <v>98</v>
      </c>
    </row>
    <row r="176" spans="1:16" x14ac:dyDescent="0.3">
      <c r="A176" s="5">
        <v>175</v>
      </c>
      <c r="B176" s="11">
        <v>40551</v>
      </c>
      <c r="C176" s="6">
        <v>1</v>
      </c>
      <c r="D176" s="6">
        <v>0</v>
      </c>
      <c r="E176" s="6">
        <v>1</v>
      </c>
      <c r="F176" s="6">
        <v>13</v>
      </c>
      <c r="G176" s="6" t="b">
        <v>0</v>
      </c>
      <c r="H176" s="6">
        <v>6</v>
      </c>
      <c r="I176" s="6">
        <v>1</v>
      </c>
      <c r="J176" s="6">
        <v>0.2</v>
      </c>
      <c r="K176" s="6">
        <v>0.18179999999999999</v>
      </c>
      <c r="L176" s="6">
        <v>0.44</v>
      </c>
      <c r="M176" s="6">
        <v>0.32840000000000003</v>
      </c>
      <c r="N176" s="6">
        <v>7</v>
      </c>
      <c r="O176" s="6">
        <v>95</v>
      </c>
      <c r="P176" s="7">
        <v>102</v>
      </c>
    </row>
    <row r="177" spans="1:16" x14ac:dyDescent="0.3">
      <c r="A177" s="8">
        <v>176</v>
      </c>
      <c r="B177" s="12">
        <v>40551</v>
      </c>
      <c r="C177" s="9">
        <v>1</v>
      </c>
      <c r="D177" s="9">
        <v>0</v>
      </c>
      <c r="E177" s="9">
        <v>1</v>
      </c>
      <c r="F177" s="9">
        <v>14</v>
      </c>
      <c r="G177" s="9" t="b">
        <v>0</v>
      </c>
      <c r="H177" s="9">
        <v>6</v>
      </c>
      <c r="I177" s="9">
        <v>1</v>
      </c>
      <c r="J177" s="9">
        <v>0.2</v>
      </c>
      <c r="K177" s="9">
        <v>0.16669999999999999</v>
      </c>
      <c r="L177" s="9">
        <v>0.32</v>
      </c>
      <c r="M177" s="9">
        <v>0.49249999999999999</v>
      </c>
      <c r="N177" s="9">
        <v>12</v>
      </c>
      <c r="O177" s="9">
        <v>83</v>
      </c>
      <c r="P177" s="10">
        <v>95</v>
      </c>
    </row>
    <row r="178" spans="1:16" x14ac:dyDescent="0.3">
      <c r="A178" s="5">
        <v>177</v>
      </c>
      <c r="B178" s="11">
        <v>40551</v>
      </c>
      <c r="C178" s="6">
        <v>1</v>
      </c>
      <c r="D178" s="6">
        <v>0</v>
      </c>
      <c r="E178" s="6">
        <v>1</v>
      </c>
      <c r="F178" s="6">
        <v>15</v>
      </c>
      <c r="G178" s="6" t="b">
        <v>0</v>
      </c>
      <c r="H178" s="6">
        <v>6</v>
      </c>
      <c r="I178" s="6">
        <v>1</v>
      </c>
      <c r="J178" s="6">
        <v>0.2</v>
      </c>
      <c r="K178" s="6">
        <v>0.16669999999999999</v>
      </c>
      <c r="L178" s="6">
        <v>0.32</v>
      </c>
      <c r="M178" s="6">
        <v>0.44779999999999998</v>
      </c>
      <c r="N178" s="6">
        <v>5</v>
      </c>
      <c r="O178" s="6">
        <v>69</v>
      </c>
      <c r="P178" s="7">
        <v>74</v>
      </c>
    </row>
    <row r="179" spans="1:16" x14ac:dyDescent="0.3">
      <c r="A179" s="8">
        <v>178</v>
      </c>
      <c r="B179" s="12">
        <v>40551</v>
      </c>
      <c r="C179" s="9">
        <v>1</v>
      </c>
      <c r="D179" s="9">
        <v>0</v>
      </c>
      <c r="E179" s="9">
        <v>1</v>
      </c>
      <c r="F179" s="9">
        <v>16</v>
      </c>
      <c r="G179" s="9" t="b">
        <v>0</v>
      </c>
      <c r="H179" s="9">
        <v>6</v>
      </c>
      <c r="I179" s="9">
        <v>1</v>
      </c>
      <c r="J179" s="9">
        <v>0.18</v>
      </c>
      <c r="K179" s="9">
        <v>0.13639999999999999</v>
      </c>
      <c r="L179" s="9">
        <v>0.28999999999999998</v>
      </c>
      <c r="M179" s="9">
        <v>0.44779999999999998</v>
      </c>
      <c r="N179" s="9">
        <v>8</v>
      </c>
      <c r="O179" s="9">
        <v>68</v>
      </c>
      <c r="P179" s="10">
        <v>76</v>
      </c>
    </row>
    <row r="180" spans="1:16" x14ac:dyDescent="0.3">
      <c r="A180" s="5">
        <v>179</v>
      </c>
      <c r="B180" s="11">
        <v>40551</v>
      </c>
      <c r="C180" s="6">
        <v>1</v>
      </c>
      <c r="D180" s="6">
        <v>0</v>
      </c>
      <c r="E180" s="6">
        <v>1</v>
      </c>
      <c r="F180" s="6">
        <v>17</v>
      </c>
      <c r="G180" s="6" t="b">
        <v>0</v>
      </c>
      <c r="H180" s="6">
        <v>6</v>
      </c>
      <c r="I180" s="6">
        <v>1</v>
      </c>
      <c r="J180" s="6">
        <v>0.16</v>
      </c>
      <c r="K180" s="6">
        <v>0.1212</v>
      </c>
      <c r="L180" s="6">
        <v>0.37</v>
      </c>
      <c r="M180" s="6">
        <v>0.55220000000000002</v>
      </c>
      <c r="N180" s="6">
        <v>5</v>
      </c>
      <c r="O180" s="6">
        <v>64</v>
      </c>
      <c r="P180" s="7">
        <v>69</v>
      </c>
    </row>
    <row r="181" spans="1:16" x14ac:dyDescent="0.3">
      <c r="A181" s="8">
        <v>180</v>
      </c>
      <c r="B181" s="12">
        <v>40551</v>
      </c>
      <c r="C181" s="9">
        <v>1</v>
      </c>
      <c r="D181" s="9">
        <v>0</v>
      </c>
      <c r="E181" s="9">
        <v>1</v>
      </c>
      <c r="F181" s="9">
        <v>18</v>
      </c>
      <c r="G181" s="9" t="b">
        <v>0</v>
      </c>
      <c r="H181" s="9">
        <v>6</v>
      </c>
      <c r="I181" s="9">
        <v>1</v>
      </c>
      <c r="J181" s="9">
        <v>0.14000000000000001</v>
      </c>
      <c r="K181" s="9">
        <v>0.1212</v>
      </c>
      <c r="L181" s="9">
        <v>0.39</v>
      </c>
      <c r="M181" s="9">
        <v>0.29849999999999999</v>
      </c>
      <c r="N181" s="9">
        <v>3</v>
      </c>
      <c r="O181" s="9">
        <v>52</v>
      </c>
      <c r="P181" s="10">
        <v>55</v>
      </c>
    </row>
    <row r="182" spans="1:16" x14ac:dyDescent="0.3">
      <c r="A182" s="5">
        <v>181</v>
      </c>
      <c r="B182" s="11">
        <v>40551</v>
      </c>
      <c r="C182" s="6">
        <v>1</v>
      </c>
      <c r="D182" s="6">
        <v>0</v>
      </c>
      <c r="E182" s="6">
        <v>1</v>
      </c>
      <c r="F182" s="6">
        <v>19</v>
      </c>
      <c r="G182" s="6" t="b">
        <v>0</v>
      </c>
      <c r="H182" s="6">
        <v>6</v>
      </c>
      <c r="I182" s="6">
        <v>1</v>
      </c>
      <c r="J182" s="6">
        <v>0.14000000000000001</v>
      </c>
      <c r="K182" s="6">
        <v>0.1212</v>
      </c>
      <c r="L182" s="6">
        <v>0.36</v>
      </c>
      <c r="M182" s="6">
        <v>0.25369999999999998</v>
      </c>
      <c r="N182" s="6">
        <v>4</v>
      </c>
      <c r="O182" s="6">
        <v>26</v>
      </c>
      <c r="P182" s="7">
        <v>30</v>
      </c>
    </row>
    <row r="183" spans="1:16" x14ac:dyDescent="0.3">
      <c r="A183" s="8">
        <v>182</v>
      </c>
      <c r="B183" s="12">
        <v>40551</v>
      </c>
      <c r="C183" s="9">
        <v>1</v>
      </c>
      <c r="D183" s="9">
        <v>0</v>
      </c>
      <c r="E183" s="9">
        <v>1</v>
      </c>
      <c r="F183" s="9">
        <v>20</v>
      </c>
      <c r="G183" s="9" t="b">
        <v>0</v>
      </c>
      <c r="H183" s="9">
        <v>6</v>
      </c>
      <c r="I183" s="9">
        <v>1</v>
      </c>
      <c r="J183" s="9">
        <v>0.12</v>
      </c>
      <c r="K183" s="9">
        <v>0.1212</v>
      </c>
      <c r="L183" s="9">
        <v>0.36</v>
      </c>
      <c r="M183" s="9">
        <v>0.25369999999999998</v>
      </c>
      <c r="N183" s="9">
        <v>0</v>
      </c>
      <c r="O183" s="9">
        <v>28</v>
      </c>
      <c r="P183" s="10">
        <v>28</v>
      </c>
    </row>
    <row r="184" spans="1:16" x14ac:dyDescent="0.3">
      <c r="A184" s="5">
        <v>183</v>
      </c>
      <c r="B184" s="11">
        <v>40551</v>
      </c>
      <c r="C184" s="6">
        <v>1</v>
      </c>
      <c r="D184" s="6">
        <v>0</v>
      </c>
      <c r="E184" s="6">
        <v>1</v>
      </c>
      <c r="F184" s="6">
        <v>21</v>
      </c>
      <c r="G184" s="6" t="b">
        <v>0</v>
      </c>
      <c r="H184" s="6">
        <v>6</v>
      </c>
      <c r="I184" s="6">
        <v>1</v>
      </c>
      <c r="J184" s="6">
        <v>0.12</v>
      </c>
      <c r="K184" s="6">
        <v>0.1061</v>
      </c>
      <c r="L184" s="6">
        <v>0.39</v>
      </c>
      <c r="M184" s="6">
        <v>0.35820000000000002</v>
      </c>
      <c r="N184" s="6">
        <v>2</v>
      </c>
      <c r="O184" s="6">
        <v>35</v>
      </c>
      <c r="P184" s="7">
        <v>37</v>
      </c>
    </row>
    <row r="185" spans="1:16" x14ac:dyDescent="0.3">
      <c r="A185" s="8">
        <v>184</v>
      </c>
      <c r="B185" s="12">
        <v>40551</v>
      </c>
      <c r="C185" s="9">
        <v>1</v>
      </c>
      <c r="D185" s="9">
        <v>0</v>
      </c>
      <c r="E185" s="9">
        <v>1</v>
      </c>
      <c r="F185" s="9">
        <v>22</v>
      </c>
      <c r="G185" s="9" t="b">
        <v>0</v>
      </c>
      <c r="H185" s="9">
        <v>6</v>
      </c>
      <c r="I185" s="9">
        <v>1</v>
      </c>
      <c r="J185" s="9">
        <v>0.12</v>
      </c>
      <c r="K185" s="9">
        <v>0.1061</v>
      </c>
      <c r="L185" s="9">
        <v>0.36</v>
      </c>
      <c r="M185" s="9">
        <v>0.3881</v>
      </c>
      <c r="N185" s="9">
        <v>1</v>
      </c>
      <c r="O185" s="9">
        <v>33</v>
      </c>
      <c r="P185" s="10">
        <v>34</v>
      </c>
    </row>
    <row r="186" spans="1:16" x14ac:dyDescent="0.3">
      <c r="A186" s="5">
        <v>185</v>
      </c>
      <c r="B186" s="11">
        <v>40551</v>
      </c>
      <c r="C186" s="6">
        <v>1</v>
      </c>
      <c r="D186" s="6">
        <v>0</v>
      </c>
      <c r="E186" s="6">
        <v>1</v>
      </c>
      <c r="F186" s="6">
        <v>23</v>
      </c>
      <c r="G186" s="6" t="b">
        <v>0</v>
      </c>
      <c r="H186" s="6">
        <v>6</v>
      </c>
      <c r="I186" s="6">
        <v>1</v>
      </c>
      <c r="J186" s="6">
        <v>0.1</v>
      </c>
      <c r="K186" s="6">
        <v>6.0600000000000001E-2</v>
      </c>
      <c r="L186" s="6">
        <v>0.39</v>
      </c>
      <c r="M186" s="6">
        <v>0.44779999999999998</v>
      </c>
      <c r="N186" s="6">
        <v>0</v>
      </c>
      <c r="O186" s="6">
        <v>22</v>
      </c>
      <c r="P186" s="7">
        <v>22</v>
      </c>
    </row>
    <row r="187" spans="1:16" x14ac:dyDescent="0.3">
      <c r="A187" s="8">
        <v>186</v>
      </c>
      <c r="B187" s="12">
        <v>40552</v>
      </c>
      <c r="C187" s="9">
        <v>1</v>
      </c>
      <c r="D187" s="9">
        <v>0</v>
      </c>
      <c r="E187" s="9">
        <v>1</v>
      </c>
      <c r="F187" s="9">
        <v>0</v>
      </c>
      <c r="G187" s="9" t="b">
        <v>0</v>
      </c>
      <c r="H187" s="9">
        <v>0</v>
      </c>
      <c r="I187" s="9">
        <v>1</v>
      </c>
      <c r="J187" s="9">
        <v>0.1</v>
      </c>
      <c r="K187" s="9">
        <v>7.5800000000000006E-2</v>
      </c>
      <c r="L187" s="9">
        <v>0.42</v>
      </c>
      <c r="M187" s="9">
        <v>0.3881</v>
      </c>
      <c r="N187" s="9">
        <v>1</v>
      </c>
      <c r="O187" s="9">
        <v>24</v>
      </c>
      <c r="P187" s="10">
        <v>25</v>
      </c>
    </row>
    <row r="188" spans="1:16" x14ac:dyDescent="0.3">
      <c r="A188" s="5">
        <v>187</v>
      </c>
      <c r="B188" s="11">
        <v>40552</v>
      </c>
      <c r="C188" s="6">
        <v>1</v>
      </c>
      <c r="D188" s="6">
        <v>0</v>
      </c>
      <c r="E188" s="6">
        <v>1</v>
      </c>
      <c r="F188" s="6">
        <v>1</v>
      </c>
      <c r="G188" s="6" t="b">
        <v>0</v>
      </c>
      <c r="H188" s="6">
        <v>0</v>
      </c>
      <c r="I188" s="6">
        <v>1</v>
      </c>
      <c r="J188" s="6">
        <v>0.1</v>
      </c>
      <c r="K188" s="6">
        <v>6.0600000000000001E-2</v>
      </c>
      <c r="L188" s="6">
        <v>0.42</v>
      </c>
      <c r="M188" s="6">
        <v>0.4627</v>
      </c>
      <c r="N188" s="6">
        <v>0</v>
      </c>
      <c r="O188" s="6">
        <v>12</v>
      </c>
      <c r="P188" s="7">
        <v>12</v>
      </c>
    </row>
    <row r="189" spans="1:16" x14ac:dyDescent="0.3">
      <c r="A189" s="8">
        <v>188</v>
      </c>
      <c r="B189" s="12">
        <v>40552</v>
      </c>
      <c r="C189" s="9">
        <v>1</v>
      </c>
      <c r="D189" s="9">
        <v>0</v>
      </c>
      <c r="E189" s="9">
        <v>1</v>
      </c>
      <c r="F189" s="9">
        <v>2</v>
      </c>
      <c r="G189" s="9" t="b">
        <v>0</v>
      </c>
      <c r="H189" s="9">
        <v>0</v>
      </c>
      <c r="I189" s="9">
        <v>1</v>
      </c>
      <c r="J189" s="9">
        <v>0.1</v>
      </c>
      <c r="K189" s="9">
        <v>6.0600000000000001E-2</v>
      </c>
      <c r="L189" s="9">
        <v>0.46</v>
      </c>
      <c r="M189" s="9">
        <v>0.4627</v>
      </c>
      <c r="N189" s="9">
        <v>0</v>
      </c>
      <c r="O189" s="9">
        <v>11</v>
      </c>
      <c r="P189" s="10">
        <v>11</v>
      </c>
    </row>
    <row r="190" spans="1:16" x14ac:dyDescent="0.3">
      <c r="A190" s="5">
        <v>189</v>
      </c>
      <c r="B190" s="11">
        <v>40552</v>
      </c>
      <c r="C190" s="6">
        <v>1</v>
      </c>
      <c r="D190" s="6">
        <v>0</v>
      </c>
      <c r="E190" s="6">
        <v>1</v>
      </c>
      <c r="F190" s="6">
        <v>3</v>
      </c>
      <c r="G190" s="6" t="b">
        <v>0</v>
      </c>
      <c r="H190" s="6">
        <v>0</v>
      </c>
      <c r="I190" s="6">
        <v>1</v>
      </c>
      <c r="J190" s="6">
        <v>0.1</v>
      </c>
      <c r="K190" s="6">
        <v>7.5800000000000006E-2</v>
      </c>
      <c r="L190" s="6">
        <v>0.46</v>
      </c>
      <c r="M190" s="6">
        <v>0.41789999999999999</v>
      </c>
      <c r="N190" s="6">
        <v>0</v>
      </c>
      <c r="O190" s="6">
        <v>4</v>
      </c>
      <c r="P190" s="7">
        <v>4</v>
      </c>
    </row>
    <row r="191" spans="1:16" x14ac:dyDescent="0.3">
      <c r="A191" s="8">
        <v>190</v>
      </c>
      <c r="B191" s="12">
        <v>40552</v>
      </c>
      <c r="C191" s="9">
        <v>1</v>
      </c>
      <c r="D191" s="9">
        <v>0</v>
      </c>
      <c r="E191" s="9">
        <v>1</v>
      </c>
      <c r="F191" s="9">
        <v>4</v>
      </c>
      <c r="G191" s="9" t="b">
        <v>0</v>
      </c>
      <c r="H191" s="9">
        <v>0</v>
      </c>
      <c r="I191" s="9">
        <v>1</v>
      </c>
      <c r="J191" s="9">
        <v>0.08</v>
      </c>
      <c r="K191" s="9">
        <v>9.0899999999999995E-2</v>
      </c>
      <c r="L191" s="9">
        <v>0.53</v>
      </c>
      <c r="M191" s="9">
        <v>0.19400000000000001</v>
      </c>
      <c r="N191" s="9">
        <v>0</v>
      </c>
      <c r="O191" s="9">
        <v>1</v>
      </c>
      <c r="P191" s="10">
        <v>1</v>
      </c>
    </row>
    <row r="192" spans="1:16" x14ac:dyDescent="0.3">
      <c r="A192" s="5">
        <v>191</v>
      </c>
      <c r="B192" s="11">
        <v>40552</v>
      </c>
      <c r="C192" s="6">
        <v>1</v>
      </c>
      <c r="D192" s="6">
        <v>0</v>
      </c>
      <c r="E192" s="6">
        <v>1</v>
      </c>
      <c r="F192" s="6">
        <v>5</v>
      </c>
      <c r="G192" s="6" t="b">
        <v>0</v>
      </c>
      <c r="H192" s="6">
        <v>0</v>
      </c>
      <c r="I192" s="6">
        <v>1</v>
      </c>
      <c r="J192" s="6">
        <v>0.08</v>
      </c>
      <c r="K192" s="6">
        <v>9.0899999999999995E-2</v>
      </c>
      <c r="L192" s="6">
        <v>0.53</v>
      </c>
      <c r="M192" s="6">
        <v>0.19400000000000001</v>
      </c>
      <c r="N192" s="6">
        <v>0</v>
      </c>
      <c r="O192" s="6">
        <v>1</v>
      </c>
      <c r="P192" s="7">
        <v>1</v>
      </c>
    </row>
    <row r="193" spans="1:16" x14ac:dyDescent="0.3">
      <c r="A193" s="8">
        <v>192</v>
      </c>
      <c r="B193" s="12">
        <v>40552</v>
      </c>
      <c r="C193" s="9">
        <v>1</v>
      </c>
      <c r="D193" s="9">
        <v>0</v>
      </c>
      <c r="E193" s="9">
        <v>1</v>
      </c>
      <c r="F193" s="9">
        <v>6</v>
      </c>
      <c r="G193" s="9" t="b">
        <v>0</v>
      </c>
      <c r="H193" s="9">
        <v>0</v>
      </c>
      <c r="I193" s="9">
        <v>1</v>
      </c>
      <c r="J193" s="9">
        <v>0.1</v>
      </c>
      <c r="K193" s="9">
        <v>9.0899999999999995E-2</v>
      </c>
      <c r="L193" s="9">
        <v>0.49</v>
      </c>
      <c r="M193" s="9">
        <v>0.28360000000000002</v>
      </c>
      <c r="N193" s="9">
        <v>0</v>
      </c>
      <c r="O193" s="9">
        <v>1</v>
      </c>
      <c r="P193" s="10">
        <v>1</v>
      </c>
    </row>
    <row r="194" spans="1:16" x14ac:dyDescent="0.3">
      <c r="A194" s="5">
        <v>193</v>
      </c>
      <c r="B194" s="11">
        <v>40552</v>
      </c>
      <c r="C194" s="6">
        <v>1</v>
      </c>
      <c r="D194" s="6">
        <v>0</v>
      </c>
      <c r="E194" s="6">
        <v>1</v>
      </c>
      <c r="F194" s="6">
        <v>7</v>
      </c>
      <c r="G194" s="6" t="b">
        <v>0</v>
      </c>
      <c r="H194" s="6">
        <v>0</v>
      </c>
      <c r="I194" s="6">
        <v>1</v>
      </c>
      <c r="J194" s="6">
        <v>0.08</v>
      </c>
      <c r="K194" s="6">
        <v>9.0899999999999995E-2</v>
      </c>
      <c r="L194" s="6">
        <v>0.53</v>
      </c>
      <c r="M194" s="6">
        <v>0.19400000000000001</v>
      </c>
      <c r="N194" s="6">
        <v>1</v>
      </c>
      <c r="O194" s="6">
        <v>5</v>
      </c>
      <c r="P194" s="7">
        <v>6</v>
      </c>
    </row>
    <row r="195" spans="1:16" x14ac:dyDescent="0.3">
      <c r="A195" s="8">
        <v>194</v>
      </c>
      <c r="B195" s="12">
        <v>40552</v>
      </c>
      <c r="C195" s="9">
        <v>1</v>
      </c>
      <c r="D195" s="9">
        <v>0</v>
      </c>
      <c r="E195" s="9">
        <v>1</v>
      </c>
      <c r="F195" s="9">
        <v>8</v>
      </c>
      <c r="G195" s="9" t="b">
        <v>0</v>
      </c>
      <c r="H195" s="9">
        <v>0</v>
      </c>
      <c r="I195" s="9">
        <v>1</v>
      </c>
      <c r="J195" s="9">
        <v>0.1</v>
      </c>
      <c r="K195" s="9">
        <v>9.0899999999999995E-2</v>
      </c>
      <c r="L195" s="9">
        <v>0.49</v>
      </c>
      <c r="M195" s="9">
        <v>0.28360000000000002</v>
      </c>
      <c r="N195" s="9">
        <v>0</v>
      </c>
      <c r="O195" s="9">
        <v>10</v>
      </c>
      <c r="P195" s="10">
        <v>10</v>
      </c>
    </row>
    <row r="196" spans="1:16" x14ac:dyDescent="0.3">
      <c r="A196" s="5">
        <v>195</v>
      </c>
      <c r="B196" s="11">
        <v>40552</v>
      </c>
      <c r="C196" s="6">
        <v>1</v>
      </c>
      <c r="D196" s="6">
        <v>0</v>
      </c>
      <c r="E196" s="6">
        <v>1</v>
      </c>
      <c r="F196" s="6">
        <v>9</v>
      </c>
      <c r="G196" s="6" t="b">
        <v>0</v>
      </c>
      <c r="H196" s="6">
        <v>0</v>
      </c>
      <c r="I196" s="6">
        <v>1</v>
      </c>
      <c r="J196" s="6">
        <v>0.12</v>
      </c>
      <c r="K196" s="6">
        <v>7.5800000000000006E-2</v>
      </c>
      <c r="L196" s="6">
        <v>0.46</v>
      </c>
      <c r="M196" s="6">
        <v>0.52239999999999998</v>
      </c>
      <c r="N196" s="6">
        <v>0</v>
      </c>
      <c r="O196" s="6">
        <v>19</v>
      </c>
      <c r="P196" s="7">
        <v>19</v>
      </c>
    </row>
    <row r="197" spans="1:16" x14ac:dyDescent="0.3">
      <c r="A197" s="8">
        <v>196</v>
      </c>
      <c r="B197" s="12">
        <v>40552</v>
      </c>
      <c r="C197" s="9">
        <v>1</v>
      </c>
      <c r="D197" s="9">
        <v>0</v>
      </c>
      <c r="E197" s="9">
        <v>1</v>
      </c>
      <c r="F197" s="9">
        <v>10</v>
      </c>
      <c r="G197" s="9" t="b">
        <v>0</v>
      </c>
      <c r="H197" s="9">
        <v>0</v>
      </c>
      <c r="I197" s="9">
        <v>1</v>
      </c>
      <c r="J197" s="9">
        <v>0.14000000000000001</v>
      </c>
      <c r="K197" s="9">
        <v>0.1061</v>
      </c>
      <c r="L197" s="9">
        <v>0.43</v>
      </c>
      <c r="M197" s="9">
        <v>0.3881</v>
      </c>
      <c r="N197" s="9">
        <v>0</v>
      </c>
      <c r="O197" s="9">
        <v>49</v>
      </c>
      <c r="P197" s="10">
        <v>49</v>
      </c>
    </row>
    <row r="198" spans="1:16" x14ac:dyDescent="0.3">
      <c r="A198" s="5">
        <v>197</v>
      </c>
      <c r="B198" s="11">
        <v>40552</v>
      </c>
      <c r="C198" s="6">
        <v>1</v>
      </c>
      <c r="D198" s="6">
        <v>0</v>
      </c>
      <c r="E198" s="6">
        <v>1</v>
      </c>
      <c r="F198" s="6">
        <v>11</v>
      </c>
      <c r="G198" s="6" t="b">
        <v>0</v>
      </c>
      <c r="H198" s="6">
        <v>0</v>
      </c>
      <c r="I198" s="6">
        <v>1</v>
      </c>
      <c r="J198" s="6">
        <v>0.16</v>
      </c>
      <c r="K198" s="6">
        <v>0.1212</v>
      </c>
      <c r="L198" s="6">
        <v>0.4</v>
      </c>
      <c r="M198" s="6">
        <v>0.52239999999999998</v>
      </c>
      <c r="N198" s="6">
        <v>2</v>
      </c>
      <c r="O198" s="6">
        <v>47</v>
      </c>
      <c r="P198" s="7">
        <v>49</v>
      </c>
    </row>
    <row r="199" spans="1:16" x14ac:dyDescent="0.3">
      <c r="A199" s="8">
        <v>198</v>
      </c>
      <c r="B199" s="12">
        <v>40552</v>
      </c>
      <c r="C199" s="9">
        <v>1</v>
      </c>
      <c r="D199" s="9">
        <v>0</v>
      </c>
      <c r="E199" s="9">
        <v>1</v>
      </c>
      <c r="F199" s="9">
        <v>12</v>
      </c>
      <c r="G199" s="9" t="b">
        <v>0</v>
      </c>
      <c r="H199" s="9">
        <v>0</v>
      </c>
      <c r="I199" s="9">
        <v>1</v>
      </c>
      <c r="J199" s="9">
        <v>0.18</v>
      </c>
      <c r="K199" s="9">
        <v>0.13639999999999999</v>
      </c>
      <c r="L199" s="9">
        <v>0.37</v>
      </c>
      <c r="M199" s="9">
        <v>0.44779999999999998</v>
      </c>
      <c r="N199" s="9">
        <v>4</v>
      </c>
      <c r="O199" s="9">
        <v>79</v>
      </c>
      <c r="P199" s="10">
        <v>83</v>
      </c>
    </row>
    <row r="200" spans="1:16" x14ac:dyDescent="0.3">
      <c r="A200" s="5">
        <v>199</v>
      </c>
      <c r="B200" s="11">
        <v>40552</v>
      </c>
      <c r="C200" s="6">
        <v>1</v>
      </c>
      <c r="D200" s="6">
        <v>0</v>
      </c>
      <c r="E200" s="6">
        <v>1</v>
      </c>
      <c r="F200" s="6">
        <v>13</v>
      </c>
      <c r="G200" s="6" t="b">
        <v>0</v>
      </c>
      <c r="H200" s="6">
        <v>0</v>
      </c>
      <c r="I200" s="6">
        <v>1</v>
      </c>
      <c r="J200" s="6">
        <v>0.2</v>
      </c>
      <c r="K200" s="6">
        <v>0.16669999999999999</v>
      </c>
      <c r="L200" s="6">
        <v>0.34</v>
      </c>
      <c r="M200" s="6">
        <v>0.44779999999999998</v>
      </c>
      <c r="N200" s="6">
        <v>6</v>
      </c>
      <c r="O200" s="6">
        <v>69</v>
      </c>
      <c r="P200" s="7">
        <v>75</v>
      </c>
    </row>
    <row r="201" spans="1:16" x14ac:dyDescent="0.3">
      <c r="A201" s="8">
        <v>200</v>
      </c>
      <c r="B201" s="12">
        <v>40552</v>
      </c>
      <c r="C201" s="9">
        <v>1</v>
      </c>
      <c r="D201" s="9">
        <v>0</v>
      </c>
      <c r="E201" s="9">
        <v>1</v>
      </c>
      <c r="F201" s="9">
        <v>14</v>
      </c>
      <c r="G201" s="9" t="b">
        <v>0</v>
      </c>
      <c r="H201" s="9">
        <v>0</v>
      </c>
      <c r="I201" s="9">
        <v>1</v>
      </c>
      <c r="J201" s="9">
        <v>0.22</v>
      </c>
      <c r="K201" s="9">
        <v>0.18179999999999999</v>
      </c>
      <c r="L201" s="9">
        <v>0.32</v>
      </c>
      <c r="M201" s="9">
        <v>0.4627</v>
      </c>
      <c r="N201" s="9">
        <v>8</v>
      </c>
      <c r="O201" s="9">
        <v>64</v>
      </c>
      <c r="P201" s="10">
        <v>72</v>
      </c>
    </row>
    <row r="202" spans="1:16" x14ac:dyDescent="0.3">
      <c r="A202" s="5">
        <v>201</v>
      </c>
      <c r="B202" s="11">
        <v>40552</v>
      </c>
      <c r="C202" s="6">
        <v>1</v>
      </c>
      <c r="D202" s="6">
        <v>0</v>
      </c>
      <c r="E202" s="6">
        <v>1</v>
      </c>
      <c r="F202" s="6">
        <v>15</v>
      </c>
      <c r="G202" s="6" t="b">
        <v>0</v>
      </c>
      <c r="H202" s="6">
        <v>0</v>
      </c>
      <c r="I202" s="6">
        <v>1</v>
      </c>
      <c r="J202" s="6">
        <v>0.22</v>
      </c>
      <c r="K202" s="6">
        <v>0.19700000000000001</v>
      </c>
      <c r="L202" s="6">
        <v>0.35</v>
      </c>
      <c r="M202" s="6">
        <v>0.35820000000000002</v>
      </c>
      <c r="N202" s="6">
        <v>5</v>
      </c>
      <c r="O202" s="6">
        <v>77</v>
      </c>
      <c r="P202" s="7">
        <v>82</v>
      </c>
    </row>
    <row r="203" spans="1:16" x14ac:dyDescent="0.3">
      <c r="A203" s="8">
        <v>202</v>
      </c>
      <c r="B203" s="12">
        <v>40552</v>
      </c>
      <c r="C203" s="9">
        <v>1</v>
      </c>
      <c r="D203" s="9">
        <v>0</v>
      </c>
      <c r="E203" s="9">
        <v>1</v>
      </c>
      <c r="F203" s="9">
        <v>16</v>
      </c>
      <c r="G203" s="9" t="b">
        <v>0</v>
      </c>
      <c r="H203" s="9">
        <v>0</v>
      </c>
      <c r="I203" s="9">
        <v>1</v>
      </c>
      <c r="J203" s="9">
        <v>0.2</v>
      </c>
      <c r="K203" s="9">
        <v>0.16669999999999999</v>
      </c>
      <c r="L203" s="9">
        <v>0.34</v>
      </c>
      <c r="M203" s="9">
        <v>0.44779999999999998</v>
      </c>
      <c r="N203" s="9">
        <v>13</v>
      </c>
      <c r="O203" s="9">
        <v>79</v>
      </c>
      <c r="P203" s="10">
        <v>92</v>
      </c>
    </row>
    <row r="204" spans="1:16" x14ac:dyDescent="0.3">
      <c r="A204" s="5">
        <v>203</v>
      </c>
      <c r="B204" s="11">
        <v>40552</v>
      </c>
      <c r="C204" s="6">
        <v>1</v>
      </c>
      <c r="D204" s="6">
        <v>0</v>
      </c>
      <c r="E204" s="6">
        <v>1</v>
      </c>
      <c r="F204" s="6">
        <v>17</v>
      </c>
      <c r="G204" s="6" t="b">
        <v>0</v>
      </c>
      <c r="H204" s="6">
        <v>0</v>
      </c>
      <c r="I204" s="6">
        <v>1</v>
      </c>
      <c r="J204" s="6">
        <v>0.18</v>
      </c>
      <c r="K204" s="6">
        <v>0.1515</v>
      </c>
      <c r="L204" s="6">
        <v>0.37</v>
      </c>
      <c r="M204" s="6">
        <v>0.3881</v>
      </c>
      <c r="N204" s="6">
        <v>3</v>
      </c>
      <c r="O204" s="6">
        <v>59</v>
      </c>
      <c r="P204" s="7">
        <v>62</v>
      </c>
    </row>
    <row r="205" spans="1:16" x14ac:dyDescent="0.3">
      <c r="A205" s="8">
        <v>204</v>
      </c>
      <c r="B205" s="12">
        <v>40552</v>
      </c>
      <c r="C205" s="9">
        <v>1</v>
      </c>
      <c r="D205" s="9">
        <v>0</v>
      </c>
      <c r="E205" s="9">
        <v>1</v>
      </c>
      <c r="F205" s="9">
        <v>18</v>
      </c>
      <c r="G205" s="9" t="b">
        <v>0</v>
      </c>
      <c r="H205" s="9">
        <v>0</v>
      </c>
      <c r="I205" s="9">
        <v>1</v>
      </c>
      <c r="J205" s="9">
        <v>0.16</v>
      </c>
      <c r="K205" s="9">
        <v>0.13639999999999999</v>
      </c>
      <c r="L205" s="9">
        <v>0.4</v>
      </c>
      <c r="M205" s="9">
        <v>0.32840000000000003</v>
      </c>
      <c r="N205" s="9">
        <v>4</v>
      </c>
      <c r="O205" s="9">
        <v>44</v>
      </c>
      <c r="P205" s="10">
        <v>48</v>
      </c>
    </row>
    <row r="206" spans="1:16" x14ac:dyDescent="0.3">
      <c r="A206" s="5">
        <v>205</v>
      </c>
      <c r="B206" s="11">
        <v>40552</v>
      </c>
      <c r="C206" s="6">
        <v>1</v>
      </c>
      <c r="D206" s="6">
        <v>0</v>
      </c>
      <c r="E206" s="6">
        <v>1</v>
      </c>
      <c r="F206" s="6">
        <v>19</v>
      </c>
      <c r="G206" s="6" t="b">
        <v>0</v>
      </c>
      <c r="H206" s="6">
        <v>0</v>
      </c>
      <c r="I206" s="6">
        <v>1</v>
      </c>
      <c r="J206" s="6">
        <v>0.16</v>
      </c>
      <c r="K206" s="6">
        <v>0.13639999999999999</v>
      </c>
      <c r="L206" s="6">
        <v>0.43</v>
      </c>
      <c r="M206" s="6">
        <v>0.32840000000000003</v>
      </c>
      <c r="N206" s="6">
        <v>1</v>
      </c>
      <c r="O206" s="6">
        <v>40</v>
      </c>
      <c r="P206" s="7">
        <v>41</v>
      </c>
    </row>
    <row r="207" spans="1:16" x14ac:dyDescent="0.3">
      <c r="A207" s="8">
        <v>206</v>
      </c>
      <c r="B207" s="12">
        <v>40552</v>
      </c>
      <c r="C207" s="9">
        <v>1</v>
      </c>
      <c r="D207" s="9">
        <v>0</v>
      </c>
      <c r="E207" s="9">
        <v>1</v>
      </c>
      <c r="F207" s="9">
        <v>20</v>
      </c>
      <c r="G207" s="9" t="b">
        <v>0</v>
      </c>
      <c r="H207" s="9">
        <v>0</v>
      </c>
      <c r="I207" s="9">
        <v>1</v>
      </c>
      <c r="J207" s="9">
        <v>0.14000000000000001</v>
      </c>
      <c r="K207" s="9">
        <v>0.1212</v>
      </c>
      <c r="L207" s="9">
        <v>0.46</v>
      </c>
      <c r="M207" s="9">
        <v>0.25369999999999998</v>
      </c>
      <c r="N207" s="9">
        <v>0</v>
      </c>
      <c r="O207" s="9">
        <v>38</v>
      </c>
      <c r="P207" s="10">
        <v>38</v>
      </c>
    </row>
    <row r="208" spans="1:16" x14ac:dyDescent="0.3">
      <c r="A208" s="5">
        <v>207</v>
      </c>
      <c r="B208" s="11">
        <v>40552</v>
      </c>
      <c r="C208" s="6">
        <v>1</v>
      </c>
      <c r="D208" s="6">
        <v>0</v>
      </c>
      <c r="E208" s="6">
        <v>1</v>
      </c>
      <c r="F208" s="6">
        <v>21</v>
      </c>
      <c r="G208" s="6" t="b">
        <v>0</v>
      </c>
      <c r="H208" s="6">
        <v>0</v>
      </c>
      <c r="I208" s="6">
        <v>1</v>
      </c>
      <c r="J208" s="6">
        <v>0.14000000000000001</v>
      </c>
      <c r="K208" s="6">
        <v>0.1061</v>
      </c>
      <c r="L208" s="6">
        <v>0.46</v>
      </c>
      <c r="M208" s="6">
        <v>0.41789999999999999</v>
      </c>
      <c r="N208" s="6">
        <v>1</v>
      </c>
      <c r="O208" s="6">
        <v>19</v>
      </c>
      <c r="P208" s="7">
        <v>20</v>
      </c>
    </row>
    <row r="209" spans="1:16" x14ac:dyDescent="0.3">
      <c r="A209" s="8">
        <v>208</v>
      </c>
      <c r="B209" s="12">
        <v>40552</v>
      </c>
      <c r="C209" s="9">
        <v>1</v>
      </c>
      <c r="D209" s="9">
        <v>0</v>
      </c>
      <c r="E209" s="9">
        <v>1</v>
      </c>
      <c r="F209" s="9">
        <v>22</v>
      </c>
      <c r="G209" s="9" t="b">
        <v>0</v>
      </c>
      <c r="H209" s="9">
        <v>0</v>
      </c>
      <c r="I209" s="9">
        <v>1</v>
      </c>
      <c r="J209" s="9">
        <v>0.14000000000000001</v>
      </c>
      <c r="K209" s="9">
        <v>0.1212</v>
      </c>
      <c r="L209" s="9">
        <v>0.46</v>
      </c>
      <c r="M209" s="9">
        <v>0.29849999999999999</v>
      </c>
      <c r="N209" s="9">
        <v>5</v>
      </c>
      <c r="O209" s="9">
        <v>10</v>
      </c>
      <c r="P209" s="10">
        <v>15</v>
      </c>
    </row>
    <row r="210" spans="1:16" x14ac:dyDescent="0.3">
      <c r="A210" s="5">
        <v>209</v>
      </c>
      <c r="B210" s="11">
        <v>40552</v>
      </c>
      <c r="C210" s="6">
        <v>1</v>
      </c>
      <c r="D210" s="6">
        <v>0</v>
      </c>
      <c r="E210" s="6">
        <v>1</v>
      </c>
      <c r="F210" s="6">
        <v>23</v>
      </c>
      <c r="G210" s="6" t="b">
        <v>0</v>
      </c>
      <c r="H210" s="6">
        <v>0</v>
      </c>
      <c r="I210" s="6">
        <v>1</v>
      </c>
      <c r="J210" s="6">
        <v>0.12</v>
      </c>
      <c r="K210" s="6">
        <v>0.13639999999999999</v>
      </c>
      <c r="L210" s="6">
        <v>0.5</v>
      </c>
      <c r="M210" s="6">
        <v>0.19400000000000001</v>
      </c>
      <c r="N210" s="6">
        <v>0</v>
      </c>
      <c r="O210" s="6">
        <v>6</v>
      </c>
      <c r="P210" s="7">
        <v>6</v>
      </c>
    </row>
    <row r="211" spans="1:16" x14ac:dyDescent="0.3">
      <c r="A211" s="8">
        <v>210</v>
      </c>
      <c r="B211" s="12">
        <v>40553</v>
      </c>
      <c r="C211" s="9">
        <v>1</v>
      </c>
      <c r="D211" s="9">
        <v>0</v>
      </c>
      <c r="E211" s="9">
        <v>1</v>
      </c>
      <c r="F211" s="9">
        <v>0</v>
      </c>
      <c r="G211" s="9" t="b">
        <v>0</v>
      </c>
      <c r="H211" s="9">
        <v>1</v>
      </c>
      <c r="I211" s="9">
        <v>1</v>
      </c>
      <c r="J211" s="9">
        <v>0.12</v>
      </c>
      <c r="K211" s="9">
        <v>0.1212</v>
      </c>
      <c r="L211" s="9">
        <v>0.5</v>
      </c>
      <c r="M211" s="9">
        <v>0.28360000000000002</v>
      </c>
      <c r="N211" s="9">
        <v>2</v>
      </c>
      <c r="O211" s="9">
        <v>3</v>
      </c>
      <c r="P211" s="10">
        <v>5</v>
      </c>
    </row>
    <row r="212" spans="1:16" x14ac:dyDescent="0.3">
      <c r="A212" s="5">
        <v>211</v>
      </c>
      <c r="B212" s="11">
        <v>40553</v>
      </c>
      <c r="C212" s="6">
        <v>1</v>
      </c>
      <c r="D212" s="6">
        <v>0</v>
      </c>
      <c r="E212" s="6">
        <v>1</v>
      </c>
      <c r="F212" s="6">
        <v>1</v>
      </c>
      <c r="G212" s="6" t="b">
        <v>0</v>
      </c>
      <c r="H212" s="6">
        <v>1</v>
      </c>
      <c r="I212" s="6">
        <v>1</v>
      </c>
      <c r="J212" s="6">
        <v>0.12</v>
      </c>
      <c r="K212" s="6">
        <v>0.1212</v>
      </c>
      <c r="L212" s="6">
        <v>0.5</v>
      </c>
      <c r="M212" s="6">
        <v>0.28360000000000002</v>
      </c>
      <c r="N212" s="6">
        <v>1</v>
      </c>
      <c r="O212" s="6">
        <v>0</v>
      </c>
      <c r="P212" s="7">
        <v>1</v>
      </c>
    </row>
    <row r="213" spans="1:16" x14ac:dyDescent="0.3">
      <c r="A213" s="8">
        <v>212</v>
      </c>
      <c r="B213" s="12">
        <v>40553</v>
      </c>
      <c r="C213" s="9">
        <v>1</v>
      </c>
      <c r="D213" s="9">
        <v>0</v>
      </c>
      <c r="E213" s="9">
        <v>1</v>
      </c>
      <c r="F213" s="9">
        <v>2</v>
      </c>
      <c r="G213" s="9" t="b">
        <v>0</v>
      </c>
      <c r="H213" s="9">
        <v>1</v>
      </c>
      <c r="I213" s="9">
        <v>1</v>
      </c>
      <c r="J213" s="9">
        <v>0.12</v>
      </c>
      <c r="K213" s="9">
        <v>0.1212</v>
      </c>
      <c r="L213" s="9">
        <v>0.5</v>
      </c>
      <c r="M213" s="9">
        <v>0.22389999999999999</v>
      </c>
      <c r="N213" s="9">
        <v>0</v>
      </c>
      <c r="O213" s="9">
        <v>3</v>
      </c>
      <c r="P213" s="10">
        <v>3</v>
      </c>
    </row>
    <row r="214" spans="1:16" x14ac:dyDescent="0.3">
      <c r="A214" s="5">
        <v>213</v>
      </c>
      <c r="B214" s="11">
        <v>40553</v>
      </c>
      <c r="C214" s="6">
        <v>1</v>
      </c>
      <c r="D214" s="6">
        <v>0</v>
      </c>
      <c r="E214" s="6">
        <v>1</v>
      </c>
      <c r="F214" s="6">
        <v>3</v>
      </c>
      <c r="G214" s="6" t="b">
        <v>0</v>
      </c>
      <c r="H214" s="6">
        <v>1</v>
      </c>
      <c r="I214" s="6">
        <v>1</v>
      </c>
      <c r="J214" s="6">
        <v>0.12</v>
      </c>
      <c r="K214" s="6">
        <v>0.1212</v>
      </c>
      <c r="L214" s="6">
        <v>0.5</v>
      </c>
      <c r="M214" s="6">
        <v>0.22389999999999999</v>
      </c>
      <c r="N214" s="6">
        <v>0</v>
      </c>
      <c r="O214" s="6">
        <v>1</v>
      </c>
      <c r="P214" s="7">
        <v>1</v>
      </c>
    </row>
    <row r="215" spans="1:16" x14ac:dyDescent="0.3">
      <c r="A215" s="8">
        <v>214</v>
      </c>
      <c r="B215" s="12">
        <v>40553</v>
      </c>
      <c r="C215" s="9">
        <v>1</v>
      </c>
      <c r="D215" s="9">
        <v>0</v>
      </c>
      <c r="E215" s="9">
        <v>1</v>
      </c>
      <c r="F215" s="9">
        <v>4</v>
      </c>
      <c r="G215" s="9" t="b">
        <v>0</v>
      </c>
      <c r="H215" s="9">
        <v>1</v>
      </c>
      <c r="I215" s="9">
        <v>1</v>
      </c>
      <c r="J215" s="9">
        <v>0.1</v>
      </c>
      <c r="K215" s="9">
        <v>0.1212</v>
      </c>
      <c r="L215" s="9">
        <v>0.54</v>
      </c>
      <c r="M215" s="9">
        <v>0.1343</v>
      </c>
      <c r="N215" s="9">
        <v>1</v>
      </c>
      <c r="O215" s="9">
        <v>2</v>
      </c>
      <c r="P215" s="10">
        <v>3</v>
      </c>
    </row>
    <row r="216" spans="1:16" x14ac:dyDescent="0.3">
      <c r="A216" s="5">
        <v>215</v>
      </c>
      <c r="B216" s="11">
        <v>40553</v>
      </c>
      <c r="C216" s="6">
        <v>1</v>
      </c>
      <c r="D216" s="6">
        <v>0</v>
      </c>
      <c r="E216" s="6">
        <v>1</v>
      </c>
      <c r="F216" s="6">
        <v>5</v>
      </c>
      <c r="G216" s="6" t="b">
        <v>0</v>
      </c>
      <c r="H216" s="6">
        <v>1</v>
      </c>
      <c r="I216" s="6">
        <v>1</v>
      </c>
      <c r="J216" s="6">
        <v>0.1</v>
      </c>
      <c r="K216" s="6">
        <v>0.1061</v>
      </c>
      <c r="L216" s="6">
        <v>0.54</v>
      </c>
      <c r="M216" s="6">
        <v>0.25369999999999998</v>
      </c>
      <c r="N216" s="6">
        <v>0</v>
      </c>
      <c r="O216" s="6">
        <v>3</v>
      </c>
      <c r="P216" s="7">
        <v>3</v>
      </c>
    </row>
    <row r="217" spans="1:16" x14ac:dyDescent="0.3">
      <c r="A217" s="8">
        <v>216</v>
      </c>
      <c r="B217" s="12">
        <v>40553</v>
      </c>
      <c r="C217" s="9">
        <v>1</v>
      </c>
      <c r="D217" s="9">
        <v>0</v>
      </c>
      <c r="E217" s="9">
        <v>1</v>
      </c>
      <c r="F217" s="9">
        <v>6</v>
      </c>
      <c r="G217" s="9" t="b">
        <v>0</v>
      </c>
      <c r="H217" s="9">
        <v>1</v>
      </c>
      <c r="I217" s="9">
        <v>1</v>
      </c>
      <c r="J217" s="9">
        <v>0.12</v>
      </c>
      <c r="K217" s="9">
        <v>0.1212</v>
      </c>
      <c r="L217" s="9">
        <v>0.5</v>
      </c>
      <c r="M217" s="9">
        <v>0.28360000000000002</v>
      </c>
      <c r="N217" s="9">
        <v>0</v>
      </c>
      <c r="O217" s="9">
        <v>31</v>
      </c>
      <c r="P217" s="10">
        <v>31</v>
      </c>
    </row>
    <row r="218" spans="1:16" x14ac:dyDescent="0.3">
      <c r="A218" s="5">
        <v>217</v>
      </c>
      <c r="B218" s="11">
        <v>40553</v>
      </c>
      <c r="C218" s="6">
        <v>1</v>
      </c>
      <c r="D218" s="6">
        <v>0</v>
      </c>
      <c r="E218" s="6">
        <v>1</v>
      </c>
      <c r="F218" s="6">
        <v>7</v>
      </c>
      <c r="G218" s="6" t="b">
        <v>0</v>
      </c>
      <c r="H218" s="6">
        <v>1</v>
      </c>
      <c r="I218" s="6">
        <v>1</v>
      </c>
      <c r="J218" s="6">
        <v>0.12</v>
      </c>
      <c r="K218" s="6">
        <v>0.1212</v>
      </c>
      <c r="L218" s="6">
        <v>0.5</v>
      </c>
      <c r="M218" s="6">
        <v>0.22389999999999999</v>
      </c>
      <c r="N218" s="6">
        <v>2</v>
      </c>
      <c r="O218" s="6">
        <v>75</v>
      </c>
      <c r="P218" s="7">
        <v>77</v>
      </c>
    </row>
    <row r="219" spans="1:16" x14ac:dyDescent="0.3">
      <c r="A219" s="8">
        <v>218</v>
      </c>
      <c r="B219" s="12">
        <v>40553</v>
      </c>
      <c r="C219" s="9">
        <v>1</v>
      </c>
      <c r="D219" s="9">
        <v>0</v>
      </c>
      <c r="E219" s="9">
        <v>1</v>
      </c>
      <c r="F219" s="9">
        <v>8</v>
      </c>
      <c r="G219" s="9" t="b">
        <v>0</v>
      </c>
      <c r="H219" s="9">
        <v>1</v>
      </c>
      <c r="I219" s="9">
        <v>2</v>
      </c>
      <c r="J219" s="9">
        <v>0.12</v>
      </c>
      <c r="K219" s="9">
        <v>0.1212</v>
      </c>
      <c r="L219" s="9">
        <v>0.5</v>
      </c>
      <c r="M219" s="9">
        <v>0.28360000000000002</v>
      </c>
      <c r="N219" s="9">
        <v>4</v>
      </c>
      <c r="O219" s="9">
        <v>184</v>
      </c>
      <c r="P219" s="10">
        <v>188</v>
      </c>
    </row>
    <row r="220" spans="1:16" x14ac:dyDescent="0.3">
      <c r="A220" s="5">
        <v>219</v>
      </c>
      <c r="B220" s="11">
        <v>40553</v>
      </c>
      <c r="C220" s="6">
        <v>1</v>
      </c>
      <c r="D220" s="6">
        <v>0</v>
      </c>
      <c r="E220" s="6">
        <v>1</v>
      </c>
      <c r="F220" s="6">
        <v>9</v>
      </c>
      <c r="G220" s="6" t="b">
        <v>0</v>
      </c>
      <c r="H220" s="6">
        <v>1</v>
      </c>
      <c r="I220" s="6">
        <v>2</v>
      </c>
      <c r="J220" s="6">
        <v>0.14000000000000001</v>
      </c>
      <c r="K220" s="6">
        <v>0.1212</v>
      </c>
      <c r="L220" s="6">
        <v>0.5</v>
      </c>
      <c r="M220" s="6">
        <v>0.25369999999999998</v>
      </c>
      <c r="N220" s="6">
        <v>2</v>
      </c>
      <c r="O220" s="6">
        <v>92</v>
      </c>
      <c r="P220" s="7">
        <v>94</v>
      </c>
    </row>
    <row r="221" spans="1:16" x14ac:dyDescent="0.3">
      <c r="A221" s="8">
        <v>220</v>
      </c>
      <c r="B221" s="12">
        <v>40553</v>
      </c>
      <c r="C221" s="9">
        <v>1</v>
      </c>
      <c r="D221" s="9">
        <v>0</v>
      </c>
      <c r="E221" s="9">
        <v>1</v>
      </c>
      <c r="F221" s="9">
        <v>10</v>
      </c>
      <c r="G221" s="9" t="b">
        <v>0</v>
      </c>
      <c r="H221" s="9">
        <v>1</v>
      </c>
      <c r="I221" s="9">
        <v>2</v>
      </c>
      <c r="J221" s="9">
        <v>0.14000000000000001</v>
      </c>
      <c r="K221" s="9">
        <v>0.1212</v>
      </c>
      <c r="L221" s="9">
        <v>0.5</v>
      </c>
      <c r="M221" s="9">
        <v>0.29849999999999999</v>
      </c>
      <c r="N221" s="9">
        <v>0</v>
      </c>
      <c r="O221" s="9">
        <v>31</v>
      </c>
      <c r="P221" s="10">
        <v>31</v>
      </c>
    </row>
    <row r="222" spans="1:16" x14ac:dyDescent="0.3">
      <c r="A222" s="5">
        <v>221</v>
      </c>
      <c r="B222" s="11">
        <v>40553</v>
      </c>
      <c r="C222" s="6">
        <v>1</v>
      </c>
      <c r="D222" s="6">
        <v>0</v>
      </c>
      <c r="E222" s="6">
        <v>1</v>
      </c>
      <c r="F222" s="6">
        <v>11</v>
      </c>
      <c r="G222" s="6" t="b">
        <v>0</v>
      </c>
      <c r="H222" s="6">
        <v>1</v>
      </c>
      <c r="I222" s="6">
        <v>2</v>
      </c>
      <c r="J222" s="6">
        <v>0.16</v>
      </c>
      <c r="K222" s="6">
        <v>0.13639999999999999</v>
      </c>
      <c r="L222" s="6">
        <v>0.47</v>
      </c>
      <c r="M222" s="6">
        <v>0.28360000000000002</v>
      </c>
      <c r="N222" s="6">
        <v>2</v>
      </c>
      <c r="O222" s="6">
        <v>28</v>
      </c>
      <c r="P222" s="7">
        <v>30</v>
      </c>
    </row>
    <row r="223" spans="1:16" x14ac:dyDescent="0.3">
      <c r="A223" s="8">
        <v>222</v>
      </c>
      <c r="B223" s="12">
        <v>40553</v>
      </c>
      <c r="C223" s="9">
        <v>1</v>
      </c>
      <c r="D223" s="9">
        <v>0</v>
      </c>
      <c r="E223" s="9">
        <v>1</v>
      </c>
      <c r="F223" s="9">
        <v>12</v>
      </c>
      <c r="G223" s="9" t="b">
        <v>0</v>
      </c>
      <c r="H223" s="9">
        <v>1</v>
      </c>
      <c r="I223" s="9">
        <v>2</v>
      </c>
      <c r="J223" s="9">
        <v>0.2</v>
      </c>
      <c r="K223" s="9">
        <v>0.18179999999999999</v>
      </c>
      <c r="L223" s="9">
        <v>0.4</v>
      </c>
      <c r="M223" s="9">
        <v>0.28360000000000002</v>
      </c>
      <c r="N223" s="9">
        <v>5</v>
      </c>
      <c r="O223" s="9">
        <v>47</v>
      </c>
      <c r="P223" s="10">
        <v>52</v>
      </c>
    </row>
    <row r="224" spans="1:16" x14ac:dyDescent="0.3">
      <c r="A224" s="5">
        <v>223</v>
      </c>
      <c r="B224" s="11">
        <v>40553</v>
      </c>
      <c r="C224" s="6">
        <v>1</v>
      </c>
      <c r="D224" s="6">
        <v>0</v>
      </c>
      <c r="E224" s="6">
        <v>1</v>
      </c>
      <c r="F224" s="6">
        <v>13</v>
      </c>
      <c r="G224" s="6" t="b">
        <v>0</v>
      </c>
      <c r="H224" s="6">
        <v>1</v>
      </c>
      <c r="I224" s="6">
        <v>2</v>
      </c>
      <c r="J224" s="6">
        <v>0.2</v>
      </c>
      <c r="K224" s="6">
        <v>0.18179999999999999</v>
      </c>
      <c r="L224" s="6">
        <v>0.4</v>
      </c>
      <c r="M224" s="6">
        <v>0.28360000000000002</v>
      </c>
      <c r="N224" s="6">
        <v>4</v>
      </c>
      <c r="O224" s="6">
        <v>50</v>
      </c>
      <c r="P224" s="7">
        <v>54</v>
      </c>
    </row>
    <row r="225" spans="1:16" x14ac:dyDescent="0.3">
      <c r="A225" s="8">
        <v>224</v>
      </c>
      <c r="B225" s="12">
        <v>40553</v>
      </c>
      <c r="C225" s="9">
        <v>1</v>
      </c>
      <c r="D225" s="9">
        <v>0</v>
      </c>
      <c r="E225" s="9">
        <v>1</v>
      </c>
      <c r="F225" s="9">
        <v>14</v>
      </c>
      <c r="G225" s="9" t="b">
        <v>0</v>
      </c>
      <c r="H225" s="9">
        <v>1</v>
      </c>
      <c r="I225" s="9">
        <v>2</v>
      </c>
      <c r="J225" s="9">
        <v>0.2</v>
      </c>
      <c r="K225" s="9">
        <v>0.19700000000000001</v>
      </c>
      <c r="L225" s="9">
        <v>0.4</v>
      </c>
      <c r="M225" s="9">
        <v>0.22389999999999999</v>
      </c>
      <c r="N225" s="9">
        <v>0</v>
      </c>
      <c r="O225" s="9">
        <v>47</v>
      </c>
      <c r="P225" s="10">
        <v>47</v>
      </c>
    </row>
    <row r="226" spans="1:16" x14ac:dyDescent="0.3">
      <c r="A226" s="5">
        <v>225</v>
      </c>
      <c r="B226" s="11">
        <v>40553</v>
      </c>
      <c r="C226" s="6">
        <v>1</v>
      </c>
      <c r="D226" s="6">
        <v>0</v>
      </c>
      <c r="E226" s="6">
        <v>1</v>
      </c>
      <c r="F226" s="6">
        <v>15</v>
      </c>
      <c r="G226" s="6" t="b">
        <v>0</v>
      </c>
      <c r="H226" s="6">
        <v>1</v>
      </c>
      <c r="I226" s="6">
        <v>2</v>
      </c>
      <c r="J226" s="6">
        <v>0.2</v>
      </c>
      <c r="K226" s="6">
        <v>0.19700000000000001</v>
      </c>
      <c r="L226" s="6">
        <v>0.4</v>
      </c>
      <c r="M226" s="6">
        <v>0.22389999999999999</v>
      </c>
      <c r="N226" s="6">
        <v>2</v>
      </c>
      <c r="O226" s="6">
        <v>43</v>
      </c>
      <c r="P226" s="7">
        <v>45</v>
      </c>
    </row>
    <row r="227" spans="1:16" x14ac:dyDescent="0.3">
      <c r="A227" s="8">
        <v>226</v>
      </c>
      <c r="B227" s="12">
        <v>40553</v>
      </c>
      <c r="C227" s="9">
        <v>1</v>
      </c>
      <c r="D227" s="9">
        <v>0</v>
      </c>
      <c r="E227" s="9">
        <v>1</v>
      </c>
      <c r="F227" s="9">
        <v>16</v>
      </c>
      <c r="G227" s="9" t="b">
        <v>0</v>
      </c>
      <c r="H227" s="9">
        <v>1</v>
      </c>
      <c r="I227" s="9">
        <v>1</v>
      </c>
      <c r="J227" s="9">
        <v>0.2</v>
      </c>
      <c r="K227" s="9">
        <v>0.21210000000000001</v>
      </c>
      <c r="L227" s="9">
        <v>0.4</v>
      </c>
      <c r="M227" s="9">
        <v>0.1343</v>
      </c>
      <c r="N227" s="9">
        <v>4</v>
      </c>
      <c r="O227" s="9">
        <v>70</v>
      </c>
      <c r="P227" s="10">
        <v>74</v>
      </c>
    </row>
    <row r="228" spans="1:16" x14ac:dyDescent="0.3">
      <c r="A228" s="5">
        <v>227</v>
      </c>
      <c r="B228" s="11">
        <v>40553</v>
      </c>
      <c r="C228" s="6">
        <v>1</v>
      </c>
      <c r="D228" s="6">
        <v>0</v>
      </c>
      <c r="E228" s="6">
        <v>1</v>
      </c>
      <c r="F228" s="6">
        <v>17</v>
      </c>
      <c r="G228" s="6" t="b">
        <v>0</v>
      </c>
      <c r="H228" s="6">
        <v>1</v>
      </c>
      <c r="I228" s="6">
        <v>1</v>
      </c>
      <c r="J228" s="6">
        <v>0.2</v>
      </c>
      <c r="K228" s="6">
        <v>0.2273</v>
      </c>
      <c r="L228" s="6">
        <v>0.4</v>
      </c>
      <c r="M228" s="6">
        <v>0.1045</v>
      </c>
      <c r="N228" s="6">
        <v>4</v>
      </c>
      <c r="O228" s="6">
        <v>174</v>
      </c>
      <c r="P228" s="7">
        <v>178</v>
      </c>
    </row>
    <row r="229" spans="1:16" x14ac:dyDescent="0.3">
      <c r="A229" s="8">
        <v>228</v>
      </c>
      <c r="B229" s="12">
        <v>40553</v>
      </c>
      <c r="C229" s="9">
        <v>1</v>
      </c>
      <c r="D229" s="9">
        <v>0</v>
      </c>
      <c r="E229" s="9">
        <v>1</v>
      </c>
      <c r="F229" s="9">
        <v>18</v>
      </c>
      <c r="G229" s="9" t="b">
        <v>0</v>
      </c>
      <c r="H229" s="9">
        <v>1</v>
      </c>
      <c r="I229" s="9">
        <v>1</v>
      </c>
      <c r="J229" s="9">
        <v>0.2</v>
      </c>
      <c r="K229" s="9">
        <v>0.19700000000000001</v>
      </c>
      <c r="L229" s="9">
        <v>0.4</v>
      </c>
      <c r="M229" s="9">
        <v>0.22389999999999999</v>
      </c>
      <c r="N229" s="9">
        <v>1</v>
      </c>
      <c r="O229" s="9">
        <v>154</v>
      </c>
      <c r="P229" s="10">
        <v>155</v>
      </c>
    </row>
    <row r="230" spans="1:16" x14ac:dyDescent="0.3">
      <c r="A230" s="5">
        <v>229</v>
      </c>
      <c r="B230" s="11">
        <v>40553</v>
      </c>
      <c r="C230" s="6">
        <v>1</v>
      </c>
      <c r="D230" s="6">
        <v>0</v>
      </c>
      <c r="E230" s="6">
        <v>1</v>
      </c>
      <c r="F230" s="6">
        <v>19</v>
      </c>
      <c r="G230" s="6" t="b">
        <v>0</v>
      </c>
      <c r="H230" s="6">
        <v>1</v>
      </c>
      <c r="I230" s="6">
        <v>1</v>
      </c>
      <c r="J230" s="6">
        <v>0.16</v>
      </c>
      <c r="K230" s="6">
        <v>0.16669999999999999</v>
      </c>
      <c r="L230" s="6">
        <v>0.47</v>
      </c>
      <c r="M230" s="6">
        <v>0.16420000000000001</v>
      </c>
      <c r="N230" s="6">
        <v>3</v>
      </c>
      <c r="O230" s="6">
        <v>92</v>
      </c>
      <c r="P230" s="7">
        <v>95</v>
      </c>
    </row>
    <row r="231" spans="1:16" x14ac:dyDescent="0.3">
      <c r="A231" s="8">
        <v>230</v>
      </c>
      <c r="B231" s="12">
        <v>40553</v>
      </c>
      <c r="C231" s="9">
        <v>1</v>
      </c>
      <c r="D231" s="9">
        <v>0</v>
      </c>
      <c r="E231" s="9">
        <v>1</v>
      </c>
      <c r="F231" s="9">
        <v>20</v>
      </c>
      <c r="G231" s="9" t="b">
        <v>0</v>
      </c>
      <c r="H231" s="9">
        <v>1</v>
      </c>
      <c r="I231" s="9">
        <v>1</v>
      </c>
      <c r="J231" s="9">
        <v>0.16</v>
      </c>
      <c r="K231" s="9">
        <v>0.16669999999999999</v>
      </c>
      <c r="L231" s="9">
        <v>0.5</v>
      </c>
      <c r="M231" s="9">
        <v>0.16420000000000001</v>
      </c>
      <c r="N231" s="9">
        <v>1</v>
      </c>
      <c r="O231" s="9">
        <v>73</v>
      </c>
      <c r="P231" s="10">
        <v>74</v>
      </c>
    </row>
    <row r="232" spans="1:16" x14ac:dyDescent="0.3">
      <c r="A232" s="5">
        <v>231</v>
      </c>
      <c r="B232" s="11">
        <v>40553</v>
      </c>
      <c r="C232" s="6">
        <v>1</v>
      </c>
      <c r="D232" s="6">
        <v>0</v>
      </c>
      <c r="E232" s="6">
        <v>1</v>
      </c>
      <c r="F232" s="6">
        <v>21</v>
      </c>
      <c r="G232" s="6" t="b">
        <v>0</v>
      </c>
      <c r="H232" s="6">
        <v>1</v>
      </c>
      <c r="I232" s="6">
        <v>1</v>
      </c>
      <c r="J232" s="6">
        <v>0.14000000000000001</v>
      </c>
      <c r="K232" s="6">
        <v>0.13639999999999999</v>
      </c>
      <c r="L232" s="6">
        <v>0.59</v>
      </c>
      <c r="M232" s="6">
        <v>0.19400000000000001</v>
      </c>
      <c r="N232" s="6">
        <v>1</v>
      </c>
      <c r="O232" s="6">
        <v>37</v>
      </c>
      <c r="P232" s="7">
        <v>38</v>
      </c>
    </row>
    <row r="233" spans="1:16" x14ac:dyDescent="0.3">
      <c r="A233" s="8">
        <v>232</v>
      </c>
      <c r="B233" s="12">
        <v>40553</v>
      </c>
      <c r="C233" s="9">
        <v>1</v>
      </c>
      <c r="D233" s="9">
        <v>0</v>
      </c>
      <c r="E233" s="9">
        <v>1</v>
      </c>
      <c r="F233" s="9">
        <v>22</v>
      </c>
      <c r="G233" s="9" t="b">
        <v>0</v>
      </c>
      <c r="H233" s="9">
        <v>1</v>
      </c>
      <c r="I233" s="9">
        <v>1</v>
      </c>
      <c r="J233" s="9">
        <v>0.14000000000000001</v>
      </c>
      <c r="K233" s="9">
        <v>0.1515</v>
      </c>
      <c r="L233" s="9">
        <v>0.59</v>
      </c>
      <c r="M233" s="9">
        <v>0.16420000000000001</v>
      </c>
      <c r="N233" s="9">
        <v>2</v>
      </c>
      <c r="O233" s="9">
        <v>22</v>
      </c>
      <c r="P233" s="10">
        <v>24</v>
      </c>
    </row>
    <row r="234" spans="1:16" x14ac:dyDescent="0.3">
      <c r="A234" s="5">
        <v>233</v>
      </c>
      <c r="B234" s="11">
        <v>40553</v>
      </c>
      <c r="C234" s="6">
        <v>1</v>
      </c>
      <c r="D234" s="6">
        <v>0</v>
      </c>
      <c r="E234" s="6">
        <v>1</v>
      </c>
      <c r="F234" s="6">
        <v>23</v>
      </c>
      <c r="G234" s="6" t="b">
        <v>0</v>
      </c>
      <c r="H234" s="6">
        <v>1</v>
      </c>
      <c r="I234" s="6">
        <v>1</v>
      </c>
      <c r="J234" s="6">
        <v>0.14000000000000001</v>
      </c>
      <c r="K234" s="6">
        <v>0.1515</v>
      </c>
      <c r="L234" s="6">
        <v>0.59</v>
      </c>
      <c r="M234" s="6">
        <v>0.16420000000000001</v>
      </c>
      <c r="N234" s="6">
        <v>0</v>
      </c>
      <c r="O234" s="6">
        <v>18</v>
      </c>
      <c r="P234" s="7">
        <v>18</v>
      </c>
    </row>
    <row r="235" spans="1:16" x14ac:dyDescent="0.3">
      <c r="A235" s="8">
        <v>234</v>
      </c>
      <c r="B235" s="12">
        <v>40554</v>
      </c>
      <c r="C235" s="9">
        <v>1</v>
      </c>
      <c r="D235" s="9">
        <v>0</v>
      </c>
      <c r="E235" s="9">
        <v>1</v>
      </c>
      <c r="F235" s="9">
        <v>0</v>
      </c>
      <c r="G235" s="9" t="b">
        <v>0</v>
      </c>
      <c r="H235" s="9">
        <v>2</v>
      </c>
      <c r="I235" s="9">
        <v>1</v>
      </c>
      <c r="J235" s="9">
        <v>0.14000000000000001</v>
      </c>
      <c r="K235" s="9">
        <v>0.16669999999999999</v>
      </c>
      <c r="L235" s="9">
        <v>0.59</v>
      </c>
      <c r="M235" s="9">
        <v>0.1045</v>
      </c>
      <c r="N235" s="9">
        <v>2</v>
      </c>
      <c r="O235" s="9">
        <v>10</v>
      </c>
      <c r="P235" s="10">
        <v>12</v>
      </c>
    </row>
    <row r="236" spans="1:16" x14ac:dyDescent="0.3">
      <c r="A236" s="5">
        <v>235</v>
      </c>
      <c r="B236" s="11">
        <v>40554</v>
      </c>
      <c r="C236" s="6">
        <v>1</v>
      </c>
      <c r="D236" s="6">
        <v>0</v>
      </c>
      <c r="E236" s="6">
        <v>1</v>
      </c>
      <c r="F236" s="6">
        <v>1</v>
      </c>
      <c r="G236" s="6" t="b">
        <v>0</v>
      </c>
      <c r="H236" s="6">
        <v>2</v>
      </c>
      <c r="I236" s="6">
        <v>1</v>
      </c>
      <c r="J236" s="6">
        <v>0.14000000000000001</v>
      </c>
      <c r="K236" s="6">
        <v>0.1515</v>
      </c>
      <c r="L236" s="6">
        <v>0.59</v>
      </c>
      <c r="M236" s="6">
        <v>0.16420000000000001</v>
      </c>
      <c r="N236" s="6">
        <v>0</v>
      </c>
      <c r="O236" s="6">
        <v>3</v>
      </c>
      <c r="P236" s="7">
        <v>3</v>
      </c>
    </row>
    <row r="237" spans="1:16" x14ac:dyDescent="0.3">
      <c r="A237" s="8">
        <v>236</v>
      </c>
      <c r="B237" s="12">
        <v>40554</v>
      </c>
      <c r="C237" s="9">
        <v>1</v>
      </c>
      <c r="D237" s="9">
        <v>0</v>
      </c>
      <c r="E237" s="9">
        <v>1</v>
      </c>
      <c r="F237" s="9">
        <v>2</v>
      </c>
      <c r="G237" s="9" t="b">
        <v>0</v>
      </c>
      <c r="H237" s="9">
        <v>2</v>
      </c>
      <c r="I237" s="9">
        <v>2</v>
      </c>
      <c r="J237" s="9">
        <v>0.16</v>
      </c>
      <c r="K237" s="9">
        <v>0.1515</v>
      </c>
      <c r="L237" s="9">
        <v>0.55000000000000004</v>
      </c>
      <c r="M237" s="9">
        <v>0.19400000000000001</v>
      </c>
      <c r="N237" s="9">
        <v>0</v>
      </c>
      <c r="O237" s="9">
        <v>3</v>
      </c>
      <c r="P237" s="10">
        <v>3</v>
      </c>
    </row>
    <row r="238" spans="1:16" x14ac:dyDescent="0.3">
      <c r="A238" s="5">
        <v>237</v>
      </c>
      <c r="B238" s="11">
        <v>40554</v>
      </c>
      <c r="C238" s="6">
        <v>1</v>
      </c>
      <c r="D238" s="6">
        <v>0</v>
      </c>
      <c r="E238" s="6">
        <v>1</v>
      </c>
      <c r="F238" s="6">
        <v>5</v>
      </c>
      <c r="G238" s="6" t="b">
        <v>0</v>
      </c>
      <c r="H238" s="6">
        <v>2</v>
      </c>
      <c r="I238" s="6">
        <v>2</v>
      </c>
      <c r="J238" s="6">
        <v>0.16</v>
      </c>
      <c r="K238" s="6">
        <v>0.18179999999999999</v>
      </c>
      <c r="L238" s="6">
        <v>0.55000000000000004</v>
      </c>
      <c r="M238" s="6">
        <v>0.1343</v>
      </c>
      <c r="N238" s="6">
        <v>0</v>
      </c>
      <c r="O238" s="6">
        <v>6</v>
      </c>
      <c r="P238" s="7">
        <v>6</v>
      </c>
    </row>
    <row r="239" spans="1:16" x14ac:dyDescent="0.3">
      <c r="A239" s="8">
        <v>238</v>
      </c>
      <c r="B239" s="12">
        <v>40554</v>
      </c>
      <c r="C239" s="9">
        <v>1</v>
      </c>
      <c r="D239" s="9">
        <v>0</v>
      </c>
      <c r="E239" s="9">
        <v>1</v>
      </c>
      <c r="F239" s="9">
        <v>6</v>
      </c>
      <c r="G239" s="9" t="b">
        <v>0</v>
      </c>
      <c r="H239" s="9">
        <v>2</v>
      </c>
      <c r="I239" s="9">
        <v>2</v>
      </c>
      <c r="J239" s="9">
        <v>0.16</v>
      </c>
      <c r="K239" s="9">
        <v>0.18179999999999999</v>
      </c>
      <c r="L239" s="9">
        <v>0.55000000000000004</v>
      </c>
      <c r="M239" s="9">
        <v>0.1343</v>
      </c>
      <c r="N239" s="9">
        <v>0</v>
      </c>
      <c r="O239" s="9">
        <v>27</v>
      </c>
      <c r="P239" s="10">
        <v>27</v>
      </c>
    </row>
    <row r="240" spans="1:16" x14ac:dyDescent="0.3">
      <c r="A240" s="5">
        <v>239</v>
      </c>
      <c r="B240" s="11">
        <v>40554</v>
      </c>
      <c r="C240" s="6">
        <v>1</v>
      </c>
      <c r="D240" s="6">
        <v>0</v>
      </c>
      <c r="E240" s="6">
        <v>1</v>
      </c>
      <c r="F240" s="6">
        <v>7</v>
      </c>
      <c r="G240" s="6" t="b">
        <v>0</v>
      </c>
      <c r="H240" s="6">
        <v>2</v>
      </c>
      <c r="I240" s="6">
        <v>2</v>
      </c>
      <c r="J240" s="6">
        <v>0.16</v>
      </c>
      <c r="K240" s="6">
        <v>0.2273</v>
      </c>
      <c r="L240" s="6">
        <v>0.55000000000000004</v>
      </c>
      <c r="M240" s="6">
        <v>0</v>
      </c>
      <c r="N240" s="6">
        <v>2</v>
      </c>
      <c r="O240" s="6">
        <v>97</v>
      </c>
      <c r="P240" s="7">
        <v>99</v>
      </c>
    </row>
    <row r="241" spans="1:16" x14ac:dyDescent="0.3">
      <c r="A241" s="8">
        <v>240</v>
      </c>
      <c r="B241" s="12">
        <v>40554</v>
      </c>
      <c r="C241" s="9">
        <v>1</v>
      </c>
      <c r="D241" s="9">
        <v>0</v>
      </c>
      <c r="E241" s="9">
        <v>1</v>
      </c>
      <c r="F241" s="9">
        <v>8</v>
      </c>
      <c r="G241" s="9" t="b">
        <v>0</v>
      </c>
      <c r="H241" s="9">
        <v>2</v>
      </c>
      <c r="I241" s="9">
        <v>2</v>
      </c>
      <c r="J241" s="9">
        <v>0.18</v>
      </c>
      <c r="K241" s="9">
        <v>0.21210000000000001</v>
      </c>
      <c r="L241" s="9">
        <v>0.51</v>
      </c>
      <c r="M241" s="9">
        <v>8.9599999999999999E-2</v>
      </c>
      <c r="N241" s="9">
        <v>3</v>
      </c>
      <c r="O241" s="9">
        <v>214</v>
      </c>
      <c r="P241" s="10">
        <v>217</v>
      </c>
    </row>
    <row r="242" spans="1:16" x14ac:dyDescent="0.3">
      <c r="A242" s="5">
        <v>241</v>
      </c>
      <c r="B242" s="11">
        <v>40554</v>
      </c>
      <c r="C242" s="6">
        <v>1</v>
      </c>
      <c r="D242" s="6">
        <v>0</v>
      </c>
      <c r="E242" s="6">
        <v>1</v>
      </c>
      <c r="F242" s="6">
        <v>9</v>
      </c>
      <c r="G242" s="6" t="b">
        <v>0</v>
      </c>
      <c r="H242" s="6">
        <v>2</v>
      </c>
      <c r="I242" s="6">
        <v>2</v>
      </c>
      <c r="J242" s="6">
        <v>0.18</v>
      </c>
      <c r="K242" s="6">
        <v>0.19700000000000001</v>
      </c>
      <c r="L242" s="6">
        <v>0.51</v>
      </c>
      <c r="M242" s="6">
        <v>0.16420000000000001</v>
      </c>
      <c r="N242" s="6">
        <v>3</v>
      </c>
      <c r="O242" s="6">
        <v>127</v>
      </c>
      <c r="P242" s="7">
        <v>130</v>
      </c>
    </row>
    <row r="243" spans="1:16" x14ac:dyDescent="0.3">
      <c r="A243" s="8">
        <v>242</v>
      </c>
      <c r="B243" s="12">
        <v>40554</v>
      </c>
      <c r="C243" s="9">
        <v>1</v>
      </c>
      <c r="D243" s="9">
        <v>0</v>
      </c>
      <c r="E243" s="9">
        <v>1</v>
      </c>
      <c r="F243" s="9">
        <v>10</v>
      </c>
      <c r="G243" s="9" t="b">
        <v>0</v>
      </c>
      <c r="H243" s="9">
        <v>2</v>
      </c>
      <c r="I243" s="9">
        <v>2</v>
      </c>
      <c r="J243" s="9">
        <v>0.2</v>
      </c>
      <c r="K243" s="9">
        <v>0.21210000000000001</v>
      </c>
      <c r="L243" s="9">
        <v>0.51</v>
      </c>
      <c r="M243" s="9">
        <v>0.16420000000000001</v>
      </c>
      <c r="N243" s="9">
        <v>3</v>
      </c>
      <c r="O243" s="9">
        <v>51</v>
      </c>
      <c r="P243" s="10">
        <v>54</v>
      </c>
    </row>
    <row r="244" spans="1:16" x14ac:dyDescent="0.3">
      <c r="A244" s="5">
        <v>243</v>
      </c>
      <c r="B244" s="11">
        <v>40554</v>
      </c>
      <c r="C244" s="6">
        <v>1</v>
      </c>
      <c r="D244" s="6">
        <v>0</v>
      </c>
      <c r="E244" s="6">
        <v>1</v>
      </c>
      <c r="F244" s="6">
        <v>11</v>
      </c>
      <c r="G244" s="6" t="b">
        <v>0</v>
      </c>
      <c r="H244" s="6">
        <v>2</v>
      </c>
      <c r="I244" s="6">
        <v>2</v>
      </c>
      <c r="J244" s="6">
        <v>0.2</v>
      </c>
      <c r="K244" s="6">
        <v>0.21210000000000001</v>
      </c>
      <c r="L244" s="6">
        <v>0.47</v>
      </c>
      <c r="M244" s="6">
        <v>0.1343</v>
      </c>
      <c r="N244" s="6">
        <v>4</v>
      </c>
      <c r="O244" s="6">
        <v>31</v>
      </c>
      <c r="P244" s="7">
        <v>35</v>
      </c>
    </row>
    <row r="245" spans="1:16" x14ac:dyDescent="0.3">
      <c r="A245" s="8">
        <v>244</v>
      </c>
      <c r="B245" s="12">
        <v>40554</v>
      </c>
      <c r="C245" s="9">
        <v>1</v>
      </c>
      <c r="D245" s="9">
        <v>0</v>
      </c>
      <c r="E245" s="9">
        <v>1</v>
      </c>
      <c r="F245" s="9">
        <v>12</v>
      </c>
      <c r="G245" s="9" t="b">
        <v>0</v>
      </c>
      <c r="H245" s="9">
        <v>2</v>
      </c>
      <c r="I245" s="9">
        <v>2</v>
      </c>
      <c r="J245" s="9">
        <v>0.2</v>
      </c>
      <c r="K245" s="9">
        <v>0.2273</v>
      </c>
      <c r="L245" s="9">
        <v>0.51</v>
      </c>
      <c r="M245" s="9">
        <v>0.1045</v>
      </c>
      <c r="N245" s="9">
        <v>2</v>
      </c>
      <c r="O245" s="9">
        <v>55</v>
      </c>
      <c r="P245" s="10">
        <v>57</v>
      </c>
    </row>
    <row r="246" spans="1:16" x14ac:dyDescent="0.3">
      <c r="A246" s="5">
        <v>245</v>
      </c>
      <c r="B246" s="11">
        <v>40554</v>
      </c>
      <c r="C246" s="6">
        <v>1</v>
      </c>
      <c r="D246" s="6">
        <v>0</v>
      </c>
      <c r="E246" s="6">
        <v>1</v>
      </c>
      <c r="F246" s="6">
        <v>13</v>
      </c>
      <c r="G246" s="6" t="b">
        <v>0</v>
      </c>
      <c r="H246" s="6">
        <v>2</v>
      </c>
      <c r="I246" s="6">
        <v>2</v>
      </c>
      <c r="J246" s="6">
        <v>0.2</v>
      </c>
      <c r="K246" s="6">
        <v>0.2273</v>
      </c>
      <c r="L246" s="6">
        <v>0.59</v>
      </c>
      <c r="M246" s="6">
        <v>8.9599999999999999E-2</v>
      </c>
      <c r="N246" s="6">
        <v>6</v>
      </c>
      <c r="O246" s="6">
        <v>46</v>
      </c>
      <c r="P246" s="7">
        <v>52</v>
      </c>
    </row>
    <row r="247" spans="1:16" x14ac:dyDescent="0.3">
      <c r="A247" s="8">
        <v>246</v>
      </c>
      <c r="B247" s="12">
        <v>40554</v>
      </c>
      <c r="C247" s="9">
        <v>1</v>
      </c>
      <c r="D247" s="9">
        <v>0</v>
      </c>
      <c r="E247" s="9">
        <v>1</v>
      </c>
      <c r="F247" s="9">
        <v>14</v>
      </c>
      <c r="G247" s="9" t="b">
        <v>0</v>
      </c>
      <c r="H247" s="9">
        <v>2</v>
      </c>
      <c r="I247" s="9">
        <v>2</v>
      </c>
      <c r="J247" s="9">
        <v>0.2</v>
      </c>
      <c r="K247" s="9">
        <v>0.2273</v>
      </c>
      <c r="L247" s="9">
        <v>0.59</v>
      </c>
      <c r="M247" s="9">
        <v>8.9599999999999999E-2</v>
      </c>
      <c r="N247" s="9">
        <v>3</v>
      </c>
      <c r="O247" s="9">
        <v>60</v>
      </c>
      <c r="P247" s="10">
        <v>63</v>
      </c>
    </row>
    <row r="248" spans="1:16" x14ac:dyDescent="0.3">
      <c r="A248" s="5">
        <v>247</v>
      </c>
      <c r="B248" s="11">
        <v>40554</v>
      </c>
      <c r="C248" s="6">
        <v>1</v>
      </c>
      <c r="D248" s="6">
        <v>0</v>
      </c>
      <c r="E248" s="6">
        <v>1</v>
      </c>
      <c r="F248" s="6">
        <v>15</v>
      </c>
      <c r="G248" s="6" t="b">
        <v>0</v>
      </c>
      <c r="H248" s="6">
        <v>2</v>
      </c>
      <c r="I248" s="6">
        <v>2</v>
      </c>
      <c r="J248" s="6">
        <v>0.16</v>
      </c>
      <c r="K248" s="6">
        <v>0.19700000000000001</v>
      </c>
      <c r="L248" s="6">
        <v>0.8</v>
      </c>
      <c r="M248" s="6">
        <v>8.9599999999999999E-2</v>
      </c>
      <c r="N248" s="6">
        <v>2</v>
      </c>
      <c r="O248" s="6">
        <v>45</v>
      </c>
      <c r="P248" s="7">
        <v>47</v>
      </c>
    </row>
    <row r="249" spans="1:16" x14ac:dyDescent="0.3">
      <c r="A249" s="8">
        <v>248</v>
      </c>
      <c r="B249" s="12">
        <v>40554</v>
      </c>
      <c r="C249" s="9">
        <v>1</v>
      </c>
      <c r="D249" s="9">
        <v>0</v>
      </c>
      <c r="E249" s="9">
        <v>1</v>
      </c>
      <c r="F249" s="9">
        <v>16</v>
      </c>
      <c r="G249" s="9" t="b">
        <v>0</v>
      </c>
      <c r="H249" s="9">
        <v>2</v>
      </c>
      <c r="I249" s="9">
        <v>2</v>
      </c>
      <c r="J249" s="9">
        <v>0.16</v>
      </c>
      <c r="K249" s="9">
        <v>0.1515</v>
      </c>
      <c r="L249" s="9">
        <v>0.86</v>
      </c>
      <c r="M249" s="9">
        <v>0.22389999999999999</v>
      </c>
      <c r="N249" s="9">
        <v>4</v>
      </c>
      <c r="O249" s="9">
        <v>72</v>
      </c>
      <c r="P249" s="10">
        <v>76</v>
      </c>
    </row>
    <row r="250" spans="1:16" x14ac:dyDescent="0.3">
      <c r="A250" s="5">
        <v>249</v>
      </c>
      <c r="B250" s="11">
        <v>40554</v>
      </c>
      <c r="C250" s="6">
        <v>1</v>
      </c>
      <c r="D250" s="6">
        <v>0</v>
      </c>
      <c r="E250" s="6">
        <v>1</v>
      </c>
      <c r="F250" s="6">
        <v>17</v>
      </c>
      <c r="G250" s="6" t="b">
        <v>0</v>
      </c>
      <c r="H250" s="6">
        <v>2</v>
      </c>
      <c r="I250" s="6">
        <v>2</v>
      </c>
      <c r="J250" s="6">
        <v>0.16</v>
      </c>
      <c r="K250" s="6">
        <v>0.1515</v>
      </c>
      <c r="L250" s="6">
        <v>0.86</v>
      </c>
      <c r="M250" s="6">
        <v>0.22389999999999999</v>
      </c>
      <c r="N250" s="6">
        <v>6</v>
      </c>
      <c r="O250" s="6">
        <v>130</v>
      </c>
      <c r="P250" s="7">
        <v>136</v>
      </c>
    </row>
    <row r="251" spans="1:16" x14ac:dyDescent="0.3">
      <c r="A251" s="8">
        <v>250</v>
      </c>
      <c r="B251" s="12">
        <v>40554</v>
      </c>
      <c r="C251" s="9">
        <v>1</v>
      </c>
      <c r="D251" s="9">
        <v>0</v>
      </c>
      <c r="E251" s="9">
        <v>1</v>
      </c>
      <c r="F251" s="9">
        <v>18</v>
      </c>
      <c r="G251" s="9" t="b">
        <v>0</v>
      </c>
      <c r="H251" s="9">
        <v>2</v>
      </c>
      <c r="I251" s="9">
        <v>3</v>
      </c>
      <c r="J251" s="9">
        <v>0.16</v>
      </c>
      <c r="K251" s="9">
        <v>0.18179999999999999</v>
      </c>
      <c r="L251" s="9">
        <v>0.93</v>
      </c>
      <c r="M251" s="9">
        <v>0.1045</v>
      </c>
      <c r="N251" s="9">
        <v>1</v>
      </c>
      <c r="O251" s="9">
        <v>94</v>
      </c>
      <c r="P251" s="10">
        <v>95</v>
      </c>
    </row>
    <row r="252" spans="1:16" x14ac:dyDescent="0.3">
      <c r="A252" s="5">
        <v>251</v>
      </c>
      <c r="B252" s="11">
        <v>40554</v>
      </c>
      <c r="C252" s="6">
        <v>1</v>
      </c>
      <c r="D252" s="6">
        <v>0</v>
      </c>
      <c r="E252" s="6">
        <v>1</v>
      </c>
      <c r="F252" s="6">
        <v>19</v>
      </c>
      <c r="G252" s="6" t="b">
        <v>0</v>
      </c>
      <c r="H252" s="6">
        <v>2</v>
      </c>
      <c r="I252" s="6">
        <v>3</v>
      </c>
      <c r="J252" s="6">
        <v>0.16</v>
      </c>
      <c r="K252" s="6">
        <v>0.2273</v>
      </c>
      <c r="L252" s="6">
        <v>0.93</v>
      </c>
      <c r="M252" s="6">
        <v>0</v>
      </c>
      <c r="N252" s="6">
        <v>0</v>
      </c>
      <c r="O252" s="6">
        <v>51</v>
      </c>
      <c r="P252" s="7">
        <v>51</v>
      </c>
    </row>
    <row r="253" spans="1:16" x14ac:dyDescent="0.3">
      <c r="A253" s="8">
        <v>252</v>
      </c>
      <c r="B253" s="12">
        <v>40554</v>
      </c>
      <c r="C253" s="9">
        <v>1</v>
      </c>
      <c r="D253" s="9">
        <v>0</v>
      </c>
      <c r="E253" s="9">
        <v>1</v>
      </c>
      <c r="F253" s="9">
        <v>20</v>
      </c>
      <c r="G253" s="9" t="b">
        <v>0</v>
      </c>
      <c r="H253" s="9">
        <v>2</v>
      </c>
      <c r="I253" s="9">
        <v>3</v>
      </c>
      <c r="J253" s="9">
        <v>0.16</v>
      </c>
      <c r="K253" s="9">
        <v>0.1515</v>
      </c>
      <c r="L253" s="9">
        <v>0.93</v>
      </c>
      <c r="M253" s="9">
        <v>0.19400000000000001</v>
      </c>
      <c r="N253" s="9">
        <v>0</v>
      </c>
      <c r="O253" s="9">
        <v>32</v>
      </c>
      <c r="P253" s="10">
        <v>32</v>
      </c>
    </row>
    <row r="254" spans="1:16" x14ac:dyDescent="0.3">
      <c r="A254" s="5">
        <v>253</v>
      </c>
      <c r="B254" s="11">
        <v>40554</v>
      </c>
      <c r="C254" s="6">
        <v>1</v>
      </c>
      <c r="D254" s="6">
        <v>0</v>
      </c>
      <c r="E254" s="6">
        <v>1</v>
      </c>
      <c r="F254" s="6">
        <v>21</v>
      </c>
      <c r="G254" s="6" t="b">
        <v>0</v>
      </c>
      <c r="H254" s="6">
        <v>2</v>
      </c>
      <c r="I254" s="6">
        <v>3</v>
      </c>
      <c r="J254" s="6">
        <v>0.16</v>
      </c>
      <c r="K254" s="6">
        <v>0.19700000000000001</v>
      </c>
      <c r="L254" s="6">
        <v>0.86</v>
      </c>
      <c r="M254" s="6">
        <v>8.9599999999999999E-2</v>
      </c>
      <c r="N254" s="6">
        <v>0</v>
      </c>
      <c r="O254" s="6">
        <v>20</v>
      </c>
      <c r="P254" s="7">
        <v>20</v>
      </c>
    </row>
    <row r="255" spans="1:16" x14ac:dyDescent="0.3">
      <c r="A255" s="8">
        <v>254</v>
      </c>
      <c r="B255" s="12">
        <v>40554</v>
      </c>
      <c r="C255" s="9">
        <v>1</v>
      </c>
      <c r="D255" s="9">
        <v>0</v>
      </c>
      <c r="E255" s="9">
        <v>1</v>
      </c>
      <c r="F255" s="9">
        <v>22</v>
      </c>
      <c r="G255" s="9" t="b">
        <v>0</v>
      </c>
      <c r="H255" s="9">
        <v>2</v>
      </c>
      <c r="I255" s="9">
        <v>3</v>
      </c>
      <c r="J255" s="9">
        <v>0.16</v>
      </c>
      <c r="K255" s="9">
        <v>0.18179999999999999</v>
      </c>
      <c r="L255" s="9">
        <v>0.93</v>
      </c>
      <c r="M255" s="9">
        <v>0.1045</v>
      </c>
      <c r="N255" s="9">
        <v>1</v>
      </c>
      <c r="O255" s="9">
        <v>28</v>
      </c>
      <c r="P255" s="10">
        <v>29</v>
      </c>
    </row>
    <row r="256" spans="1:16" x14ac:dyDescent="0.3">
      <c r="A256" s="5">
        <v>255</v>
      </c>
      <c r="B256" s="11">
        <v>40554</v>
      </c>
      <c r="C256" s="6">
        <v>1</v>
      </c>
      <c r="D256" s="6">
        <v>0</v>
      </c>
      <c r="E256" s="6">
        <v>1</v>
      </c>
      <c r="F256" s="6">
        <v>23</v>
      </c>
      <c r="G256" s="6" t="b">
        <v>0</v>
      </c>
      <c r="H256" s="6">
        <v>2</v>
      </c>
      <c r="I256" s="6">
        <v>3</v>
      </c>
      <c r="J256" s="6">
        <v>0.16</v>
      </c>
      <c r="K256" s="6">
        <v>0.19700000000000001</v>
      </c>
      <c r="L256" s="6">
        <v>0.93</v>
      </c>
      <c r="M256" s="6">
        <v>8.9599999999999999E-2</v>
      </c>
      <c r="N256" s="6">
        <v>1</v>
      </c>
      <c r="O256" s="6">
        <v>18</v>
      </c>
      <c r="P256" s="7">
        <v>19</v>
      </c>
    </row>
    <row r="257" spans="1:16" x14ac:dyDescent="0.3">
      <c r="A257" s="8">
        <v>256</v>
      </c>
      <c r="B257" s="12">
        <v>40555</v>
      </c>
      <c r="C257" s="9">
        <v>1</v>
      </c>
      <c r="D257" s="9">
        <v>0</v>
      </c>
      <c r="E257" s="9">
        <v>1</v>
      </c>
      <c r="F257" s="9">
        <v>0</v>
      </c>
      <c r="G257" s="9" t="b">
        <v>0</v>
      </c>
      <c r="H257" s="9">
        <v>3</v>
      </c>
      <c r="I257" s="9">
        <v>2</v>
      </c>
      <c r="J257" s="9">
        <v>0.16</v>
      </c>
      <c r="K257" s="9">
        <v>0.19700000000000001</v>
      </c>
      <c r="L257" s="9">
        <v>0.86</v>
      </c>
      <c r="M257" s="9">
        <v>8.9599999999999999E-2</v>
      </c>
      <c r="N257" s="9">
        <v>0</v>
      </c>
      <c r="O257" s="9">
        <v>7</v>
      </c>
      <c r="P257" s="10">
        <v>7</v>
      </c>
    </row>
    <row r="258" spans="1:16" x14ac:dyDescent="0.3">
      <c r="A258" s="5">
        <v>257</v>
      </c>
      <c r="B258" s="11">
        <v>40555</v>
      </c>
      <c r="C258" s="6">
        <v>1</v>
      </c>
      <c r="D258" s="6">
        <v>0</v>
      </c>
      <c r="E258" s="6">
        <v>1</v>
      </c>
      <c r="F258" s="6">
        <v>1</v>
      </c>
      <c r="G258" s="6" t="b">
        <v>0</v>
      </c>
      <c r="H258" s="6">
        <v>3</v>
      </c>
      <c r="I258" s="6">
        <v>2</v>
      </c>
      <c r="J258" s="6">
        <v>0.16</v>
      </c>
      <c r="K258" s="6">
        <v>0.18179999999999999</v>
      </c>
      <c r="L258" s="6">
        <v>0.86</v>
      </c>
      <c r="M258" s="6">
        <v>0.1045</v>
      </c>
      <c r="N258" s="6">
        <v>0</v>
      </c>
      <c r="O258" s="6">
        <v>6</v>
      </c>
      <c r="P258" s="7">
        <v>6</v>
      </c>
    </row>
    <row r="259" spans="1:16" x14ac:dyDescent="0.3">
      <c r="A259" s="8">
        <v>258</v>
      </c>
      <c r="B259" s="12">
        <v>40555</v>
      </c>
      <c r="C259" s="9">
        <v>1</v>
      </c>
      <c r="D259" s="9">
        <v>0</v>
      </c>
      <c r="E259" s="9">
        <v>1</v>
      </c>
      <c r="F259" s="9">
        <v>2</v>
      </c>
      <c r="G259" s="9" t="b">
        <v>0</v>
      </c>
      <c r="H259" s="9">
        <v>3</v>
      </c>
      <c r="I259" s="9">
        <v>1</v>
      </c>
      <c r="J259" s="9">
        <v>0.14000000000000001</v>
      </c>
      <c r="K259" s="9">
        <v>0.1515</v>
      </c>
      <c r="L259" s="9">
        <v>0.86</v>
      </c>
      <c r="M259" s="9">
        <v>0.1343</v>
      </c>
      <c r="N259" s="9">
        <v>0</v>
      </c>
      <c r="O259" s="9">
        <v>1</v>
      </c>
      <c r="P259" s="10">
        <v>1</v>
      </c>
    </row>
    <row r="260" spans="1:16" x14ac:dyDescent="0.3">
      <c r="A260" s="5">
        <v>259</v>
      </c>
      <c r="B260" s="11">
        <v>40555</v>
      </c>
      <c r="C260" s="6">
        <v>1</v>
      </c>
      <c r="D260" s="6">
        <v>0</v>
      </c>
      <c r="E260" s="6">
        <v>1</v>
      </c>
      <c r="F260" s="6">
        <v>5</v>
      </c>
      <c r="G260" s="6" t="b">
        <v>0</v>
      </c>
      <c r="H260" s="6">
        <v>3</v>
      </c>
      <c r="I260" s="6">
        <v>1</v>
      </c>
      <c r="J260" s="6">
        <v>0.14000000000000001</v>
      </c>
      <c r="K260" s="6">
        <v>0.1515</v>
      </c>
      <c r="L260" s="6">
        <v>0.86</v>
      </c>
      <c r="M260" s="6">
        <v>0.16420000000000001</v>
      </c>
      <c r="N260" s="6">
        <v>0</v>
      </c>
      <c r="O260" s="6">
        <v>5</v>
      </c>
      <c r="P260" s="7">
        <v>5</v>
      </c>
    </row>
    <row r="261" spans="1:16" x14ac:dyDescent="0.3">
      <c r="A261" s="8">
        <v>260</v>
      </c>
      <c r="B261" s="12">
        <v>40555</v>
      </c>
      <c r="C261" s="9">
        <v>1</v>
      </c>
      <c r="D261" s="9">
        <v>0</v>
      </c>
      <c r="E261" s="9">
        <v>1</v>
      </c>
      <c r="F261" s="9">
        <v>6</v>
      </c>
      <c r="G261" s="9" t="b">
        <v>0</v>
      </c>
      <c r="H261" s="9">
        <v>3</v>
      </c>
      <c r="I261" s="9">
        <v>1</v>
      </c>
      <c r="J261" s="9">
        <v>0.12</v>
      </c>
      <c r="K261" s="9">
        <v>0.1515</v>
      </c>
      <c r="L261" s="9">
        <v>0.93</v>
      </c>
      <c r="M261" s="9">
        <v>0.1343</v>
      </c>
      <c r="N261" s="9">
        <v>0</v>
      </c>
      <c r="O261" s="9">
        <v>16</v>
      </c>
      <c r="P261" s="10">
        <v>16</v>
      </c>
    </row>
    <row r="262" spans="1:16" x14ac:dyDescent="0.3">
      <c r="A262" s="5">
        <v>261</v>
      </c>
      <c r="B262" s="11">
        <v>40555</v>
      </c>
      <c r="C262" s="6">
        <v>1</v>
      </c>
      <c r="D262" s="6">
        <v>0</v>
      </c>
      <c r="E262" s="6">
        <v>1</v>
      </c>
      <c r="F262" s="6">
        <v>7</v>
      </c>
      <c r="G262" s="6" t="b">
        <v>0</v>
      </c>
      <c r="H262" s="6">
        <v>3</v>
      </c>
      <c r="I262" s="6">
        <v>1</v>
      </c>
      <c r="J262" s="6">
        <v>0.14000000000000001</v>
      </c>
      <c r="K262" s="6">
        <v>0.1515</v>
      </c>
      <c r="L262" s="6">
        <v>0.69</v>
      </c>
      <c r="M262" s="6">
        <v>0.1343</v>
      </c>
      <c r="N262" s="6">
        <v>0</v>
      </c>
      <c r="O262" s="6">
        <v>54</v>
      </c>
      <c r="P262" s="7">
        <v>54</v>
      </c>
    </row>
    <row r="263" spans="1:16" x14ac:dyDescent="0.3">
      <c r="A263" s="8">
        <v>262</v>
      </c>
      <c r="B263" s="12">
        <v>40555</v>
      </c>
      <c r="C263" s="9">
        <v>1</v>
      </c>
      <c r="D263" s="9">
        <v>0</v>
      </c>
      <c r="E263" s="9">
        <v>1</v>
      </c>
      <c r="F263" s="9">
        <v>8</v>
      </c>
      <c r="G263" s="9" t="b">
        <v>0</v>
      </c>
      <c r="H263" s="9">
        <v>3</v>
      </c>
      <c r="I263" s="9">
        <v>1</v>
      </c>
      <c r="J263" s="9">
        <v>0.16</v>
      </c>
      <c r="K263" s="9">
        <v>0.16669999999999999</v>
      </c>
      <c r="L263" s="9">
        <v>0.59</v>
      </c>
      <c r="M263" s="9">
        <v>0.16420000000000001</v>
      </c>
      <c r="N263" s="9">
        <v>3</v>
      </c>
      <c r="O263" s="9">
        <v>125</v>
      </c>
      <c r="P263" s="10">
        <v>128</v>
      </c>
    </row>
    <row r="264" spans="1:16" x14ac:dyDescent="0.3">
      <c r="A264" s="5">
        <v>263</v>
      </c>
      <c r="B264" s="11">
        <v>40555</v>
      </c>
      <c r="C264" s="6">
        <v>1</v>
      </c>
      <c r="D264" s="6">
        <v>0</v>
      </c>
      <c r="E264" s="6">
        <v>1</v>
      </c>
      <c r="F264" s="6">
        <v>9</v>
      </c>
      <c r="G264" s="6" t="b">
        <v>0</v>
      </c>
      <c r="H264" s="6">
        <v>3</v>
      </c>
      <c r="I264" s="6">
        <v>1</v>
      </c>
      <c r="J264" s="6">
        <v>0.16</v>
      </c>
      <c r="K264" s="6">
        <v>0.13639999999999999</v>
      </c>
      <c r="L264" s="6">
        <v>0.59</v>
      </c>
      <c r="M264" s="6">
        <v>0.32840000000000003</v>
      </c>
      <c r="N264" s="6">
        <v>3</v>
      </c>
      <c r="O264" s="6">
        <v>78</v>
      </c>
      <c r="P264" s="7">
        <v>81</v>
      </c>
    </row>
    <row r="265" spans="1:16" x14ac:dyDescent="0.3">
      <c r="A265" s="8">
        <v>264</v>
      </c>
      <c r="B265" s="12">
        <v>40555</v>
      </c>
      <c r="C265" s="9">
        <v>1</v>
      </c>
      <c r="D265" s="9">
        <v>0</v>
      </c>
      <c r="E265" s="9">
        <v>1</v>
      </c>
      <c r="F265" s="9">
        <v>10</v>
      </c>
      <c r="G265" s="9" t="b">
        <v>0</v>
      </c>
      <c r="H265" s="9">
        <v>3</v>
      </c>
      <c r="I265" s="9">
        <v>1</v>
      </c>
      <c r="J265" s="9">
        <v>0.18</v>
      </c>
      <c r="K265" s="9">
        <v>0.18179999999999999</v>
      </c>
      <c r="L265" s="9">
        <v>0.55000000000000004</v>
      </c>
      <c r="M265" s="9">
        <v>0.22389999999999999</v>
      </c>
      <c r="N265" s="9">
        <v>0</v>
      </c>
      <c r="O265" s="9">
        <v>39</v>
      </c>
      <c r="P265" s="10">
        <v>39</v>
      </c>
    </row>
    <row r="266" spans="1:16" x14ac:dyDescent="0.3">
      <c r="A266" s="5">
        <v>265</v>
      </c>
      <c r="B266" s="11">
        <v>40555</v>
      </c>
      <c r="C266" s="6">
        <v>1</v>
      </c>
      <c r="D266" s="6">
        <v>0</v>
      </c>
      <c r="E266" s="6">
        <v>1</v>
      </c>
      <c r="F266" s="6">
        <v>11</v>
      </c>
      <c r="G266" s="6" t="b">
        <v>0</v>
      </c>
      <c r="H266" s="6">
        <v>3</v>
      </c>
      <c r="I266" s="6">
        <v>1</v>
      </c>
      <c r="J266" s="6">
        <v>0.2</v>
      </c>
      <c r="K266" s="6">
        <v>0.18179999999999999</v>
      </c>
      <c r="L266" s="6">
        <v>0.51</v>
      </c>
      <c r="M266" s="6">
        <v>0.3881</v>
      </c>
      <c r="N266" s="6">
        <v>3</v>
      </c>
      <c r="O266" s="6">
        <v>32</v>
      </c>
      <c r="P266" s="7">
        <v>35</v>
      </c>
    </row>
    <row r="267" spans="1:16" x14ac:dyDescent="0.3">
      <c r="A267" s="8">
        <v>266</v>
      </c>
      <c r="B267" s="12">
        <v>40555</v>
      </c>
      <c r="C267" s="9">
        <v>1</v>
      </c>
      <c r="D267" s="9">
        <v>0</v>
      </c>
      <c r="E267" s="9">
        <v>1</v>
      </c>
      <c r="F267" s="9">
        <v>12</v>
      </c>
      <c r="G267" s="9" t="b">
        <v>0</v>
      </c>
      <c r="H267" s="9">
        <v>3</v>
      </c>
      <c r="I267" s="9">
        <v>1</v>
      </c>
      <c r="J267" s="9">
        <v>0.2</v>
      </c>
      <c r="K267" s="9">
        <v>0.1515</v>
      </c>
      <c r="L267" s="9">
        <v>0.47</v>
      </c>
      <c r="M267" s="9">
        <v>0.58209999999999995</v>
      </c>
      <c r="N267" s="9">
        <v>3</v>
      </c>
      <c r="O267" s="9">
        <v>52</v>
      </c>
      <c r="P267" s="10">
        <v>55</v>
      </c>
    </row>
    <row r="268" spans="1:16" x14ac:dyDescent="0.3">
      <c r="A268" s="5">
        <v>267</v>
      </c>
      <c r="B268" s="11">
        <v>40555</v>
      </c>
      <c r="C268" s="6">
        <v>1</v>
      </c>
      <c r="D268" s="6">
        <v>0</v>
      </c>
      <c r="E268" s="6">
        <v>1</v>
      </c>
      <c r="F268" s="6">
        <v>13</v>
      </c>
      <c r="G268" s="6" t="b">
        <v>0</v>
      </c>
      <c r="H268" s="6">
        <v>3</v>
      </c>
      <c r="I268" s="6">
        <v>1</v>
      </c>
      <c r="J268" s="6">
        <v>0.22</v>
      </c>
      <c r="K268" s="6">
        <v>0.19700000000000001</v>
      </c>
      <c r="L268" s="6">
        <v>0.44</v>
      </c>
      <c r="M268" s="6">
        <v>0.35820000000000002</v>
      </c>
      <c r="N268" s="6">
        <v>0</v>
      </c>
      <c r="O268" s="6">
        <v>49</v>
      </c>
      <c r="P268" s="7">
        <v>49</v>
      </c>
    </row>
    <row r="269" spans="1:16" x14ac:dyDescent="0.3">
      <c r="A269" s="8">
        <v>268</v>
      </c>
      <c r="B269" s="12">
        <v>40555</v>
      </c>
      <c r="C269" s="9">
        <v>1</v>
      </c>
      <c r="D269" s="9">
        <v>0</v>
      </c>
      <c r="E269" s="9">
        <v>1</v>
      </c>
      <c r="F269" s="9">
        <v>14</v>
      </c>
      <c r="G269" s="9" t="b">
        <v>0</v>
      </c>
      <c r="H269" s="9">
        <v>3</v>
      </c>
      <c r="I269" s="9">
        <v>1</v>
      </c>
      <c r="J269" s="9">
        <v>0.2</v>
      </c>
      <c r="K269" s="9">
        <v>0.18179999999999999</v>
      </c>
      <c r="L269" s="9">
        <v>0.47</v>
      </c>
      <c r="M269" s="9">
        <v>0.32840000000000003</v>
      </c>
      <c r="N269" s="9">
        <v>0</v>
      </c>
      <c r="O269" s="9">
        <v>44</v>
      </c>
      <c r="P269" s="10">
        <v>44</v>
      </c>
    </row>
    <row r="270" spans="1:16" x14ac:dyDescent="0.3">
      <c r="A270" s="5">
        <v>269</v>
      </c>
      <c r="B270" s="11">
        <v>40555</v>
      </c>
      <c r="C270" s="6">
        <v>1</v>
      </c>
      <c r="D270" s="6">
        <v>0</v>
      </c>
      <c r="E270" s="6">
        <v>1</v>
      </c>
      <c r="F270" s="6">
        <v>15</v>
      </c>
      <c r="G270" s="6" t="b">
        <v>0</v>
      </c>
      <c r="H270" s="6">
        <v>3</v>
      </c>
      <c r="I270" s="6">
        <v>1</v>
      </c>
      <c r="J270" s="6">
        <v>0.2</v>
      </c>
      <c r="K270" s="6">
        <v>0.16669999999999999</v>
      </c>
      <c r="L270" s="6">
        <v>0.47</v>
      </c>
      <c r="M270" s="6">
        <v>0.41789999999999999</v>
      </c>
      <c r="N270" s="6">
        <v>1</v>
      </c>
      <c r="O270" s="6">
        <v>48</v>
      </c>
      <c r="P270" s="7">
        <v>49</v>
      </c>
    </row>
    <row r="271" spans="1:16" x14ac:dyDescent="0.3">
      <c r="A271" s="8">
        <v>270</v>
      </c>
      <c r="B271" s="12">
        <v>40555</v>
      </c>
      <c r="C271" s="9">
        <v>1</v>
      </c>
      <c r="D271" s="9">
        <v>0</v>
      </c>
      <c r="E271" s="9">
        <v>1</v>
      </c>
      <c r="F271" s="9">
        <v>16</v>
      </c>
      <c r="G271" s="9" t="b">
        <v>0</v>
      </c>
      <c r="H271" s="9">
        <v>3</v>
      </c>
      <c r="I271" s="9">
        <v>1</v>
      </c>
      <c r="J271" s="9">
        <v>0.22</v>
      </c>
      <c r="K271" s="9">
        <v>0.19700000000000001</v>
      </c>
      <c r="L271" s="9">
        <v>0.44</v>
      </c>
      <c r="M271" s="9">
        <v>0.32840000000000003</v>
      </c>
      <c r="N271" s="9">
        <v>5</v>
      </c>
      <c r="O271" s="9">
        <v>63</v>
      </c>
      <c r="P271" s="10">
        <v>68</v>
      </c>
    </row>
    <row r="272" spans="1:16" x14ac:dyDescent="0.3">
      <c r="A272" s="5">
        <v>271</v>
      </c>
      <c r="B272" s="11">
        <v>40555</v>
      </c>
      <c r="C272" s="6">
        <v>1</v>
      </c>
      <c r="D272" s="6">
        <v>0</v>
      </c>
      <c r="E272" s="6">
        <v>1</v>
      </c>
      <c r="F272" s="6">
        <v>17</v>
      </c>
      <c r="G272" s="6" t="b">
        <v>0</v>
      </c>
      <c r="H272" s="6">
        <v>3</v>
      </c>
      <c r="I272" s="6">
        <v>1</v>
      </c>
      <c r="J272" s="6">
        <v>0.2</v>
      </c>
      <c r="K272" s="6">
        <v>0.18179999999999999</v>
      </c>
      <c r="L272" s="6">
        <v>0.47</v>
      </c>
      <c r="M272" s="6">
        <v>0.35820000000000002</v>
      </c>
      <c r="N272" s="6">
        <v>0</v>
      </c>
      <c r="O272" s="6">
        <v>139</v>
      </c>
      <c r="P272" s="7">
        <v>139</v>
      </c>
    </row>
    <row r="273" spans="1:16" x14ac:dyDescent="0.3">
      <c r="A273" s="8">
        <v>272</v>
      </c>
      <c r="B273" s="12">
        <v>40555</v>
      </c>
      <c r="C273" s="9">
        <v>1</v>
      </c>
      <c r="D273" s="9">
        <v>0</v>
      </c>
      <c r="E273" s="9">
        <v>1</v>
      </c>
      <c r="F273" s="9">
        <v>18</v>
      </c>
      <c r="G273" s="9" t="b">
        <v>0</v>
      </c>
      <c r="H273" s="9">
        <v>3</v>
      </c>
      <c r="I273" s="9">
        <v>1</v>
      </c>
      <c r="J273" s="9">
        <v>0.2</v>
      </c>
      <c r="K273" s="9">
        <v>0.1515</v>
      </c>
      <c r="L273" s="9">
        <v>0.47</v>
      </c>
      <c r="M273" s="9">
        <v>0.52239999999999998</v>
      </c>
      <c r="N273" s="9">
        <v>2</v>
      </c>
      <c r="O273" s="9">
        <v>135</v>
      </c>
      <c r="P273" s="10">
        <v>137</v>
      </c>
    </row>
    <row r="274" spans="1:16" x14ac:dyDescent="0.3">
      <c r="A274" s="5">
        <v>273</v>
      </c>
      <c r="B274" s="11">
        <v>40555</v>
      </c>
      <c r="C274" s="6">
        <v>1</v>
      </c>
      <c r="D274" s="6">
        <v>0</v>
      </c>
      <c r="E274" s="6">
        <v>1</v>
      </c>
      <c r="F274" s="6">
        <v>19</v>
      </c>
      <c r="G274" s="6" t="b">
        <v>0</v>
      </c>
      <c r="H274" s="6">
        <v>3</v>
      </c>
      <c r="I274" s="6">
        <v>1</v>
      </c>
      <c r="J274" s="6">
        <v>0.18</v>
      </c>
      <c r="K274" s="6">
        <v>0.1515</v>
      </c>
      <c r="L274" s="6">
        <v>0.47</v>
      </c>
      <c r="M274" s="6">
        <v>0.41789999999999999</v>
      </c>
      <c r="N274" s="6">
        <v>1</v>
      </c>
      <c r="O274" s="6">
        <v>82</v>
      </c>
      <c r="P274" s="7">
        <v>83</v>
      </c>
    </row>
    <row r="275" spans="1:16" x14ac:dyDescent="0.3">
      <c r="A275" s="8">
        <v>274</v>
      </c>
      <c r="B275" s="12">
        <v>40555</v>
      </c>
      <c r="C275" s="9">
        <v>1</v>
      </c>
      <c r="D275" s="9">
        <v>0</v>
      </c>
      <c r="E275" s="9">
        <v>1</v>
      </c>
      <c r="F275" s="9">
        <v>20</v>
      </c>
      <c r="G275" s="9" t="b">
        <v>0</v>
      </c>
      <c r="H275" s="9">
        <v>3</v>
      </c>
      <c r="I275" s="9">
        <v>1</v>
      </c>
      <c r="J275" s="9">
        <v>0.16</v>
      </c>
      <c r="K275" s="9">
        <v>0.13639999999999999</v>
      </c>
      <c r="L275" s="9">
        <v>0.5</v>
      </c>
      <c r="M275" s="9">
        <v>0.32840000000000003</v>
      </c>
      <c r="N275" s="9">
        <v>2</v>
      </c>
      <c r="O275" s="9">
        <v>54</v>
      </c>
      <c r="P275" s="10">
        <v>56</v>
      </c>
    </row>
    <row r="276" spans="1:16" x14ac:dyDescent="0.3">
      <c r="A276" s="5">
        <v>275</v>
      </c>
      <c r="B276" s="11">
        <v>40555</v>
      </c>
      <c r="C276" s="6">
        <v>1</v>
      </c>
      <c r="D276" s="6">
        <v>0</v>
      </c>
      <c r="E276" s="6">
        <v>1</v>
      </c>
      <c r="F276" s="6">
        <v>21</v>
      </c>
      <c r="G276" s="6" t="b">
        <v>0</v>
      </c>
      <c r="H276" s="6">
        <v>3</v>
      </c>
      <c r="I276" s="6">
        <v>1</v>
      </c>
      <c r="J276" s="6">
        <v>0.16</v>
      </c>
      <c r="K276" s="6">
        <v>0.13639999999999999</v>
      </c>
      <c r="L276" s="6">
        <v>0.55000000000000004</v>
      </c>
      <c r="M276" s="6">
        <v>0.32840000000000003</v>
      </c>
      <c r="N276" s="6">
        <v>0</v>
      </c>
      <c r="O276" s="6">
        <v>57</v>
      </c>
      <c r="P276" s="7">
        <v>57</v>
      </c>
    </row>
    <row r="277" spans="1:16" x14ac:dyDescent="0.3">
      <c r="A277" s="8">
        <v>276</v>
      </c>
      <c r="B277" s="12">
        <v>40555</v>
      </c>
      <c r="C277" s="9">
        <v>1</v>
      </c>
      <c r="D277" s="9">
        <v>0</v>
      </c>
      <c r="E277" s="9">
        <v>1</v>
      </c>
      <c r="F277" s="9">
        <v>22</v>
      </c>
      <c r="G277" s="9" t="b">
        <v>0</v>
      </c>
      <c r="H277" s="9">
        <v>3</v>
      </c>
      <c r="I277" s="9">
        <v>1</v>
      </c>
      <c r="J277" s="9">
        <v>0.16</v>
      </c>
      <c r="K277" s="9">
        <v>0.1212</v>
      </c>
      <c r="L277" s="9">
        <v>0.55000000000000004</v>
      </c>
      <c r="M277" s="9">
        <v>0.44779999999999998</v>
      </c>
      <c r="N277" s="9">
        <v>1</v>
      </c>
      <c r="O277" s="9">
        <v>32</v>
      </c>
      <c r="P277" s="10">
        <v>33</v>
      </c>
    </row>
    <row r="278" spans="1:16" x14ac:dyDescent="0.3">
      <c r="A278" s="5">
        <v>277</v>
      </c>
      <c r="B278" s="11">
        <v>40555</v>
      </c>
      <c r="C278" s="6">
        <v>1</v>
      </c>
      <c r="D278" s="6">
        <v>0</v>
      </c>
      <c r="E278" s="6">
        <v>1</v>
      </c>
      <c r="F278" s="6">
        <v>23</v>
      </c>
      <c r="G278" s="6" t="b">
        <v>0</v>
      </c>
      <c r="H278" s="6">
        <v>3</v>
      </c>
      <c r="I278" s="6">
        <v>1</v>
      </c>
      <c r="J278" s="6">
        <v>0.14000000000000001</v>
      </c>
      <c r="K278" s="6">
        <v>0.1061</v>
      </c>
      <c r="L278" s="6">
        <v>0.59</v>
      </c>
      <c r="M278" s="6">
        <v>0.41789999999999999</v>
      </c>
      <c r="N278" s="6">
        <v>1</v>
      </c>
      <c r="O278" s="6">
        <v>19</v>
      </c>
      <c r="P278" s="7">
        <v>20</v>
      </c>
    </row>
    <row r="279" spans="1:16" x14ac:dyDescent="0.3">
      <c r="A279" s="8">
        <v>278</v>
      </c>
      <c r="B279" s="12">
        <v>40556</v>
      </c>
      <c r="C279" s="9">
        <v>1</v>
      </c>
      <c r="D279" s="9">
        <v>0</v>
      </c>
      <c r="E279" s="9">
        <v>1</v>
      </c>
      <c r="F279" s="9">
        <v>0</v>
      </c>
      <c r="G279" s="9" t="b">
        <v>0</v>
      </c>
      <c r="H279" s="9">
        <v>4</v>
      </c>
      <c r="I279" s="9">
        <v>1</v>
      </c>
      <c r="J279" s="9">
        <v>0.14000000000000001</v>
      </c>
      <c r="K279" s="9">
        <v>0.1212</v>
      </c>
      <c r="L279" s="9">
        <v>0.59</v>
      </c>
      <c r="M279" s="9">
        <v>0.28360000000000002</v>
      </c>
      <c r="N279" s="9">
        <v>1</v>
      </c>
      <c r="O279" s="9">
        <v>6</v>
      </c>
      <c r="P279" s="10">
        <v>7</v>
      </c>
    </row>
    <row r="280" spans="1:16" x14ac:dyDescent="0.3">
      <c r="A280" s="5">
        <v>279</v>
      </c>
      <c r="B280" s="11">
        <v>40556</v>
      </c>
      <c r="C280" s="6">
        <v>1</v>
      </c>
      <c r="D280" s="6">
        <v>0</v>
      </c>
      <c r="E280" s="6">
        <v>1</v>
      </c>
      <c r="F280" s="6">
        <v>1</v>
      </c>
      <c r="G280" s="6" t="b">
        <v>0</v>
      </c>
      <c r="H280" s="6">
        <v>4</v>
      </c>
      <c r="I280" s="6">
        <v>1</v>
      </c>
      <c r="J280" s="6">
        <v>0.14000000000000001</v>
      </c>
      <c r="K280" s="6">
        <v>0.1212</v>
      </c>
      <c r="L280" s="6">
        <v>0.5</v>
      </c>
      <c r="M280" s="6">
        <v>0.28360000000000002</v>
      </c>
      <c r="N280" s="6">
        <v>0</v>
      </c>
      <c r="O280" s="6">
        <v>2</v>
      </c>
      <c r="P280" s="7">
        <v>2</v>
      </c>
    </row>
    <row r="281" spans="1:16" x14ac:dyDescent="0.3">
      <c r="A281" s="8">
        <v>280</v>
      </c>
      <c r="B281" s="12">
        <v>40556</v>
      </c>
      <c r="C281" s="9">
        <v>1</v>
      </c>
      <c r="D281" s="9">
        <v>0</v>
      </c>
      <c r="E281" s="9">
        <v>1</v>
      </c>
      <c r="F281" s="9">
        <v>2</v>
      </c>
      <c r="G281" s="9" t="b">
        <v>0</v>
      </c>
      <c r="H281" s="9">
        <v>4</v>
      </c>
      <c r="I281" s="9">
        <v>1</v>
      </c>
      <c r="J281" s="9">
        <v>0.14000000000000001</v>
      </c>
      <c r="K281" s="9">
        <v>0.1212</v>
      </c>
      <c r="L281" s="9">
        <v>0.5</v>
      </c>
      <c r="M281" s="9">
        <v>0.35820000000000002</v>
      </c>
      <c r="N281" s="9">
        <v>0</v>
      </c>
      <c r="O281" s="9">
        <v>2</v>
      </c>
      <c r="P281" s="10">
        <v>2</v>
      </c>
    </row>
    <row r="282" spans="1:16" x14ac:dyDescent="0.3">
      <c r="A282" s="5">
        <v>281</v>
      </c>
      <c r="B282" s="11">
        <v>40556</v>
      </c>
      <c r="C282" s="6">
        <v>1</v>
      </c>
      <c r="D282" s="6">
        <v>0</v>
      </c>
      <c r="E282" s="6">
        <v>1</v>
      </c>
      <c r="F282" s="6">
        <v>3</v>
      </c>
      <c r="G282" s="6" t="b">
        <v>0</v>
      </c>
      <c r="H282" s="6">
        <v>4</v>
      </c>
      <c r="I282" s="6">
        <v>1</v>
      </c>
      <c r="J282" s="6">
        <v>0.14000000000000001</v>
      </c>
      <c r="K282" s="6">
        <v>0.1212</v>
      </c>
      <c r="L282" s="6">
        <v>0.5</v>
      </c>
      <c r="M282" s="6">
        <v>0.32840000000000003</v>
      </c>
      <c r="N282" s="6">
        <v>0</v>
      </c>
      <c r="O282" s="6">
        <v>3</v>
      </c>
      <c r="P282" s="7">
        <v>3</v>
      </c>
    </row>
    <row r="283" spans="1:16" x14ac:dyDescent="0.3">
      <c r="A283" s="8">
        <v>282</v>
      </c>
      <c r="B283" s="12">
        <v>40556</v>
      </c>
      <c r="C283" s="9">
        <v>1</v>
      </c>
      <c r="D283" s="9">
        <v>0</v>
      </c>
      <c r="E283" s="9">
        <v>1</v>
      </c>
      <c r="F283" s="9">
        <v>4</v>
      </c>
      <c r="G283" s="9" t="b">
        <v>0</v>
      </c>
      <c r="H283" s="9">
        <v>4</v>
      </c>
      <c r="I283" s="9">
        <v>1</v>
      </c>
      <c r="J283" s="9">
        <v>0.14000000000000001</v>
      </c>
      <c r="K283" s="9">
        <v>0.1212</v>
      </c>
      <c r="L283" s="9">
        <v>0.5</v>
      </c>
      <c r="M283" s="9">
        <v>0.25369999999999998</v>
      </c>
      <c r="N283" s="9">
        <v>0</v>
      </c>
      <c r="O283" s="9">
        <v>4</v>
      </c>
      <c r="P283" s="10">
        <v>4</v>
      </c>
    </row>
    <row r="284" spans="1:16" x14ac:dyDescent="0.3">
      <c r="A284" s="5">
        <v>283</v>
      </c>
      <c r="B284" s="11">
        <v>40556</v>
      </c>
      <c r="C284" s="6">
        <v>1</v>
      </c>
      <c r="D284" s="6">
        <v>0</v>
      </c>
      <c r="E284" s="6">
        <v>1</v>
      </c>
      <c r="F284" s="6">
        <v>5</v>
      </c>
      <c r="G284" s="6" t="b">
        <v>0</v>
      </c>
      <c r="H284" s="6">
        <v>4</v>
      </c>
      <c r="I284" s="6">
        <v>1</v>
      </c>
      <c r="J284" s="6">
        <v>0.14000000000000001</v>
      </c>
      <c r="K284" s="6">
        <v>0.1212</v>
      </c>
      <c r="L284" s="6">
        <v>0.5</v>
      </c>
      <c r="M284" s="6">
        <v>0.29849999999999999</v>
      </c>
      <c r="N284" s="6">
        <v>0</v>
      </c>
      <c r="O284" s="6">
        <v>3</v>
      </c>
      <c r="P284" s="7">
        <v>3</v>
      </c>
    </row>
    <row r="285" spans="1:16" x14ac:dyDescent="0.3">
      <c r="A285" s="8">
        <v>284</v>
      </c>
      <c r="B285" s="12">
        <v>40556</v>
      </c>
      <c r="C285" s="9">
        <v>1</v>
      </c>
      <c r="D285" s="9">
        <v>0</v>
      </c>
      <c r="E285" s="9">
        <v>1</v>
      </c>
      <c r="F285" s="9">
        <v>6</v>
      </c>
      <c r="G285" s="9" t="b">
        <v>0</v>
      </c>
      <c r="H285" s="9">
        <v>4</v>
      </c>
      <c r="I285" s="9">
        <v>1</v>
      </c>
      <c r="J285" s="9">
        <v>0.12</v>
      </c>
      <c r="K285" s="9">
        <v>0.1515</v>
      </c>
      <c r="L285" s="9">
        <v>0.54</v>
      </c>
      <c r="M285" s="9">
        <v>0.1343</v>
      </c>
      <c r="N285" s="9">
        <v>0</v>
      </c>
      <c r="O285" s="9">
        <v>28</v>
      </c>
      <c r="P285" s="10">
        <v>28</v>
      </c>
    </row>
    <row r="286" spans="1:16" x14ac:dyDescent="0.3">
      <c r="A286" s="5">
        <v>285</v>
      </c>
      <c r="B286" s="11">
        <v>40556</v>
      </c>
      <c r="C286" s="6">
        <v>1</v>
      </c>
      <c r="D286" s="6">
        <v>0</v>
      </c>
      <c r="E286" s="6">
        <v>1</v>
      </c>
      <c r="F286" s="6">
        <v>7</v>
      </c>
      <c r="G286" s="6" t="b">
        <v>0</v>
      </c>
      <c r="H286" s="6">
        <v>4</v>
      </c>
      <c r="I286" s="6">
        <v>1</v>
      </c>
      <c r="J286" s="6">
        <v>0.12</v>
      </c>
      <c r="K286" s="6">
        <v>0.1515</v>
      </c>
      <c r="L286" s="6">
        <v>0.54</v>
      </c>
      <c r="M286" s="6">
        <v>0.1343</v>
      </c>
      <c r="N286" s="6">
        <v>0</v>
      </c>
      <c r="O286" s="6">
        <v>72</v>
      </c>
      <c r="P286" s="7">
        <v>72</v>
      </c>
    </row>
    <row r="287" spans="1:16" x14ac:dyDescent="0.3">
      <c r="A287" s="8">
        <v>286</v>
      </c>
      <c r="B287" s="12">
        <v>40556</v>
      </c>
      <c r="C287" s="9">
        <v>1</v>
      </c>
      <c r="D287" s="9">
        <v>0</v>
      </c>
      <c r="E287" s="9">
        <v>1</v>
      </c>
      <c r="F287" s="9">
        <v>8</v>
      </c>
      <c r="G287" s="9" t="b">
        <v>0</v>
      </c>
      <c r="H287" s="9">
        <v>4</v>
      </c>
      <c r="I287" s="9">
        <v>1</v>
      </c>
      <c r="J287" s="9">
        <v>0.14000000000000001</v>
      </c>
      <c r="K287" s="9">
        <v>0.13639999999999999</v>
      </c>
      <c r="L287" s="9">
        <v>0.5</v>
      </c>
      <c r="M287" s="9">
        <v>0.19400000000000001</v>
      </c>
      <c r="N287" s="9">
        <v>5</v>
      </c>
      <c r="O287" s="9">
        <v>197</v>
      </c>
      <c r="P287" s="10">
        <v>202</v>
      </c>
    </row>
    <row r="288" spans="1:16" x14ac:dyDescent="0.3">
      <c r="A288" s="5">
        <v>287</v>
      </c>
      <c r="B288" s="11">
        <v>40556</v>
      </c>
      <c r="C288" s="6">
        <v>1</v>
      </c>
      <c r="D288" s="6">
        <v>0</v>
      </c>
      <c r="E288" s="6">
        <v>1</v>
      </c>
      <c r="F288" s="6">
        <v>9</v>
      </c>
      <c r="G288" s="6" t="b">
        <v>0</v>
      </c>
      <c r="H288" s="6">
        <v>4</v>
      </c>
      <c r="I288" s="6">
        <v>1</v>
      </c>
      <c r="J288" s="6">
        <v>0.14000000000000001</v>
      </c>
      <c r="K288" s="6">
        <v>0.1212</v>
      </c>
      <c r="L288" s="6">
        <v>0.5</v>
      </c>
      <c r="M288" s="6">
        <v>0.32840000000000003</v>
      </c>
      <c r="N288" s="6">
        <v>2</v>
      </c>
      <c r="O288" s="6">
        <v>137</v>
      </c>
      <c r="P288" s="7">
        <v>139</v>
      </c>
    </row>
    <row r="289" spans="1:16" x14ac:dyDescent="0.3">
      <c r="A289" s="8">
        <v>288</v>
      </c>
      <c r="B289" s="12">
        <v>40556</v>
      </c>
      <c r="C289" s="9">
        <v>1</v>
      </c>
      <c r="D289" s="9">
        <v>0</v>
      </c>
      <c r="E289" s="9">
        <v>1</v>
      </c>
      <c r="F289" s="9">
        <v>10</v>
      </c>
      <c r="G289" s="9" t="b">
        <v>0</v>
      </c>
      <c r="H289" s="9">
        <v>4</v>
      </c>
      <c r="I289" s="9">
        <v>2</v>
      </c>
      <c r="J289" s="9">
        <v>0.16</v>
      </c>
      <c r="K289" s="9">
        <v>0.13639999999999999</v>
      </c>
      <c r="L289" s="9">
        <v>0.5</v>
      </c>
      <c r="M289" s="9">
        <v>0.35820000000000002</v>
      </c>
      <c r="N289" s="9">
        <v>2</v>
      </c>
      <c r="O289" s="9">
        <v>36</v>
      </c>
      <c r="P289" s="10">
        <v>38</v>
      </c>
    </row>
    <row r="290" spans="1:16" x14ac:dyDescent="0.3">
      <c r="A290" s="5">
        <v>289</v>
      </c>
      <c r="B290" s="11">
        <v>40556</v>
      </c>
      <c r="C290" s="6">
        <v>1</v>
      </c>
      <c r="D290" s="6">
        <v>0</v>
      </c>
      <c r="E290" s="6">
        <v>1</v>
      </c>
      <c r="F290" s="6">
        <v>11</v>
      </c>
      <c r="G290" s="6" t="b">
        <v>0</v>
      </c>
      <c r="H290" s="6">
        <v>4</v>
      </c>
      <c r="I290" s="6">
        <v>2</v>
      </c>
      <c r="J290" s="6">
        <v>0.2</v>
      </c>
      <c r="K290" s="6">
        <v>0.16669999999999999</v>
      </c>
      <c r="L290" s="6">
        <v>0.44</v>
      </c>
      <c r="M290" s="6">
        <v>0.44779999999999998</v>
      </c>
      <c r="N290" s="6">
        <v>4</v>
      </c>
      <c r="O290" s="6">
        <v>33</v>
      </c>
      <c r="P290" s="7">
        <v>37</v>
      </c>
    </row>
    <row r="291" spans="1:16" x14ac:dyDescent="0.3">
      <c r="A291" s="8">
        <v>290</v>
      </c>
      <c r="B291" s="12">
        <v>40556</v>
      </c>
      <c r="C291" s="9">
        <v>1</v>
      </c>
      <c r="D291" s="9">
        <v>0</v>
      </c>
      <c r="E291" s="9">
        <v>1</v>
      </c>
      <c r="F291" s="9">
        <v>12</v>
      </c>
      <c r="G291" s="9" t="b">
        <v>0</v>
      </c>
      <c r="H291" s="9">
        <v>4</v>
      </c>
      <c r="I291" s="9">
        <v>1</v>
      </c>
      <c r="J291" s="9">
        <v>0.2</v>
      </c>
      <c r="K291" s="9">
        <v>0.16669999999999999</v>
      </c>
      <c r="L291" s="9">
        <v>0.44</v>
      </c>
      <c r="M291" s="9">
        <v>0.41789999999999999</v>
      </c>
      <c r="N291" s="9">
        <v>3</v>
      </c>
      <c r="O291" s="9">
        <v>49</v>
      </c>
      <c r="P291" s="10">
        <v>52</v>
      </c>
    </row>
    <row r="292" spans="1:16" x14ac:dyDescent="0.3">
      <c r="A292" s="5">
        <v>291</v>
      </c>
      <c r="B292" s="11">
        <v>40556</v>
      </c>
      <c r="C292" s="6">
        <v>1</v>
      </c>
      <c r="D292" s="6">
        <v>0</v>
      </c>
      <c r="E292" s="6">
        <v>1</v>
      </c>
      <c r="F292" s="6">
        <v>13</v>
      </c>
      <c r="G292" s="6" t="b">
        <v>0</v>
      </c>
      <c r="H292" s="6">
        <v>4</v>
      </c>
      <c r="I292" s="6">
        <v>1</v>
      </c>
      <c r="J292" s="6">
        <v>0.22</v>
      </c>
      <c r="K292" s="6">
        <v>0.19700000000000001</v>
      </c>
      <c r="L292" s="6">
        <v>0.41</v>
      </c>
      <c r="M292" s="6">
        <v>0.44779999999999998</v>
      </c>
      <c r="N292" s="6">
        <v>2</v>
      </c>
      <c r="O292" s="6">
        <v>81</v>
      </c>
      <c r="P292" s="7">
        <v>83</v>
      </c>
    </row>
    <row r="293" spans="1:16" x14ac:dyDescent="0.3">
      <c r="A293" s="8">
        <v>292</v>
      </c>
      <c r="B293" s="12">
        <v>40556</v>
      </c>
      <c r="C293" s="9">
        <v>1</v>
      </c>
      <c r="D293" s="9">
        <v>0</v>
      </c>
      <c r="E293" s="9">
        <v>1</v>
      </c>
      <c r="F293" s="9">
        <v>14</v>
      </c>
      <c r="G293" s="9" t="b">
        <v>0</v>
      </c>
      <c r="H293" s="9">
        <v>4</v>
      </c>
      <c r="I293" s="9">
        <v>1</v>
      </c>
      <c r="J293" s="9">
        <v>0.22</v>
      </c>
      <c r="K293" s="9">
        <v>0.19700000000000001</v>
      </c>
      <c r="L293" s="9">
        <v>0.41</v>
      </c>
      <c r="M293" s="9">
        <v>0.3881</v>
      </c>
      <c r="N293" s="9">
        <v>3</v>
      </c>
      <c r="O293" s="9">
        <v>39</v>
      </c>
      <c r="P293" s="10">
        <v>42</v>
      </c>
    </row>
    <row r="294" spans="1:16" x14ac:dyDescent="0.3">
      <c r="A294" s="5">
        <v>293</v>
      </c>
      <c r="B294" s="11">
        <v>40556</v>
      </c>
      <c r="C294" s="6">
        <v>1</v>
      </c>
      <c r="D294" s="6">
        <v>0</v>
      </c>
      <c r="E294" s="6">
        <v>1</v>
      </c>
      <c r="F294" s="6">
        <v>15</v>
      </c>
      <c r="G294" s="6" t="b">
        <v>0</v>
      </c>
      <c r="H294" s="6">
        <v>4</v>
      </c>
      <c r="I294" s="6">
        <v>1</v>
      </c>
      <c r="J294" s="6">
        <v>0.24</v>
      </c>
      <c r="K294" s="6">
        <v>0.21210000000000001</v>
      </c>
      <c r="L294" s="6">
        <v>0.38</v>
      </c>
      <c r="M294" s="6">
        <v>0.29849999999999999</v>
      </c>
      <c r="N294" s="6">
        <v>5</v>
      </c>
      <c r="O294" s="6">
        <v>55</v>
      </c>
      <c r="P294" s="7">
        <v>60</v>
      </c>
    </row>
    <row r="295" spans="1:16" x14ac:dyDescent="0.3">
      <c r="A295" s="8">
        <v>294</v>
      </c>
      <c r="B295" s="12">
        <v>40556</v>
      </c>
      <c r="C295" s="9">
        <v>1</v>
      </c>
      <c r="D295" s="9">
        <v>0</v>
      </c>
      <c r="E295" s="9">
        <v>1</v>
      </c>
      <c r="F295" s="9">
        <v>16</v>
      </c>
      <c r="G295" s="9" t="b">
        <v>0</v>
      </c>
      <c r="H295" s="9">
        <v>4</v>
      </c>
      <c r="I295" s="9">
        <v>1</v>
      </c>
      <c r="J295" s="9">
        <v>0.24</v>
      </c>
      <c r="K295" s="9">
        <v>0.21210000000000001</v>
      </c>
      <c r="L295" s="9">
        <v>0.38</v>
      </c>
      <c r="M295" s="9">
        <v>0.35820000000000002</v>
      </c>
      <c r="N295" s="9">
        <v>2</v>
      </c>
      <c r="O295" s="9">
        <v>76</v>
      </c>
      <c r="P295" s="10">
        <v>78</v>
      </c>
    </row>
    <row r="296" spans="1:16" x14ac:dyDescent="0.3">
      <c r="A296" s="5">
        <v>295</v>
      </c>
      <c r="B296" s="11">
        <v>40556</v>
      </c>
      <c r="C296" s="6">
        <v>1</v>
      </c>
      <c r="D296" s="6">
        <v>0</v>
      </c>
      <c r="E296" s="6">
        <v>1</v>
      </c>
      <c r="F296" s="6">
        <v>17</v>
      </c>
      <c r="G296" s="6" t="b">
        <v>0</v>
      </c>
      <c r="H296" s="6">
        <v>4</v>
      </c>
      <c r="I296" s="6">
        <v>1</v>
      </c>
      <c r="J296" s="6">
        <v>0.2</v>
      </c>
      <c r="K296" s="6">
        <v>0.18179999999999999</v>
      </c>
      <c r="L296" s="6">
        <v>0.4</v>
      </c>
      <c r="M296" s="6">
        <v>0.28360000000000002</v>
      </c>
      <c r="N296" s="6">
        <v>4</v>
      </c>
      <c r="O296" s="6">
        <v>158</v>
      </c>
      <c r="P296" s="7">
        <v>162</v>
      </c>
    </row>
    <row r="297" spans="1:16" x14ac:dyDescent="0.3">
      <c r="A297" s="8">
        <v>296</v>
      </c>
      <c r="B297" s="12">
        <v>40556</v>
      </c>
      <c r="C297" s="9">
        <v>1</v>
      </c>
      <c r="D297" s="9">
        <v>0</v>
      </c>
      <c r="E297" s="9">
        <v>1</v>
      </c>
      <c r="F297" s="9">
        <v>18</v>
      </c>
      <c r="G297" s="9" t="b">
        <v>0</v>
      </c>
      <c r="H297" s="9">
        <v>4</v>
      </c>
      <c r="I297" s="9">
        <v>1</v>
      </c>
      <c r="J297" s="9">
        <v>0.2</v>
      </c>
      <c r="K297" s="9">
        <v>0.18179999999999999</v>
      </c>
      <c r="L297" s="9">
        <v>0.4</v>
      </c>
      <c r="M297" s="9">
        <v>0.32840000000000003</v>
      </c>
      <c r="N297" s="9">
        <v>3</v>
      </c>
      <c r="O297" s="9">
        <v>141</v>
      </c>
      <c r="P297" s="10">
        <v>144</v>
      </c>
    </row>
    <row r="298" spans="1:16" x14ac:dyDescent="0.3">
      <c r="A298" s="5">
        <v>297</v>
      </c>
      <c r="B298" s="11">
        <v>40556</v>
      </c>
      <c r="C298" s="6">
        <v>1</v>
      </c>
      <c r="D298" s="6">
        <v>0</v>
      </c>
      <c r="E298" s="6">
        <v>1</v>
      </c>
      <c r="F298" s="6">
        <v>19</v>
      </c>
      <c r="G298" s="6" t="b">
        <v>0</v>
      </c>
      <c r="H298" s="6">
        <v>4</v>
      </c>
      <c r="I298" s="6">
        <v>1</v>
      </c>
      <c r="J298" s="6">
        <v>0.16</v>
      </c>
      <c r="K298" s="6">
        <v>0.1515</v>
      </c>
      <c r="L298" s="6">
        <v>0.47</v>
      </c>
      <c r="M298" s="6">
        <v>0.25369999999999998</v>
      </c>
      <c r="N298" s="6">
        <v>1</v>
      </c>
      <c r="O298" s="6">
        <v>98</v>
      </c>
      <c r="P298" s="7">
        <v>99</v>
      </c>
    </row>
    <row r="299" spans="1:16" x14ac:dyDescent="0.3">
      <c r="A299" s="8">
        <v>298</v>
      </c>
      <c r="B299" s="12">
        <v>40556</v>
      </c>
      <c r="C299" s="9">
        <v>1</v>
      </c>
      <c r="D299" s="9">
        <v>0</v>
      </c>
      <c r="E299" s="9">
        <v>1</v>
      </c>
      <c r="F299" s="9">
        <v>20</v>
      </c>
      <c r="G299" s="9" t="b">
        <v>0</v>
      </c>
      <c r="H299" s="9">
        <v>4</v>
      </c>
      <c r="I299" s="9">
        <v>1</v>
      </c>
      <c r="J299" s="9">
        <v>0.16</v>
      </c>
      <c r="K299" s="9">
        <v>0.1515</v>
      </c>
      <c r="L299" s="9">
        <v>0.47</v>
      </c>
      <c r="M299" s="9">
        <v>0.22389999999999999</v>
      </c>
      <c r="N299" s="9">
        <v>0</v>
      </c>
      <c r="O299" s="9">
        <v>64</v>
      </c>
      <c r="P299" s="10">
        <v>64</v>
      </c>
    </row>
    <row r="300" spans="1:16" x14ac:dyDescent="0.3">
      <c r="A300" s="5">
        <v>299</v>
      </c>
      <c r="B300" s="11">
        <v>40556</v>
      </c>
      <c r="C300" s="6">
        <v>1</v>
      </c>
      <c r="D300" s="6">
        <v>0</v>
      </c>
      <c r="E300" s="6">
        <v>1</v>
      </c>
      <c r="F300" s="6">
        <v>21</v>
      </c>
      <c r="G300" s="6" t="b">
        <v>0</v>
      </c>
      <c r="H300" s="6">
        <v>4</v>
      </c>
      <c r="I300" s="6">
        <v>1</v>
      </c>
      <c r="J300" s="6">
        <v>0.14000000000000001</v>
      </c>
      <c r="K300" s="6">
        <v>0.1212</v>
      </c>
      <c r="L300" s="6">
        <v>0.46</v>
      </c>
      <c r="M300" s="6">
        <v>0.29849999999999999</v>
      </c>
      <c r="N300" s="6">
        <v>0</v>
      </c>
      <c r="O300" s="6">
        <v>40</v>
      </c>
      <c r="P300" s="7">
        <v>40</v>
      </c>
    </row>
    <row r="301" spans="1:16" x14ac:dyDescent="0.3">
      <c r="A301" s="8">
        <v>300</v>
      </c>
      <c r="B301" s="12">
        <v>40556</v>
      </c>
      <c r="C301" s="9">
        <v>1</v>
      </c>
      <c r="D301" s="9">
        <v>0</v>
      </c>
      <c r="E301" s="9">
        <v>1</v>
      </c>
      <c r="F301" s="9">
        <v>22</v>
      </c>
      <c r="G301" s="9" t="b">
        <v>0</v>
      </c>
      <c r="H301" s="9">
        <v>4</v>
      </c>
      <c r="I301" s="9">
        <v>1</v>
      </c>
      <c r="J301" s="9">
        <v>0.14000000000000001</v>
      </c>
      <c r="K301" s="9">
        <v>0.1212</v>
      </c>
      <c r="L301" s="9">
        <v>0.46</v>
      </c>
      <c r="M301" s="9">
        <v>0.32840000000000003</v>
      </c>
      <c r="N301" s="9">
        <v>0</v>
      </c>
      <c r="O301" s="9">
        <v>30</v>
      </c>
      <c r="P301" s="10">
        <v>30</v>
      </c>
    </row>
    <row r="302" spans="1:16" x14ac:dyDescent="0.3">
      <c r="A302" s="5">
        <v>301</v>
      </c>
      <c r="B302" s="11">
        <v>40556</v>
      </c>
      <c r="C302" s="6">
        <v>1</v>
      </c>
      <c r="D302" s="6">
        <v>0</v>
      </c>
      <c r="E302" s="6">
        <v>1</v>
      </c>
      <c r="F302" s="6">
        <v>23</v>
      </c>
      <c r="G302" s="6" t="b">
        <v>0</v>
      </c>
      <c r="H302" s="6">
        <v>4</v>
      </c>
      <c r="I302" s="6">
        <v>1</v>
      </c>
      <c r="J302" s="6">
        <v>0.12</v>
      </c>
      <c r="K302" s="6">
        <v>0.13639999999999999</v>
      </c>
      <c r="L302" s="6">
        <v>0.5</v>
      </c>
      <c r="M302" s="6">
        <v>0.19400000000000001</v>
      </c>
      <c r="N302" s="6">
        <v>1</v>
      </c>
      <c r="O302" s="6">
        <v>14</v>
      </c>
      <c r="P302" s="7">
        <v>15</v>
      </c>
    </row>
    <row r="303" spans="1:16" x14ac:dyDescent="0.3">
      <c r="A303" s="8">
        <v>302</v>
      </c>
      <c r="B303" s="12">
        <v>40557</v>
      </c>
      <c r="C303" s="9">
        <v>1</v>
      </c>
      <c r="D303" s="9">
        <v>0</v>
      </c>
      <c r="E303" s="9">
        <v>1</v>
      </c>
      <c r="F303" s="9">
        <v>0</v>
      </c>
      <c r="G303" s="9" t="b">
        <v>0</v>
      </c>
      <c r="H303" s="9">
        <v>5</v>
      </c>
      <c r="I303" s="9">
        <v>1</v>
      </c>
      <c r="J303" s="9">
        <v>0.12</v>
      </c>
      <c r="K303" s="9">
        <v>0.13639999999999999</v>
      </c>
      <c r="L303" s="9">
        <v>0.5</v>
      </c>
      <c r="M303" s="9">
        <v>0.19400000000000001</v>
      </c>
      <c r="N303" s="9">
        <v>0</v>
      </c>
      <c r="O303" s="9">
        <v>14</v>
      </c>
      <c r="P303" s="10">
        <v>14</v>
      </c>
    </row>
    <row r="304" spans="1:16" x14ac:dyDescent="0.3">
      <c r="A304" s="5">
        <v>303</v>
      </c>
      <c r="B304" s="11">
        <v>40557</v>
      </c>
      <c r="C304" s="6">
        <v>1</v>
      </c>
      <c r="D304" s="6">
        <v>0</v>
      </c>
      <c r="E304" s="6">
        <v>1</v>
      </c>
      <c r="F304" s="6">
        <v>1</v>
      </c>
      <c r="G304" s="6" t="b">
        <v>0</v>
      </c>
      <c r="H304" s="6">
        <v>5</v>
      </c>
      <c r="I304" s="6">
        <v>1</v>
      </c>
      <c r="J304" s="6">
        <v>0.1</v>
      </c>
      <c r="K304" s="6">
        <v>0.1212</v>
      </c>
      <c r="L304" s="6">
        <v>0.54</v>
      </c>
      <c r="M304" s="6">
        <v>0.16420000000000001</v>
      </c>
      <c r="N304" s="6">
        <v>0</v>
      </c>
      <c r="O304" s="6">
        <v>5</v>
      </c>
      <c r="P304" s="7">
        <v>5</v>
      </c>
    </row>
    <row r="305" spans="1:16" x14ac:dyDescent="0.3">
      <c r="A305" s="8">
        <v>304</v>
      </c>
      <c r="B305" s="12">
        <v>40557</v>
      </c>
      <c r="C305" s="9">
        <v>1</v>
      </c>
      <c r="D305" s="9">
        <v>0</v>
      </c>
      <c r="E305" s="9">
        <v>1</v>
      </c>
      <c r="F305" s="9">
        <v>2</v>
      </c>
      <c r="G305" s="9" t="b">
        <v>0</v>
      </c>
      <c r="H305" s="9">
        <v>5</v>
      </c>
      <c r="I305" s="9">
        <v>1</v>
      </c>
      <c r="J305" s="9">
        <v>0.1</v>
      </c>
      <c r="K305" s="9">
        <v>0.1212</v>
      </c>
      <c r="L305" s="9">
        <v>0.54</v>
      </c>
      <c r="M305" s="9">
        <v>0.1343</v>
      </c>
      <c r="N305" s="9">
        <v>0</v>
      </c>
      <c r="O305" s="9">
        <v>1</v>
      </c>
      <c r="P305" s="10">
        <v>1</v>
      </c>
    </row>
    <row r="306" spans="1:16" x14ac:dyDescent="0.3">
      <c r="A306" s="5">
        <v>305</v>
      </c>
      <c r="B306" s="11">
        <v>40557</v>
      </c>
      <c r="C306" s="6">
        <v>1</v>
      </c>
      <c r="D306" s="6">
        <v>0</v>
      </c>
      <c r="E306" s="6">
        <v>1</v>
      </c>
      <c r="F306" s="6">
        <v>3</v>
      </c>
      <c r="G306" s="6" t="b">
        <v>0</v>
      </c>
      <c r="H306" s="6">
        <v>5</v>
      </c>
      <c r="I306" s="6">
        <v>1</v>
      </c>
      <c r="J306" s="6">
        <v>0.1</v>
      </c>
      <c r="K306" s="6">
        <v>0.13639999999999999</v>
      </c>
      <c r="L306" s="6">
        <v>0.54</v>
      </c>
      <c r="M306" s="6">
        <v>0.1045</v>
      </c>
      <c r="N306" s="6">
        <v>0</v>
      </c>
      <c r="O306" s="6">
        <v>1</v>
      </c>
      <c r="P306" s="7">
        <v>1</v>
      </c>
    </row>
    <row r="307" spans="1:16" x14ac:dyDescent="0.3">
      <c r="A307" s="8">
        <v>306</v>
      </c>
      <c r="B307" s="12">
        <v>40557</v>
      </c>
      <c r="C307" s="9">
        <v>1</v>
      </c>
      <c r="D307" s="9">
        <v>0</v>
      </c>
      <c r="E307" s="9">
        <v>1</v>
      </c>
      <c r="F307" s="9">
        <v>5</v>
      </c>
      <c r="G307" s="9" t="b">
        <v>0</v>
      </c>
      <c r="H307" s="9">
        <v>5</v>
      </c>
      <c r="I307" s="9">
        <v>1</v>
      </c>
      <c r="J307" s="9">
        <v>0.1</v>
      </c>
      <c r="K307" s="9">
        <v>0.13639999999999999</v>
      </c>
      <c r="L307" s="9">
        <v>0.54</v>
      </c>
      <c r="M307" s="9">
        <v>8.9599999999999999E-2</v>
      </c>
      <c r="N307" s="9">
        <v>0</v>
      </c>
      <c r="O307" s="9">
        <v>8</v>
      </c>
      <c r="P307" s="10">
        <v>8</v>
      </c>
    </row>
    <row r="308" spans="1:16" x14ac:dyDescent="0.3">
      <c r="A308" s="5">
        <v>307</v>
      </c>
      <c r="B308" s="11">
        <v>40557</v>
      </c>
      <c r="C308" s="6">
        <v>1</v>
      </c>
      <c r="D308" s="6">
        <v>0</v>
      </c>
      <c r="E308" s="6">
        <v>1</v>
      </c>
      <c r="F308" s="6">
        <v>6</v>
      </c>
      <c r="G308" s="6" t="b">
        <v>0</v>
      </c>
      <c r="H308" s="6">
        <v>5</v>
      </c>
      <c r="I308" s="6">
        <v>1</v>
      </c>
      <c r="J308" s="6">
        <v>0.1</v>
      </c>
      <c r="K308" s="6">
        <v>0.18179999999999999</v>
      </c>
      <c r="L308" s="6">
        <v>0.54</v>
      </c>
      <c r="M308" s="6">
        <v>0</v>
      </c>
      <c r="N308" s="6">
        <v>0</v>
      </c>
      <c r="O308" s="6">
        <v>17</v>
      </c>
      <c r="P308" s="7">
        <v>17</v>
      </c>
    </row>
    <row r="309" spans="1:16" x14ac:dyDescent="0.3">
      <c r="A309" s="8">
        <v>308</v>
      </c>
      <c r="B309" s="12">
        <v>40557</v>
      </c>
      <c r="C309" s="9">
        <v>1</v>
      </c>
      <c r="D309" s="9">
        <v>0</v>
      </c>
      <c r="E309" s="9">
        <v>1</v>
      </c>
      <c r="F309" s="9">
        <v>7</v>
      </c>
      <c r="G309" s="9" t="b">
        <v>0</v>
      </c>
      <c r="H309" s="9">
        <v>5</v>
      </c>
      <c r="I309" s="9">
        <v>1</v>
      </c>
      <c r="J309" s="9">
        <v>0.1</v>
      </c>
      <c r="K309" s="9">
        <v>0.1212</v>
      </c>
      <c r="L309" s="9">
        <v>0.74</v>
      </c>
      <c r="M309" s="9">
        <v>0.16420000000000001</v>
      </c>
      <c r="N309" s="9">
        <v>0</v>
      </c>
      <c r="O309" s="9">
        <v>70</v>
      </c>
      <c r="P309" s="10">
        <v>70</v>
      </c>
    </row>
    <row r="310" spans="1:16" x14ac:dyDescent="0.3">
      <c r="A310" s="5">
        <v>309</v>
      </c>
      <c r="B310" s="11">
        <v>40557</v>
      </c>
      <c r="C310" s="6">
        <v>1</v>
      </c>
      <c r="D310" s="6">
        <v>0</v>
      </c>
      <c r="E310" s="6">
        <v>1</v>
      </c>
      <c r="F310" s="6">
        <v>8</v>
      </c>
      <c r="G310" s="6" t="b">
        <v>0</v>
      </c>
      <c r="H310" s="6">
        <v>5</v>
      </c>
      <c r="I310" s="6">
        <v>1</v>
      </c>
      <c r="J310" s="6">
        <v>0.12</v>
      </c>
      <c r="K310" s="6">
        <v>0.16669999999999999</v>
      </c>
      <c r="L310" s="6">
        <v>0.68</v>
      </c>
      <c r="M310" s="6">
        <v>0</v>
      </c>
      <c r="N310" s="6">
        <v>2</v>
      </c>
      <c r="O310" s="6">
        <v>156</v>
      </c>
      <c r="P310" s="7">
        <v>158</v>
      </c>
    </row>
    <row r="311" spans="1:16" x14ac:dyDescent="0.3">
      <c r="A311" s="8">
        <v>310</v>
      </c>
      <c r="B311" s="12">
        <v>40557</v>
      </c>
      <c r="C311" s="9">
        <v>1</v>
      </c>
      <c r="D311" s="9">
        <v>0</v>
      </c>
      <c r="E311" s="9">
        <v>1</v>
      </c>
      <c r="F311" s="9">
        <v>9</v>
      </c>
      <c r="G311" s="9" t="b">
        <v>0</v>
      </c>
      <c r="H311" s="9">
        <v>5</v>
      </c>
      <c r="I311" s="9">
        <v>1</v>
      </c>
      <c r="J311" s="9">
        <v>0.14000000000000001</v>
      </c>
      <c r="K311" s="9">
        <v>0.1515</v>
      </c>
      <c r="L311" s="9">
        <v>0.69</v>
      </c>
      <c r="M311" s="9">
        <v>0.1343</v>
      </c>
      <c r="N311" s="9">
        <v>0</v>
      </c>
      <c r="O311" s="9">
        <v>117</v>
      </c>
      <c r="P311" s="10">
        <v>117</v>
      </c>
    </row>
    <row r="312" spans="1:16" x14ac:dyDescent="0.3">
      <c r="A312" s="5">
        <v>311</v>
      </c>
      <c r="B312" s="11">
        <v>40557</v>
      </c>
      <c r="C312" s="6">
        <v>1</v>
      </c>
      <c r="D312" s="6">
        <v>0</v>
      </c>
      <c r="E312" s="6">
        <v>1</v>
      </c>
      <c r="F312" s="6">
        <v>10</v>
      </c>
      <c r="G312" s="6" t="b">
        <v>0</v>
      </c>
      <c r="H312" s="6">
        <v>5</v>
      </c>
      <c r="I312" s="6">
        <v>1</v>
      </c>
      <c r="J312" s="6">
        <v>0.18</v>
      </c>
      <c r="K312" s="6">
        <v>0.18179999999999999</v>
      </c>
      <c r="L312" s="6">
        <v>0.55000000000000004</v>
      </c>
      <c r="M312" s="6">
        <v>0.19400000000000001</v>
      </c>
      <c r="N312" s="6">
        <v>4</v>
      </c>
      <c r="O312" s="6">
        <v>40</v>
      </c>
      <c r="P312" s="7">
        <v>44</v>
      </c>
    </row>
    <row r="313" spans="1:16" x14ac:dyDescent="0.3">
      <c r="A313" s="8">
        <v>312</v>
      </c>
      <c r="B313" s="12">
        <v>40557</v>
      </c>
      <c r="C313" s="9">
        <v>1</v>
      </c>
      <c r="D313" s="9">
        <v>0</v>
      </c>
      <c r="E313" s="9">
        <v>1</v>
      </c>
      <c r="F313" s="9">
        <v>11</v>
      </c>
      <c r="G313" s="9" t="b">
        <v>0</v>
      </c>
      <c r="H313" s="9">
        <v>5</v>
      </c>
      <c r="I313" s="9">
        <v>1</v>
      </c>
      <c r="J313" s="9">
        <v>0.18</v>
      </c>
      <c r="K313" s="9">
        <v>0.16669999999999999</v>
      </c>
      <c r="L313" s="9">
        <v>0.51</v>
      </c>
      <c r="M313" s="9">
        <v>0.28360000000000002</v>
      </c>
      <c r="N313" s="9">
        <v>6</v>
      </c>
      <c r="O313" s="9">
        <v>47</v>
      </c>
      <c r="P313" s="10">
        <v>53</v>
      </c>
    </row>
    <row r="314" spans="1:16" x14ac:dyDescent="0.3">
      <c r="A314" s="5">
        <v>313</v>
      </c>
      <c r="B314" s="11">
        <v>40557</v>
      </c>
      <c r="C314" s="6">
        <v>1</v>
      </c>
      <c r="D314" s="6">
        <v>0</v>
      </c>
      <c r="E314" s="6">
        <v>1</v>
      </c>
      <c r="F314" s="6">
        <v>12</v>
      </c>
      <c r="G314" s="6" t="b">
        <v>0</v>
      </c>
      <c r="H314" s="6">
        <v>5</v>
      </c>
      <c r="I314" s="6">
        <v>1</v>
      </c>
      <c r="J314" s="6">
        <v>0.2</v>
      </c>
      <c r="K314" s="6">
        <v>0.19700000000000001</v>
      </c>
      <c r="L314" s="6">
        <v>0.44</v>
      </c>
      <c r="M314" s="6">
        <v>0.25369999999999998</v>
      </c>
      <c r="N314" s="6">
        <v>2</v>
      </c>
      <c r="O314" s="6">
        <v>59</v>
      </c>
      <c r="P314" s="7">
        <v>61</v>
      </c>
    </row>
    <row r="315" spans="1:16" x14ac:dyDescent="0.3">
      <c r="A315" s="8">
        <v>314</v>
      </c>
      <c r="B315" s="12">
        <v>40557</v>
      </c>
      <c r="C315" s="9">
        <v>1</v>
      </c>
      <c r="D315" s="9">
        <v>0</v>
      </c>
      <c r="E315" s="9">
        <v>1</v>
      </c>
      <c r="F315" s="9">
        <v>13</v>
      </c>
      <c r="G315" s="9" t="b">
        <v>0</v>
      </c>
      <c r="H315" s="9">
        <v>5</v>
      </c>
      <c r="I315" s="9">
        <v>1</v>
      </c>
      <c r="J315" s="9">
        <v>0.22</v>
      </c>
      <c r="K315" s="9">
        <v>0.19700000000000001</v>
      </c>
      <c r="L315" s="9">
        <v>0.37</v>
      </c>
      <c r="M315" s="9">
        <v>0.3881</v>
      </c>
      <c r="N315" s="9">
        <v>4</v>
      </c>
      <c r="O315" s="9">
        <v>73</v>
      </c>
      <c r="P315" s="10">
        <v>77</v>
      </c>
    </row>
    <row r="316" spans="1:16" x14ac:dyDescent="0.3">
      <c r="A316" s="5">
        <v>315</v>
      </c>
      <c r="B316" s="11">
        <v>40557</v>
      </c>
      <c r="C316" s="6">
        <v>1</v>
      </c>
      <c r="D316" s="6">
        <v>0</v>
      </c>
      <c r="E316" s="6">
        <v>1</v>
      </c>
      <c r="F316" s="6">
        <v>14</v>
      </c>
      <c r="G316" s="6" t="b">
        <v>0</v>
      </c>
      <c r="H316" s="6">
        <v>5</v>
      </c>
      <c r="I316" s="6">
        <v>1</v>
      </c>
      <c r="J316" s="6">
        <v>0.22</v>
      </c>
      <c r="K316" s="6">
        <v>0.21210000000000001</v>
      </c>
      <c r="L316" s="6">
        <v>0.41</v>
      </c>
      <c r="M316" s="6">
        <v>0.28360000000000002</v>
      </c>
      <c r="N316" s="6">
        <v>5</v>
      </c>
      <c r="O316" s="6">
        <v>59</v>
      </c>
      <c r="P316" s="7">
        <v>64</v>
      </c>
    </row>
    <row r="317" spans="1:16" x14ac:dyDescent="0.3">
      <c r="A317" s="8">
        <v>316</v>
      </c>
      <c r="B317" s="12">
        <v>40557</v>
      </c>
      <c r="C317" s="9">
        <v>1</v>
      </c>
      <c r="D317" s="9">
        <v>0</v>
      </c>
      <c r="E317" s="9">
        <v>1</v>
      </c>
      <c r="F317" s="9">
        <v>15</v>
      </c>
      <c r="G317" s="9" t="b">
        <v>0</v>
      </c>
      <c r="H317" s="9">
        <v>5</v>
      </c>
      <c r="I317" s="9">
        <v>1</v>
      </c>
      <c r="J317" s="9">
        <v>0.24</v>
      </c>
      <c r="K317" s="9">
        <v>0.2424</v>
      </c>
      <c r="L317" s="9">
        <v>0.38</v>
      </c>
      <c r="M317" s="9">
        <v>0.16420000000000001</v>
      </c>
      <c r="N317" s="9">
        <v>9</v>
      </c>
      <c r="O317" s="9">
        <v>59</v>
      </c>
      <c r="P317" s="10">
        <v>68</v>
      </c>
    </row>
    <row r="318" spans="1:16" x14ac:dyDescent="0.3">
      <c r="A318" s="5">
        <v>317</v>
      </c>
      <c r="B318" s="11">
        <v>40557</v>
      </c>
      <c r="C318" s="6">
        <v>1</v>
      </c>
      <c r="D318" s="6">
        <v>0</v>
      </c>
      <c r="E318" s="6">
        <v>1</v>
      </c>
      <c r="F318" s="6">
        <v>16</v>
      </c>
      <c r="G318" s="6" t="b">
        <v>0</v>
      </c>
      <c r="H318" s="6">
        <v>5</v>
      </c>
      <c r="I318" s="6">
        <v>1</v>
      </c>
      <c r="J318" s="6">
        <v>0.22</v>
      </c>
      <c r="K318" s="6">
        <v>0.2424</v>
      </c>
      <c r="L318" s="6">
        <v>0.41</v>
      </c>
      <c r="M318" s="6">
        <v>0.1045</v>
      </c>
      <c r="N318" s="6">
        <v>3</v>
      </c>
      <c r="O318" s="6">
        <v>87</v>
      </c>
      <c r="P318" s="7">
        <v>90</v>
      </c>
    </row>
    <row r="319" spans="1:16" x14ac:dyDescent="0.3">
      <c r="A319" s="8">
        <v>318</v>
      </c>
      <c r="B319" s="12">
        <v>40557</v>
      </c>
      <c r="C319" s="9">
        <v>1</v>
      </c>
      <c r="D319" s="9">
        <v>0</v>
      </c>
      <c r="E319" s="9">
        <v>1</v>
      </c>
      <c r="F319" s="9">
        <v>17</v>
      </c>
      <c r="G319" s="9" t="b">
        <v>0</v>
      </c>
      <c r="H319" s="9">
        <v>5</v>
      </c>
      <c r="I319" s="9">
        <v>1</v>
      </c>
      <c r="J319" s="9">
        <v>0.22</v>
      </c>
      <c r="K319" s="9">
        <v>0.2273</v>
      </c>
      <c r="L319" s="9">
        <v>0.41</v>
      </c>
      <c r="M319" s="9">
        <v>0.16420000000000001</v>
      </c>
      <c r="N319" s="9">
        <v>4</v>
      </c>
      <c r="O319" s="9">
        <v>155</v>
      </c>
      <c r="P319" s="10">
        <v>159</v>
      </c>
    </row>
    <row r="320" spans="1:16" x14ac:dyDescent="0.3">
      <c r="A320" s="5">
        <v>319</v>
      </c>
      <c r="B320" s="11">
        <v>40557</v>
      </c>
      <c r="C320" s="6">
        <v>1</v>
      </c>
      <c r="D320" s="6">
        <v>0</v>
      </c>
      <c r="E320" s="6">
        <v>1</v>
      </c>
      <c r="F320" s="6">
        <v>18</v>
      </c>
      <c r="G320" s="6" t="b">
        <v>0</v>
      </c>
      <c r="H320" s="6">
        <v>5</v>
      </c>
      <c r="I320" s="6">
        <v>1</v>
      </c>
      <c r="J320" s="6">
        <v>0.2</v>
      </c>
      <c r="K320" s="6">
        <v>0.2576</v>
      </c>
      <c r="L320" s="6">
        <v>0.47</v>
      </c>
      <c r="M320" s="6">
        <v>0</v>
      </c>
      <c r="N320" s="6">
        <v>5</v>
      </c>
      <c r="O320" s="6">
        <v>134</v>
      </c>
      <c r="P320" s="7">
        <v>139</v>
      </c>
    </row>
    <row r="321" spans="1:16" x14ac:dyDescent="0.3">
      <c r="A321" s="8">
        <v>320</v>
      </c>
      <c r="B321" s="12">
        <v>40557</v>
      </c>
      <c r="C321" s="9">
        <v>1</v>
      </c>
      <c r="D321" s="9">
        <v>0</v>
      </c>
      <c r="E321" s="9">
        <v>1</v>
      </c>
      <c r="F321" s="9">
        <v>19</v>
      </c>
      <c r="G321" s="9" t="b">
        <v>0</v>
      </c>
      <c r="H321" s="9">
        <v>5</v>
      </c>
      <c r="I321" s="9">
        <v>1</v>
      </c>
      <c r="J321" s="9">
        <v>0.16</v>
      </c>
      <c r="K321" s="9">
        <v>0.19700000000000001</v>
      </c>
      <c r="L321" s="9">
        <v>0.59</v>
      </c>
      <c r="M321" s="9">
        <v>8.9599999999999999E-2</v>
      </c>
      <c r="N321" s="9">
        <v>3</v>
      </c>
      <c r="O321" s="9">
        <v>89</v>
      </c>
      <c r="P321" s="10">
        <v>92</v>
      </c>
    </row>
    <row r="322" spans="1:16" x14ac:dyDescent="0.3">
      <c r="A322" s="5">
        <v>321</v>
      </c>
      <c r="B322" s="11">
        <v>40557</v>
      </c>
      <c r="C322" s="6">
        <v>1</v>
      </c>
      <c r="D322" s="6">
        <v>0</v>
      </c>
      <c r="E322" s="6">
        <v>1</v>
      </c>
      <c r="F322" s="6">
        <v>20</v>
      </c>
      <c r="G322" s="6" t="b">
        <v>0</v>
      </c>
      <c r="H322" s="6">
        <v>5</v>
      </c>
      <c r="I322" s="6">
        <v>1</v>
      </c>
      <c r="J322" s="6">
        <v>0.18</v>
      </c>
      <c r="K322" s="6">
        <v>0.2424</v>
      </c>
      <c r="L322" s="6">
        <v>0.59</v>
      </c>
      <c r="M322" s="6">
        <v>0</v>
      </c>
      <c r="N322" s="6">
        <v>0</v>
      </c>
      <c r="O322" s="6">
        <v>68</v>
      </c>
      <c r="P322" s="7">
        <v>68</v>
      </c>
    </row>
    <row r="323" spans="1:16" x14ac:dyDescent="0.3">
      <c r="A323" s="8">
        <v>322</v>
      </c>
      <c r="B323" s="12">
        <v>40557</v>
      </c>
      <c r="C323" s="9">
        <v>1</v>
      </c>
      <c r="D323" s="9">
        <v>0</v>
      </c>
      <c r="E323" s="9">
        <v>1</v>
      </c>
      <c r="F323" s="9">
        <v>21</v>
      </c>
      <c r="G323" s="9" t="b">
        <v>0</v>
      </c>
      <c r="H323" s="9">
        <v>5</v>
      </c>
      <c r="I323" s="9">
        <v>1</v>
      </c>
      <c r="J323" s="9">
        <v>0.16</v>
      </c>
      <c r="K323" s="9">
        <v>0.2273</v>
      </c>
      <c r="L323" s="9">
        <v>0.69</v>
      </c>
      <c r="M323" s="9">
        <v>0</v>
      </c>
      <c r="N323" s="9">
        <v>4</v>
      </c>
      <c r="O323" s="9">
        <v>48</v>
      </c>
      <c r="P323" s="10">
        <v>52</v>
      </c>
    </row>
    <row r="324" spans="1:16" x14ac:dyDescent="0.3">
      <c r="A324" s="5">
        <v>323</v>
      </c>
      <c r="B324" s="11">
        <v>40557</v>
      </c>
      <c r="C324" s="6">
        <v>1</v>
      </c>
      <c r="D324" s="6">
        <v>0</v>
      </c>
      <c r="E324" s="6">
        <v>1</v>
      </c>
      <c r="F324" s="6">
        <v>22</v>
      </c>
      <c r="G324" s="6" t="b">
        <v>0</v>
      </c>
      <c r="H324" s="6">
        <v>5</v>
      </c>
      <c r="I324" s="6">
        <v>2</v>
      </c>
      <c r="J324" s="6">
        <v>0.16</v>
      </c>
      <c r="K324" s="6">
        <v>0.2273</v>
      </c>
      <c r="L324" s="6">
        <v>0.69</v>
      </c>
      <c r="M324" s="6">
        <v>0</v>
      </c>
      <c r="N324" s="6">
        <v>2</v>
      </c>
      <c r="O324" s="6">
        <v>34</v>
      </c>
      <c r="P324" s="7">
        <v>36</v>
      </c>
    </row>
    <row r="325" spans="1:16" x14ac:dyDescent="0.3">
      <c r="A325" s="8">
        <v>324</v>
      </c>
      <c r="B325" s="12">
        <v>40557</v>
      </c>
      <c r="C325" s="9">
        <v>1</v>
      </c>
      <c r="D325" s="9">
        <v>0</v>
      </c>
      <c r="E325" s="9">
        <v>1</v>
      </c>
      <c r="F325" s="9">
        <v>23</v>
      </c>
      <c r="G325" s="9" t="b">
        <v>0</v>
      </c>
      <c r="H325" s="9">
        <v>5</v>
      </c>
      <c r="I325" s="9">
        <v>2</v>
      </c>
      <c r="J325" s="9">
        <v>0.18</v>
      </c>
      <c r="K325" s="9">
        <v>0.2424</v>
      </c>
      <c r="L325" s="9">
        <v>0.55000000000000004</v>
      </c>
      <c r="M325" s="9">
        <v>0</v>
      </c>
      <c r="N325" s="9">
        <v>1</v>
      </c>
      <c r="O325" s="9">
        <v>26</v>
      </c>
      <c r="P325" s="10">
        <v>27</v>
      </c>
    </row>
    <row r="326" spans="1:16" x14ac:dyDescent="0.3">
      <c r="A326" s="5">
        <v>325</v>
      </c>
      <c r="B326" s="11">
        <v>40558</v>
      </c>
      <c r="C326" s="6">
        <v>1</v>
      </c>
      <c r="D326" s="6">
        <v>0</v>
      </c>
      <c r="E326" s="6">
        <v>1</v>
      </c>
      <c r="F326" s="6">
        <v>0</v>
      </c>
      <c r="G326" s="6" t="b">
        <v>0</v>
      </c>
      <c r="H326" s="6">
        <v>6</v>
      </c>
      <c r="I326" s="6">
        <v>1</v>
      </c>
      <c r="J326" s="6">
        <v>0.18</v>
      </c>
      <c r="K326" s="6">
        <v>0.2424</v>
      </c>
      <c r="L326" s="6">
        <v>0.55000000000000004</v>
      </c>
      <c r="M326" s="6">
        <v>0</v>
      </c>
      <c r="N326" s="6">
        <v>3</v>
      </c>
      <c r="O326" s="6">
        <v>25</v>
      </c>
      <c r="P326" s="7">
        <v>28</v>
      </c>
    </row>
    <row r="327" spans="1:16" x14ac:dyDescent="0.3">
      <c r="A327" s="8">
        <v>326</v>
      </c>
      <c r="B327" s="12">
        <v>40558</v>
      </c>
      <c r="C327" s="9">
        <v>1</v>
      </c>
      <c r="D327" s="9">
        <v>0</v>
      </c>
      <c r="E327" s="9">
        <v>1</v>
      </c>
      <c r="F327" s="9">
        <v>1</v>
      </c>
      <c r="G327" s="9" t="b">
        <v>0</v>
      </c>
      <c r="H327" s="9">
        <v>6</v>
      </c>
      <c r="I327" s="9">
        <v>2</v>
      </c>
      <c r="J327" s="9">
        <v>0.16</v>
      </c>
      <c r="K327" s="9">
        <v>0.19700000000000001</v>
      </c>
      <c r="L327" s="9">
        <v>0.59</v>
      </c>
      <c r="M327" s="9">
        <v>8.9599999999999999E-2</v>
      </c>
      <c r="N327" s="9">
        <v>2</v>
      </c>
      <c r="O327" s="9">
        <v>18</v>
      </c>
      <c r="P327" s="10">
        <v>20</v>
      </c>
    </row>
    <row r="328" spans="1:16" x14ac:dyDescent="0.3">
      <c r="A328" s="5">
        <v>327</v>
      </c>
      <c r="B328" s="11">
        <v>40558</v>
      </c>
      <c r="C328" s="6">
        <v>1</v>
      </c>
      <c r="D328" s="6">
        <v>0</v>
      </c>
      <c r="E328" s="6">
        <v>1</v>
      </c>
      <c r="F328" s="6">
        <v>2</v>
      </c>
      <c r="G328" s="6" t="b">
        <v>0</v>
      </c>
      <c r="H328" s="6">
        <v>6</v>
      </c>
      <c r="I328" s="6">
        <v>2</v>
      </c>
      <c r="J328" s="6">
        <v>0.16</v>
      </c>
      <c r="K328" s="6">
        <v>0.19700000000000001</v>
      </c>
      <c r="L328" s="6">
        <v>0.59</v>
      </c>
      <c r="M328" s="6">
        <v>8.9599999999999999E-2</v>
      </c>
      <c r="N328" s="6">
        <v>0</v>
      </c>
      <c r="O328" s="6">
        <v>12</v>
      </c>
      <c r="P328" s="7">
        <v>12</v>
      </c>
    </row>
    <row r="329" spans="1:16" x14ac:dyDescent="0.3">
      <c r="A329" s="8">
        <v>328</v>
      </c>
      <c r="B329" s="12">
        <v>40558</v>
      </c>
      <c r="C329" s="9">
        <v>1</v>
      </c>
      <c r="D329" s="9">
        <v>0</v>
      </c>
      <c r="E329" s="9">
        <v>1</v>
      </c>
      <c r="F329" s="9">
        <v>3</v>
      </c>
      <c r="G329" s="9" t="b">
        <v>0</v>
      </c>
      <c r="H329" s="9">
        <v>6</v>
      </c>
      <c r="I329" s="9">
        <v>2</v>
      </c>
      <c r="J329" s="9">
        <v>0.16</v>
      </c>
      <c r="K329" s="9">
        <v>0.2273</v>
      </c>
      <c r="L329" s="9">
        <v>0.59</v>
      </c>
      <c r="M329" s="9">
        <v>0</v>
      </c>
      <c r="N329" s="9">
        <v>1</v>
      </c>
      <c r="O329" s="9">
        <v>7</v>
      </c>
      <c r="P329" s="10">
        <v>8</v>
      </c>
    </row>
    <row r="330" spans="1:16" x14ac:dyDescent="0.3">
      <c r="A330" s="5">
        <v>329</v>
      </c>
      <c r="B330" s="11">
        <v>40558</v>
      </c>
      <c r="C330" s="6">
        <v>1</v>
      </c>
      <c r="D330" s="6">
        <v>0</v>
      </c>
      <c r="E330" s="6">
        <v>1</v>
      </c>
      <c r="F330" s="6">
        <v>4</v>
      </c>
      <c r="G330" s="6" t="b">
        <v>0</v>
      </c>
      <c r="H330" s="6">
        <v>6</v>
      </c>
      <c r="I330" s="6">
        <v>2</v>
      </c>
      <c r="J330" s="6">
        <v>0.16</v>
      </c>
      <c r="K330" s="6">
        <v>0.2273</v>
      </c>
      <c r="L330" s="6">
        <v>0.59</v>
      </c>
      <c r="M330" s="6">
        <v>0</v>
      </c>
      <c r="N330" s="6">
        <v>0</v>
      </c>
      <c r="O330" s="6">
        <v>5</v>
      </c>
      <c r="P330" s="7">
        <v>5</v>
      </c>
    </row>
    <row r="331" spans="1:16" x14ac:dyDescent="0.3">
      <c r="A331" s="8">
        <v>330</v>
      </c>
      <c r="B331" s="12">
        <v>40558</v>
      </c>
      <c r="C331" s="9">
        <v>1</v>
      </c>
      <c r="D331" s="9">
        <v>0</v>
      </c>
      <c r="E331" s="9">
        <v>1</v>
      </c>
      <c r="F331" s="9">
        <v>5</v>
      </c>
      <c r="G331" s="9" t="b">
        <v>0</v>
      </c>
      <c r="H331" s="9">
        <v>6</v>
      </c>
      <c r="I331" s="9">
        <v>1</v>
      </c>
      <c r="J331" s="9">
        <v>0.16</v>
      </c>
      <c r="K331" s="9">
        <v>0.2273</v>
      </c>
      <c r="L331" s="9">
        <v>0.59</v>
      </c>
      <c r="M331" s="9">
        <v>0</v>
      </c>
      <c r="N331" s="9">
        <v>0</v>
      </c>
      <c r="O331" s="9">
        <v>1</v>
      </c>
      <c r="P331" s="10">
        <v>1</v>
      </c>
    </row>
    <row r="332" spans="1:16" x14ac:dyDescent="0.3">
      <c r="A332" s="5">
        <v>331</v>
      </c>
      <c r="B332" s="11">
        <v>40558</v>
      </c>
      <c r="C332" s="6">
        <v>1</v>
      </c>
      <c r="D332" s="6">
        <v>0</v>
      </c>
      <c r="E332" s="6">
        <v>1</v>
      </c>
      <c r="F332" s="6">
        <v>6</v>
      </c>
      <c r="G332" s="6" t="b">
        <v>0</v>
      </c>
      <c r="H332" s="6">
        <v>6</v>
      </c>
      <c r="I332" s="6">
        <v>1</v>
      </c>
      <c r="J332" s="6">
        <v>0.14000000000000001</v>
      </c>
      <c r="K332" s="6">
        <v>0.16669999999999999</v>
      </c>
      <c r="L332" s="6">
        <v>0.63</v>
      </c>
      <c r="M332" s="6">
        <v>0.1045</v>
      </c>
      <c r="N332" s="6">
        <v>1</v>
      </c>
      <c r="O332" s="6">
        <v>2</v>
      </c>
      <c r="P332" s="7">
        <v>3</v>
      </c>
    </row>
    <row r="333" spans="1:16" x14ac:dyDescent="0.3">
      <c r="A333" s="8">
        <v>332</v>
      </c>
      <c r="B333" s="12">
        <v>40558</v>
      </c>
      <c r="C333" s="9">
        <v>1</v>
      </c>
      <c r="D333" s="9">
        <v>0</v>
      </c>
      <c r="E333" s="9">
        <v>1</v>
      </c>
      <c r="F333" s="9">
        <v>7</v>
      </c>
      <c r="G333" s="9" t="b">
        <v>0</v>
      </c>
      <c r="H333" s="9">
        <v>6</v>
      </c>
      <c r="I333" s="9">
        <v>1</v>
      </c>
      <c r="J333" s="9">
        <v>0.14000000000000001</v>
      </c>
      <c r="K333" s="9">
        <v>0.21210000000000001</v>
      </c>
      <c r="L333" s="9">
        <v>0.63</v>
      </c>
      <c r="M333" s="9">
        <v>0</v>
      </c>
      <c r="N333" s="9">
        <v>1</v>
      </c>
      <c r="O333" s="9">
        <v>9</v>
      </c>
      <c r="P333" s="10">
        <v>10</v>
      </c>
    </row>
    <row r="334" spans="1:16" x14ac:dyDescent="0.3">
      <c r="A334" s="5">
        <v>333</v>
      </c>
      <c r="B334" s="11">
        <v>40558</v>
      </c>
      <c r="C334" s="6">
        <v>1</v>
      </c>
      <c r="D334" s="6">
        <v>0</v>
      </c>
      <c r="E334" s="6">
        <v>1</v>
      </c>
      <c r="F334" s="6">
        <v>8</v>
      </c>
      <c r="G334" s="6" t="b">
        <v>0</v>
      </c>
      <c r="H334" s="6">
        <v>6</v>
      </c>
      <c r="I334" s="6">
        <v>1</v>
      </c>
      <c r="J334" s="6">
        <v>0.14000000000000001</v>
      </c>
      <c r="K334" s="6">
        <v>0.1515</v>
      </c>
      <c r="L334" s="6">
        <v>0.63</v>
      </c>
      <c r="M334" s="6">
        <v>0.1343</v>
      </c>
      <c r="N334" s="6">
        <v>1</v>
      </c>
      <c r="O334" s="6">
        <v>22</v>
      </c>
      <c r="P334" s="7">
        <v>23</v>
      </c>
    </row>
    <row r="335" spans="1:16" x14ac:dyDescent="0.3">
      <c r="A335" s="8">
        <v>334</v>
      </c>
      <c r="B335" s="12">
        <v>40558</v>
      </c>
      <c r="C335" s="9">
        <v>1</v>
      </c>
      <c r="D335" s="9">
        <v>0</v>
      </c>
      <c r="E335" s="9">
        <v>1</v>
      </c>
      <c r="F335" s="9">
        <v>9</v>
      </c>
      <c r="G335" s="9" t="b">
        <v>0</v>
      </c>
      <c r="H335" s="9">
        <v>6</v>
      </c>
      <c r="I335" s="9">
        <v>1</v>
      </c>
      <c r="J335" s="9">
        <v>0.16</v>
      </c>
      <c r="K335" s="9">
        <v>0.18179999999999999</v>
      </c>
      <c r="L335" s="9">
        <v>0.64</v>
      </c>
      <c r="M335" s="9">
        <v>0.1343</v>
      </c>
      <c r="N335" s="9">
        <v>2</v>
      </c>
      <c r="O335" s="9">
        <v>31</v>
      </c>
      <c r="P335" s="10">
        <v>33</v>
      </c>
    </row>
    <row r="336" spans="1:16" x14ac:dyDescent="0.3">
      <c r="A336" s="5">
        <v>335</v>
      </c>
      <c r="B336" s="11">
        <v>40558</v>
      </c>
      <c r="C336" s="6">
        <v>1</v>
      </c>
      <c r="D336" s="6">
        <v>0</v>
      </c>
      <c r="E336" s="6">
        <v>1</v>
      </c>
      <c r="F336" s="6">
        <v>10</v>
      </c>
      <c r="G336" s="6" t="b">
        <v>0</v>
      </c>
      <c r="H336" s="6">
        <v>6</v>
      </c>
      <c r="I336" s="6">
        <v>1</v>
      </c>
      <c r="J336" s="6">
        <v>0.18</v>
      </c>
      <c r="K336" s="6">
        <v>0.19700000000000001</v>
      </c>
      <c r="L336" s="6">
        <v>0.59</v>
      </c>
      <c r="M336" s="6">
        <v>0.16420000000000001</v>
      </c>
      <c r="N336" s="6">
        <v>2</v>
      </c>
      <c r="O336" s="6">
        <v>57</v>
      </c>
      <c r="P336" s="7">
        <v>59</v>
      </c>
    </row>
    <row r="337" spans="1:16" x14ac:dyDescent="0.3">
      <c r="A337" s="8">
        <v>336</v>
      </c>
      <c r="B337" s="12">
        <v>40558</v>
      </c>
      <c r="C337" s="9">
        <v>1</v>
      </c>
      <c r="D337" s="9">
        <v>0</v>
      </c>
      <c r="E337" s="9">
        <v>1</v>
      </c>
      <c r="F337" s="9">
        <v>11</v>
      </c>
      <c r="G337" s="9" t="b">
        <v>0</v>
      </c>
      <c r="H337" s="9">
        <v>6</v>
      </c>
      <c r="I337" s="9">
        <v>1</v>
      </c>
      <c r="J337" s="9">
        <v>0.2</v>
      </c>
      <c r="K337" s="9">
        <v>0.19700000000000001</v>
      </c>
      <c r="L337" s="9">
        <v>0.55000000000000004</v>
      </c>
      <c r="M337" s="9">
        <v>0.22389999999999999</v>
      </c>
      <c r="N337" s="9">
        <v>18</v>
      </c>
      <c r="O337" s="9">
        <v>54</v>
      </c>
      <c r="P337" s="10">
        <v>72</v>
      </c>
    </row>
    <row r="338" spans="1:16" x14ac:dyDescent="0.3">
      <c r="A338" s="5">
        <v>337</v>
      </c>
      <c r="B338" s="11">
        <v>40558</v>
      </c>
      <c r="C338" s="6">
        <v>1</v>
      </c>
      <c r="D338" s="6">
        <v>0</v>
      </c>
      <c r="E338" s="6">
        <v>1</v>
      </c>
      <c r="F338" s="6">
        <v>12</v>
      </c>
      <c r="G338" s="6" t="b">
        <v>0</v>
      </c>
      <c r="H338" s="6">
        <v>6</v>
      </c>
      <c r="I338" s="6">
        <v>1</v>
      </c>
      <c r="J338" s="6">
        <v>0.24</v>
      </c>
      <c r="K338" s="6">
        <v>0.2273</v>
      </c>
      <c r="L338" s="6">
        <v>0.48</v>
      </c>
      <c r="M338" s="6">
        <v>0.22389999999999999</v>
      </c>
      <c r="N338" s="6">
        <v>15</v>
      </c>
      <c r="O338" s="6">
        <v>74</v>
      </c>
      <c r="P338" s="7">
        <v>89</v>
      </c>
    </row>
    <row r="339" spans="1:16" x14ac:dyDescent="0.3">
      <c r="A339" s="8">
        <v>338</v>
      </c>
      <c r="B339" s="12">
        <v>40558</v>
      </c>
      <c r="C339" s="9">
        <v>1</v>
      </c>
      <c r="D339" s="9">
        <v>0</v>
      </c>
      <c r="E339" s="9">
        <v>1</v>
      </c>
      <c r="F339" s="9">
        <v>13</v>
      </c>
      <c r="G339" s="9" t="b">
        <v>0</v>
      </c>
      <c r="H339" s="9">
        <v>6</v>
      </c>
      <c r="I339" s="9">
        <v>1</v>
      </c>
      <c r="J339" s="9">
        <v>0.28000000000000003</v>
      </c>
      <c r="K339" s="9">
        <v>0.2576</v>
      </c>
      <c r="L339" s="9">
        <v>0.38</v>
      </c>
      <c r="M339" s="9">
        <v>0.29849999999999999</v>
      </c>
      <c r="N339" s="9">
        <v>21</v>
      </c>
      <c r="O339" s="9">
        <v>80</v>
      </c>
      <c r="P339" s="10">
        <v>101</v>
      </c>
    </row>
    <row r="340" spans="1:16" x14ac:dyDescent="0.3">
      <c r="A340" s="5">
        <v>339</v>
      </c>
      <c r="B340" s="11">
        <v>40558</v>
      </c>
      <c r="C340" s="6">
        <v>1</v>
      </c>
      <c r="D340" s="6">
        <v>0</v>
      </c>
      <c r="E340" s="6">
        <v>1</v>
      </c>
      <c r="F340" s="6">
        <v>14</v>
      </c>
      <c r="G340" s="6" t="b">
        <v>0</v>
      </c>
      <c r="H340" s="6">
        <v>6</v>
      </c>
      <c r="I340" s="6">
        <v>1</v>
      </c>
      <c r="J340" s="6">
        <v>0.3</v>
      </c>
      <c r="K340" s="6">
        <v>0.28789999999999999</v>
      </c>
      <c r="L340" s="6">
        <v>0.39</v>
      </c>
      <c r="M340" s="6">
        <v>0.28360000000000002</v>
      </c>
      <c r="N340" s="6">
        <v>26</v>
      </c>
      <c r="O340" s="6">
        <v>92</v>
      </c>
      <c r="P340" s="7">
        <v>118</v>
      </c>
    </row>
    <row r="341" spans="1:16" x14ac:dyDescent="0.3">
      <c r="A341" s="8">
        <v>340</v>
      </c>
      <c r="B341" s="12">
        <v>40558</v>
      </c>
      <c r="C341" s="9">
        <v>1</v>
      </c>
      <c r="D341" s="9">
        <v>0</v>
      </c>
      <c r="E341" s="9">
        <v>1</v>
      </c>
      <c r="F341" s="9">
        <v>15</v>
      </c>
      <c r="G341" s="9" t="b">
        <v>0</v>
      </c>
      <c r="H341" s="9">
        <v>6</v>
      </c>
      <c r="I341" s="9">
        <v>2</v>
      </c>
      <c r="J341" s="9">
        <v>0.32</v>
      </c>
      <c r="K341" s="9">
        <v>0.31819999999999998</v>
      </c>
      <c r="L341" s="9">
        <v>0.36</v>
      </c>
      <c r="M341" s="9">
        <v>0.19400000000000001</v>
      </c>
      <c r="N341" s="9">
        <v>21</v>
      </c>
      <c r="O341" s="9">
        <v>108</v>
      </c>
      <c r="P341" s="10">
        <v>129</v>
      </c>
    </row>
    <row r="342" spans="1:16" x14ac:dyDescent="0.3">
      <c r="A342" s="5">
        <v>341</v>
      </c>
      <c r="B342" s="11">
        <v>40558</v>
      </c>
      <c r="C342" s="6">
        <v>1</v>
      </c>
      <c r="D342" s="6">
        <v>0</v>
      </c>
      <c r="E342" s="6">
        <v>1</v>
      </c>
      <c r="F342" s="6">
        <v>16</v>
      </c>
      <c r="G342" s="6" t="b">
        <v>0</v>
      </c>
      <c r="H342" s="6">
        <v>6</v>
      </c>
      <c r="I342" s="6">
        <v>2</v>
      </c>
      <c r="J342" s="6">
        <v>0.34</v>
      </c>
      <c r="K342" s="6">
        <v>0.33329999999999999</v>
      </c>
      <c r="L342" s="6">
        <v>0.34</v>
      </c>
      <c r="M342" s="6">
        <v>0.19400000000000001</v>
      </c>
      <c r="N342" s="6">
        <v>33</v>
      </c>
      <c r="O342" s="6">
        <v>95</v>
      </c>
      <c r="P342" s="7">
        <v>128</v>
      </c>
    </row>
    <row r="343" spans="1:16" x14ac:dyDescent="0.3">
      <c r="A343" s="8">
        <v>342</v>
      </c>
      <c r="B343" s="12">
        <v>40558</v>
      </c>
      <c r="C343" s="9">
        <v>1</v>
      </c>
      <c r="D343" s="9">
        <v>0</v>
      </c>
      <c r="E343" s="9">
        <v>1</v>
      </c>
      <c r="F343" s="9">
        <v>17</v>
      </c>
      <c r="G343" s="9" t="b">
        <v>0</v>
      </c>
      <c r="H343" s="9">
        <v>6</v>
      </c>
      <c r="I343" s="9">
        <v>2</v>
      </c>
      <c r="J343" s="9">
        <v>0.32</v>
      </c>
      <c r="K343" s="9">
        <v>0.30299999999999999</v>
      </c>
      <c r="L343" s="9">
        <v>0.36</v>
      </c>
      <c r="M343" s="9">
        <v>0.28360000000000002</v>
      </c>
      <c r="N343" s="9">
        <v>29</v>
      </c>
      <c r="O343" s="9">
        <v>54</v>
      </c>
      <c r="P343" s="10">
        <v>83</v>
      </c>
    </row>
    <row r="344" spans="1:16" x14ac:dyDescent="0.3">
      <c r="A344" s="5">
        <v>343</v>
      </c>
      <c r="B344" s="11">
        <v>40558</v>
      </c>
      <c r="C344" s="6">
        <v>1</v>
      </c>
      <c r="D344" s="6">
        <v>0</v>
      </c>
      <c r="E344" s="6">
        <v>1</v>
      </c>
      <c r="F344" s="6">
        <v>18</v>
      </c>
      <c r="G344" s="6" t="b">
        <v>0</v>
      </c>
      <c r="H344" s="6">
        <v>6</v>
      </c>
      <c r="I344" s="6">
        <v>2</v>
      </c>
      <c r="J344" s="6">
        <v>0.3</v>
      </c>
      <c r="K344" s="6">
        <v>0.28789999999999999</v>
      </c>
      <c r="L344" s="6">
        <v>0.45</v>
      </c>
      <c r="M344" s="6">
        <v>0.25369999999999998</v>
      </c>
      <c r="N344" s="6">
        <v>15</v>
      </c>
      <c r="O344" s="6">
        <v>69</v>
      </c>
      <c r="P344" s="7">
        <v>84</v>
      </c>
    </row>
    <row r="345" spans="1:16" x14ac:dyDescent="0.3">
      <c r="A345" s="8">
        <v>344</v>
      </c>
      <c r="B345" s="12">
        <v>40558</v>
      </c>
      <c r="C345" s="9">
        <v>1</v>
      </c>
      <c r="D345" s="9">
        <v>0</v>
      </c>
      <c r="E345" s="9">
        <v>1</v>
      </c>
      <c r="F345" s="9">
        <v>19</v>
      </c>
      <c r="G345" s="9" t="b">
        <v>0</v>
      </c>
      <c r="H345" s="9">
        <v>6</v>
      </c>
      <c r="I345" s="9">
        <v>2</v>
      </c>
      <c r="J345" s="9">
        <v>0.32</v>
      </c>
      <c r="K345" s="9">
        <v>0.30299999999999999</v>
      </c>
      <c r="L345" s="9">
        <v>0.39</v>
      </c>
      <c r="M345" s="9">
        <v>0.25369999999999998</v>
      </c>
      <c r="N345" s="9">
        <v>14</v>
      </c>
      <c r="O345" s="9">
        <v>60</v>
      </c>
      <c r="P345" s="10">
        <v>74</v>
      </c>
    </row>
    <row r="346" spans="1:16" x14ac:dyDescent="0.3">
      <c r="A346" s="5">
        <v>345</v>
      </c>
      <c r="B346" s="11">
        <v>40558</v>
      </c>
      <c r="C346" s="6">
        <v>1</v>
      </c>
      <c r="D346" s="6">
        <v>0</v>
      </c>
      <c r="E346" s="6">
        <v>1</v>
      </c>
      <c r="F346" s="6">
        <v>20</v>
      </c>
      <c r="G346" s="6" t="b">
        <v>0</v>
      </c>
      <c r="H346" s="6">
        <v>6</v>
      </c>
      <c r="I346" s="6">
        <v>2</v>
      </c>
      <c r="J346" s="6">
        <v>0.32</v>
      </c>
      <c r="K346" s="6">
        <v>0.30299999999999999</v>
      </c>
      <c r="L346" s="6">
        <v>0.39</v>
      </c>
      <c r="M346" s="6">
        <v>0.25369999999999998</v>
      </c>
      <c r="N346" s="6">
        <v>6</v>
      </c>
      <c r="O346" s="6">
        <v>35</v>
      </c>
      <c r="P346" s="7">
        <v>41</v>
      </c>
    </row>
    <row r="347" spans="1:16" x14ac:dyDescent="0.3">
      <c r="A347" s="8">
        <v>346</v>
      </c>
      <c r="B347" s="12">
        <v>40558</v>
      </c>
      <c r="C347" s="9">
        <v>1</v>
      </c>
      <c r="D347" s="9">
        <v>0</v>
      </c>
      <c r="E347" s="9">
        <v>1</v>
      </c>
      <c r="F347" s="9">
        <v>21</v>
      </c>
      <c r="G347" s="9" t="b">
        <v>0</v>
      </c>
      <c r="H347" s="9">
        <v>6</v>
      </c>
      <c r="I347" s="9">
        <v>2</v>
      </c>
      <c r="J347" s="9">
        <v>0.32</v>
      </c>
      <c r="K347" s="9">
        <v>0.30299999999999999</v>
      </c>
      <c r="L347" s="9">
        <v>0.39</v>
      </c>
      <c r="M347" s="9">
        <v>0.22389999999999999</v>
      </c>
      <c r="N347" s="9">
        <v>6</v>
      </c>
      <c r="O347" s="9">
        <v>51</v>
      </c>
      <c r="P347" s="10">
        <v>57</v>
      </c>
    </row>
    <row r="348" spans="1:16" x14ac:dyDescent="0.3">
      <c r="A348" s="5">
        <v>347</v>
      </c>
      <c r="B348" s="11">
        <v>40558</v>
      </c>
      <c r="C348" s="6">
        <v>1</v>
      </c>
      <c r="D348" s="6">
        <v>0</v>
      </c>
      <c r="E348" s="6">
        <v>1</v>
      </c>
      <c r="F348" s="6">
        <v>22</v>
      </c>
      <c r="G348" s="6" t="b">
        <v>0</v>
      </c>
      <c r="H348" s="6">
        <v>6</v>
      </c>
      <c r="I348" s="6">
        <v>2</v>
      </c>
      <c r="J348" s="6">
        <v>0.3</v>
      </c>
      <c r="K348" s="6">
        <v>0.31819999999999998</v>
      </c>
      <c r="L348" s="6">
        <v>0.42</v>
      </c>
      <c r="M348" s="6">
        <v>0.1045</v>
      </c>
      <c r="N348" s="6">
        <v>0</v>
      </c>
      <c r="O348" s="6">
        <v>26</v>
      </c>
      <c r="P348" s="7">
        <v>26</v>
      </c>
    </row>
    <row r="349" spans="1:16" x14ac:dyDescent="0.3">
      <c r="A349" s="8">
        <v>348</v>
      </c>
      <c r="B349" s="12">
        <v>40558</v>
      </c>
      <c r="C349" s="9">
        <v>1</v>
      </c>
      <c r="D349" s="9">
        <v>0</v>
      </c>
      <c r="E349" s="9">
        <v>1</v>
      </c>
      <c r="F349" s="9">
        <v>23</v>
      </c>
      <c r="G349" s="9" t="b">
        <v>0</v>
      </c>
      <c r="H349" s="9">
        <v>6</v>
      </c>
      <c r="I349" s="9">
        <v>1</v>
      </c>
      <c r="J349" s="9">
        <v>0.3</v>
      </c>
      <c r="K349" s="9">
        <v>0.28789999999999999</v>
      </c>
      <c r="L349" s="9">
        <v>0.45</v>
      </c>
      <c r="M349" s="9">
        <v>0.28360000000000002</v>
      </c>
      <c r="N349" s="9">
        <v>5</v>
      </c>
      <c r="O349" s="9">
        <v>39</v>
      </c>
      <c r="P349" s="10">
        <v>44</v>
      </c>
    </row>
    <row r="350" spans="1:16" x14ac:dyDescent="0.3">
      <c r="A350" s="5">
        <v>349</v>
      </c>
      <c r="B350" s="11">
        <v>40559</v>
      </c>
      <c r="C350" s="6">
        <v>1</v>
      </c>
      <c r="D350" s="6">
        <v>0</v>
      </c>
      <c r="E350" s="6">
        <v>1</v>
      </c>
      <c r="F350" s="6">
        <v>0</v>
      </c>
      <c r="G350" s="6" t="b">
        <v>0</v>
      </c>
      <c r="H350" s="6">
        <v>0</v>
      </c>
      <c r="I350" s="6">
        <v>1</v>
      </c>
      <c r="J350" s="6">
        <v>0.26</v>
      </c>
      <c r="K350" s="6">
        <v>0.30299999999999999</v>
      </c>
      <c r="L350" s="6">
        <v>0.56000000000000005</v>
      </c>
      <c r="M350" s="6">
        <v>0</v>
      </c>
      <c r="N350" s="6">
        <v>6</v>
      </c>
      <c r="O350" s="6">
        <v>33</v>
      </c>
      <c r="P350" s="7">
        <v>39</v>
      </c>
    </row>
    <row r="351" spans="1:16" x14ac:dyDescent="0.3">
      <c r="A351" s="8">
        <v>350</v>
      </c>
      <c r="B351" s="12">
        <v>40559</v>
      </c>
      <c r="C351" s="9">
        <v>1</v>
      </c>
      <c r="D351" s="9">
        <v>0</v>
      </c>
      <c r="E351" s="9">
        <v>1</v>
      </c>
      <c r="F351" s="9">
        <v>1</v>
      </c>
      <c r="G351" s="9" t="b">
        <v>0</v>
      </c>
      <c r="H351" s="9">
        <v>0</v>
      </c>
      <c r="I351" s="9">
        <v>1</v>
      </c>
      <c r="J351" s="9">
        <v>0.26</v>
      </c>
      <c r="K351" s="9">
        <v>0.2727</v>
      </c>
      <c r="L351" s="9">
        <v>0.56000000000000005</v>
      </c>
      <c r="M351" s="9">
        <v>0.1343</v>
      </c>
      <c r="N351" s="9">
        <v>4</v>
      </c>
      <c r="O351" s="9">
        <v>19</v>
      </c>
      <c r="P351" s="10">
        <v>23</v>
      </c>
    </row>
    <row r="352" spans="1:16" x14ac:dyDescent="0.3">
      <c r="A352" s="5">
        <v>351</v>
      </c>
      <c r="B352" s="11">
        <v>40559</v>
      </c>
      <c r="C352" s="6">
        <v>1</v>
      </c>
      <c r="D352" s="6">
        <v>0</v>
      </c>
      <c r="E352" s="6">
        <v>1</v>
      </c>
      <c r="F352" s="6">
        <v>2</v>
      </c>
      <c r="G352" s="6" t="b">
        <v>0</v>
      </c>
      <c r="H352" s="6">
        <v>0</v>
      </c>
      <c r="I352" s="6">
        <v>1</v>
      </c>
      <c r="J352" s="6">
        <v>0.26</v>
      </c>
      <c r="K352" s="6">
        <v>0.28789999999999999</v>
      </c>
      <c r="L352" s="6">
        <v>0.56000000000000005</v>
      </c>
      <c r="M352" s="6">
        <v>8.9599999999999999E-2</v>
      </c>
      <c r="N352" s="6">
        <v>3</v>
      </c>
      <c r="O352" s="6">
        <v>13</v>
      </c>
      <c r="P352" s="7">
        <v>16</v>
      </c>
    </row>
    <row r="353" spans="1:16" x14ac:dyDescent="0.3">
      <c r="A353" s="8">
        <v>352</v>
      </c>
      <c r="B353" s="12">
        <v>40559</v>
      </c>
      <c r="C353" s="9">
        <v>1</v>
      </c>
      <c r="D353" s="9">
        <v>0</v>
      </c>
      <c r="E353" s="9">
        <v>1</v>
      </c>
      <c r="F353" s="9">
        <v>3</v>
      </c>
      <c r="G353" s="9" t="b">
        <v>0</v>
      </c>
      <c r="H353" s="9">
        <v>0</v>
      </c>
      <c r="I353" s="9">
        <v>1</v>
      </c>
      <c r="J353" s="9">
        <v>0.22</v>
      </c>
      <c r="K353" s="9">
        <v>0.2727</v>
      </c>
      <c r="L353" s="9">
        <v>0.69</v>
      </c>
      <c r="M353" s="9">
        <v>0</v>
      </c>
      <c r="N353" s="9">
        <v>9</v>
      </c>
      <c r="O353" s="9">
        <v>6</v>
      </c>
      <c r="P353" s="10">
        <v>15</v>
      </c>
    </row>
    <row r="354" spans="1:16" x14ac:dyDescent="0.3">
      <c r="A354" s="5">
        <v>353</v>
      </c>
      <c r="B354" s="11">
        <v>40559</v>
      </c>
      <c r="C354" s="6">
        <v>1</v>
      </c>
      <c r="D354" s="6">
        <v>0</v>
      </c>
      <c r="E354" s="6">
        <v>1</v>
      </c>
      <c r="F354" s="6">
        <v>4</v>
      </c>
      <c r="G354" s="6" t="b">
        <v>0</v>
      </c>
      <c r="H354" s="6">
        <v>0</v>
      </c>
      <c r="I354" s="6">
        <v>1</v>
      </c>
      <c r="J354" s="6">
        <v>0.26</v>
      </c>
      <c r="K354" s="6">
        <v>0.2576</v>
      </c>
      <c r="L354" s="6">
        <v>0.56000000000000005</v>
      </c>
      <c r="M354" s="6">
        <v>0.16420000000000001</v>
      </c>
      <c r="N354" s="6">
        <v>0</v>
      </c>
      <c r="O354" s="6">
        <v>1</v>
      </c>
      <c r="P354" s="7">
        <v>1</v>
      </c>
    </row>
    <row r="355" spans="1:16" x14ac:dyDescent="0.3">
      <c r="A355" s="8">
        <v>354</v>
      </c>
      <c r="B355" s="12">
        <v>40559</v>
      </c>
      <c r="C355" s="9">
        <v>1</v>
      </c>
      <c r="D355" s="9">
        <v>0</v>
      </c>
      <c r="E355" s="9">
        <v>1</v>
      </c>
      <c r="F355" s="9">
        <v>5</v>
      </c>
      <c r="G355" s="9" t="b">
        <v>0</v>
      </c>
      <c r="H355" s="9">
        <v>0</v>
      </c>
      <c r="I355" s="9">
        <v>2</v>
      </c>
      <c r="J355" s="9">
        <v>0.26</v>
      </c>
      <c r="K355" s="9">
        <v>0.2576</v>
      </c>
      <c r="L355" s="9">
        <v>0.56000000000000005</v>
      </c>
      <c r="M355" s="9">
        <v>0.16420000000000001</v>
      </c>
      <c r="N355" s="9">
        <v>1</v>
      </c>
      <c r="O355" s="9">
        <v>1</v>
      </c>
      <c r="P355" s="10">
        <v>2</v>
      </c>
    </row>
    <row r="356" spans="1:16" x14ac:dyDescent="0.3">
      <c r="A356" s="5">
        <v>355</v>
      </c>
      <c r="B356" s="11">
        <v>40559</v>
      </c>
      <c r="C356" s="6">
        <v>1</v>
      </c>
      <c r="D356" s="6">
        <v>0</v>
      </c>
      <c r="E356" s="6">
        <v>1</v>
      </c>
      <c r="F356" s="6">
        <v>6</v>
      </c>
      <c r="G356" s="6" t="b">
        <v>0</v>
      </c>
      <c r="H356" s="6">
        <v>0</v>
      </c>
      <c r="I356" s="6">
        <v>2</v>
      </c>
      <c r="J356" s="6">
        <v>0.26</v>
      </c>
      <c r="K356" s="6">
        <v>0.2576</v>
      </c>
      <c r="L356" s="6">
        <v>0.56000000000000005</v>
      </c>
      <c r="M356" s="6">
        <v>0.16420000000000001</v>
      </c>
      <c r="N356" s="6">
        <v>0</v>
      </c>
      <c r="O356" s="6">
        <v>1</v>
      </c>
      <c r="P356" s="7">
        <v>1</v>
      </c>
    </row>
    <row r="357" spans="1:16" x14ac:dyDescent="0.3">
      <c r="A357" s="8">
        <v>356</v>
      </c>
      <c r="B357" s="12">
        <v>40559</v>
      </c>
      <c r="C357" s="9">
        <v>1</v>
      </c>
      <c r="D357" s="9">
        <v>0</v>
      </c>
      <c r="E357" s="9">
        <v>1</v>
      </c>
      <c r="F357" s="9">
        <v>7</v>
      </c>
      <c r="G357" s="9" t="b">
        <v>0</v>
      </c>
      <c r="H357" s="9">
        <v>0</v>
      </c>
      <c r="I357" s="9">
        <v>2</v>
      </c>
      <c r="J357" s="9">
        <v>0.24</v>
      </c>
      <c r="K357" s="9">
        <v>0.21210000000000001</v>
      </c>
      <c r="L357" s="9">
        <v>0.56000000000000005</v>
      </c>
      <c r="M357" s="9">
        <v>0.29849999999999999</v>
      </c>
      <c r="N357" s="9">
        <v>0</v>
      </c>
      <c r="O357" s="9">
        <v>3</v>
      </c>
      <c r="P357" s="10">
        <v>3</v>
      </c>
    </row>
    <row r="358" spans="1:16" x14ac:dyDescent="0.3">
      <c r="A358" s="5">
        <v>357</v>
      </c>
      <c r="B358" s="11">
        <v>40559</v>
      </c>
      <c r="C358" s="6">
        <v>1</v>
      </c>
      <c r="D358" s="6">
        <v>0</v>
      </c>
      <c r="E358" s="6">
        <v>1</v>
      </c>
      <c r="F358" s="6">
        <v>8</v>
      </c>
      <c r="G358" s="6" t="b">
        <v>0</v>
      </c>
      <c r="H358" s="6">
        <v>0</v>
      </c>
      <c r="I358" s="6">
        <v>1</v>
      </c>
      <c r="J358" s="6">
        <v>0.22</v>
      </c>
      <c r="K358" s="6">
        <v>0.21210000000000001</v>
      </c>
      <c r="L358" s="6">
        <v>0.55000000000000004</v>
      </c>
      <c r="M358" s="6">
        <v>0.28360000000000002</v>
      </c>
      <c r="N358" s="6">
        <v>0</v>
      </c>
      <c r="O358" s="6">
        <v>18</v>
      </c>
      <c r="P358" s="7">
        <v>18</v>
      </c>
    </row>
    <row r="359" spans="1:16" x14ac:dyDescent="0.3">
      <c r="A359" s="8">
        <v>358</v>
      </c>
      <c r="B359" s="12">
        <v>40559</v>
      </c>
      <c r="C359" s="9">
        <v>1</v>
      </c>
      <c r="D359" s="9">
        <v>0</v>
      </c>
      <c r="E359" s="9">
        <v>1</v>
      </c>
      <c r="F359" s="9">
        <v>9</v>
      </c>
      <c r="G359" s="9" t="b">
        <v>0</v>
      </c>
      <c r="H359" s="9">
        <v>0</v>
      </c>
      <c r="I359" s="9">
        <v>1</v>
      </c>
      <c r="J359" s="9">
        <v>0.22</v>
      </c>
      <c r="K359" s="9">
        <v>0.21210000000000001</v>
      </c>
      <c r="L359" s="9">
        <v>0.51</v>
      </c>
      <c r="M359" s="9">
        <v>0.25369999999999998</v>
      </c>
      <c r="N359" s="9">
        <v>3</v>
      </c>
      <c r="O359" s="9">
        <v>29</v>
      </c>
      <c r="P359" s="10">
        <v>32</v>
      </c>
    </row>
    <row r="360" spans="1:16" x14ac:dyDescent="0.3">
      <c r="A360" s="5">
        <v>359</v>
      </c>
      <c r="B360" s="11">
        <v>40559</v>
      </c>
      <c r="C360" s="6">
        <v>1</v>
      </c>
      <c r="D360" s="6">
        <v>0</v>
      </c>
      <c r="E360" s="6">
        <v>1</v>
      </c>
      <c r="F360" s="6">
        <v>10</v>
      </c>
      <c r="G360" s="6" t="b">
        <v>0</v>
      </c>
      <c r="H360" s="6">
        <v>0</v>
      </c>
      <c r="I360" s="6">
        <v>1</v>
      </c>
      <c r="J360" s="6">
        <v>0.22</v>
      </c>
      <c r="K360" s="6">
        <v>0.21210000000000001</v>
      </c>
      <c r="L360" s="6">
        <v>0.51</v>
      </c>
      <c r="M360" s="6">
        <v>0.28360000000000002</v>
      </c>
      <c r="N360" s="6">
        <v>8</v>
      </c>
      <c r="O360" s="6">
        <v>71</v>
      </c>
      <c r="P360" s="7">
        <v>79</v>
      </c>
    </row>
    <row r="361" spans="1:16" x14ac:dyDescent="0.3">
      <c r="A361" s="8">
        <v>360</v>
      </c>
      <c r="B361" s="12">
        <v>40559</v>
      </c>
      <c r="C361" s="9">
        <v>1</v>
      </c>
      <c r="D361" s="9">
        <v>0</v>
      </c>
      <c r="E361" s="9">
        <v>1</v>
      </c>
      <c r="F361" s="9">
        <v>11</v>
      </c>
      <c r="G361" s="9" t="b">
        <v>0</v>
      </c>
      <c r="H361" s="9">
        <v>0</v>
      </c>
      <c r="I361" s="9">
        <v>1</v>
      </c>
      <c r="J361" s="9">
        <v>0.24</v>
      </c>
      <c r="K361" s="9">
        <v>0.2273</v>
      </c>
      <c r="L361" s="9">
        <v>0.44</v>
      </c>
      <c r="M361" s="9">
        <v>0.25369999999999998</v>
      </c>
      <c r="N361" s="9">
        <v>23</v>
      </c>
      <c r="O361" s="9">
        <v>70</v>
      </c>
      <c r="P361" s="10">
        <v>93</v>
      </c>
    </row>
    <row r="362" spans="1:16" x14ac:dyDescent="0.3">
      <c r="A362" s="5">
        <v>361</v>
      </c>
      <c r="B362" s="11">
        <v>40559</v>
      </c>
      <c r="C362" s="6">
        <v>1</v>
      </c>
      <c r="D362" s="6">
        <v>0</v>
      </c>
      <c r="E362" s="6">
        <v>1</v>
      </c>
      <c r="F362" s="6">
        <v>12</v>
      </c>
      <c r="G362" s="6" t="b">
        <v>0</v>
      </c>
      <c r="H362" s="6">
        <v>0</v>
      </c>
      <c r="I362" s="6">
        <v>1</v>
      </c>
      <c r="J362" s="6">
        <v>0.24</v>
      </c>
      <c r="K362" s="6">
        <v>0.21210000000000001</v>
      </c>
      <c r="L362" s="6">
        <v>0.41</v>
      </c>
      <c r="M362" s="6">
        <v>0.28360000000000002</v>
      </c>
      <c r="N362" s="6">
        <v>29</v>
      </c>
      <c r="O362" s="6">
        <v>75</v>
      </c>
      <c r="P362" s="7">
        <v>104</v>
      </c>
    </row>
    <row r="363" spans="1:16" x14ac:dyDescent="0.3">
      <c r="A363" s="8">
        <v>362</v>
      </c>
      <c r="B363" s="12">
        <v>40559</v>
      </c>
      <c r="C363" s="9">
        <v>1</v>
      </c>
      <c r="D363" s="9">
        <v>0</v>
      </c>
      <c r="E363" s="9">
        <v>1</v>
      </c>
      <c r="F363" s="9">
        <v>13</v>
      </c>
      <c r="G363" s="9" t="b">
        <v>0</v>
      </c>
      <c r="H363" s="9">
        <v>0</v>
      </c>
      <c r="I363" s="9">
        <v>1</v>
      </c>
      <c r="J363" s="9">
        <v>0.26</v>
      </c>
      <c r="K363" s="9">
        <v>0.2273</v>
      </c>
      <c r="L363" s="9">
        <v>0.35</v>
      </c>
      <c r="M363" s="9">
        <v>0.29849999999999999</v>
      </c>
      <c r="N363" s="9">
        <v>23</v>
      </c>
      <c r="O363" s="9">
        <v>95</v>
      </c>
      <c r="P363" s="10">
        <v>118</v>
      </c>
    </row>
    <row r="364" spans="1:16" x14ac:dyDescent="0.3">
      <c r="A364" s="5">
        <v>363</v>
      </c>
      <c r="B364" s="11">
        <v>40559</v>
      </c>
      <c r="C364" s="6">
        <v>1</v>
      </c>
      <c r="D364" s="6">
        <v>0</v>
      </c>
      <c r="E364" s="6">
        <v>1</v>
      </c>
      <c r="F364" s="6">
        <v>14</v>
      </c>
      <c r="G364" s="6" t="b">
        <v>0</v>
      </c>
      <c r="H364" s="6">
        <v>0</v>
      </c>
      <c r="I364" s="6">
        <v>1</v>
      </c>
      <c r="J364" s="6">
        <v>0.28000000000000003</v>
      </c>
      <c r="K364" s="6">
        <v>0.2727</v>
      </c>
      <c r="L364" s="6">
        <v>0.36</v>
      </c>
      <c r="M364" s="6">
        <v>0.25369999999999998</v>
      </c>
      <c r="N364" s="6">
        <v>22</v>
      </c>
      <c r="O364" s="6">
        <v>69</v>
      </c>
      <c r="P364" s="7">
        <v>91</v>
      </c>
    </row>
    <row r="365" spans="1:16" x14ac:dyDescent="0.3">
      <c r="A365" s="8">
        <v>364</v>
      </c>
      <c r="B365" s="12">
        <v>40559</v>
      </c>
      <c r="C365" s="9">
        <v>1</v>
      </c>
      <c r="D365" s="9">
        <v>0</v>
      </c>
      <c r="E365" s="9">
        <v>1</v>
      </c>
      <c r="F365" s="9">
        <v>15</v>
      </c>
      <c r="G365" s="9" t="b">
        <v>0</v>
      </c>
      <c r="H365" s="9">
        <v>0</v>
      </c>
      <c r="I365" s="9">
        <v>1</v>
      </c>
      <c r="J365" s="9">
        <v>0.26</v>
      </c>
      <c r="K365" s="9">
        <v>0.2424</v>
      </c>
      <c r="L365" s="9">
        <v>0.38</v>
      </c>
      <c r="M365" s="9">
        <v>0.25369999999999998</v>
      </c>
      <c r="N365" s="9">
        <v>35</v>
      </c>
      <c r="O365" s="9">
        <v>78</v>
      </c>
      <c r="P365" s="10">
        <v>113</v>
      </c>
    </row>
    <row r="366" spans="1:16" x14ac:dyDescent="0.3">
      <c r="A366" s="5">
        <v>365</v>
      </c>
      <c r="B366" s="11">
        <v>40559</v>
      </c>
      <c r="C366" s="6">
        <v>1</v>
      </c>
      <c r="D366" s="6">
        <v>0</v>
      </c>
      <c r="E366" s="6">
        <v>1</v>
      </c>
      <c r="F366" s="6">
        <v>16</v>
      </c>
      <c r="G366" s="6" t="b">
        <v>0</v>
      </c>
      <c r="H366" s="6">
        <v>0</v>
      </c>
      <c r="I366" s="6">
        <v>1</v>
      </c>
      <c r="J366" s="6">
        <v>0.24</v>
      </c>
      <c r="K366" s="6">
        <v>0.2273</v>
      </c>
      <c r="L366" s="6">
        <v>0.38</v>
      </c>
      <c r="M366" s="6">
        <v>0.22389999999999999</v>
      </c>
      <c r="N366" s="6">
        <v>22</v>
      </c>
      <c r="O366" s="6">
        <v>77</v>
      </c>
      <c r="P366" s="7">
        <v>99</v>
      </c>
    </row>
    <row r="367" spans="1:16" x14ac:dyDescent="0.3">
      <c r="A367" s="8">
        <v>366</v>
      </c>
      <c r="B367" s="12">
        <v>40559</v>
      </c>
      <c r="C367" s="9">
        <v>1</v>
      </c>
      <c r="D367" s="9">
        <v>0</v>
      </c>
      <c r="E367" s="9">
        <v>1</v>
      </c>
      <c r="F367" s="9">
        <v>17</v>
      </c>
      <c r="G367" s="9" t="b">
        <v>0</v>
      </c>
      <c r="H367" s="9">
        <v>0</v>
      </c>
      <c r="I367" s="9">
        <v>1</v>
      </c>
      <c r="J367" s="9">
        <v>0.22</v>
      </c>
      <c r="K367" s="9">
        <v>0.21210000000000001</v>
      </c>
      <c r="L367" s="9">
        <v>0.37</v>
      </c>
      <c r="M367" s="9">
        <v>0.25369999999999998</v>
      </c>
      <c r="N367" s="9">
        <v>23</v>
      </c>
      <c r="O367" s="9">
        <v>82</v>
      </c>
      <c r="P367" s="10">
        <v>105</v>
      </c>
    </row>
    <row r="368" spans="1:16" x14ac:dyDescent="0.3">
      <c r="A368" s="5">
        <v>367</v>
      </c>
      <c r="B368" s="11">
        <v>40559</v>
      </c>
      <c r="C368" s="6">
        <v>1</v>
      </c>
      <c r="D368" s="6">
        <v>0</v>
      </c>
      <c r="E368" s="6">
        <v>1</v>
      </c>
      <c r="F368" s="6">
        <v>18</v>
      </c>
      <c r="G368" s="6" t="b">
        <v>0</v>
      </c>
      <c r="H368" s="6">
        <v>0</v>
      </c>
      <c r="I368" s="6">
        <v>1</v>
      </c>
      <c r="J368" s="6">
        <v>0.2</v>
      </c>
      <c r="K368" s="6">
        <v>0.21210000000000001</v>
      </c>
      <c r="L368" s="6">
        <v>0.4</v>
      </c>
      <c r="M368" s="6">
        <v>0.16420000000000001</v>
      </c>
      <c r="N368" s="6">
        <v>11</v>
      </c>
      <c r="O368" s="6">
        <v>56</v>
      </c>
      <c r="P368" s="7">
        <v>67</v>
      </c>
    </row>
    <row r="369" spans="1:16" x14ac:dyDescent="0.3">
      <c r="A369" s="8">
        <v>368</v>
      </c>
      <c r="B369" s="12">
        <v>40559</v>
      </c>
      <c r="C369" s="9">
        <v>1</v>
      </c>
      <c r="D369" s="9">
        <v>0</v>
      </c>
      <c r="E369" s="9">
        <v>1</v>
      </c>
      <c r="F369" s="9">
        <v>19</v>
      </c>
      <c r="G369" s="9" t="b">
        <v>0</v>
      </c>
      <c r="H369" s="9">
        <v>0</v>
      </c>
      <c r="I369" s="9">
        <v>1</v>
      </c>
      <c r="J369" s="9">
        <v>0.18</v>
      </c>
      <c r="K369" s="9">
        <v>0.19700000000000001</v>
      </c>
      <c r="L369" s="9">
        <v>0.47</v>
      </c>
      <c r="M369" s="9">
        <v>0.1343</v>
      </c>
      <c r="N369" s="9">
        <v>14</v>
      </c>
      <c r="O369" s="9">
        <v>47</v>
      </c>
      <c r="P369" s="10">
        <v>61</v>
      </c>
    </row>
    <row r="370" spans="1:16" x14ac:dyDescent="0.3">
      <c r="A370" s="5">
        <v>369</v>
      </c>
      <c r="B370" s="11">
        <v>40559</v>
      </c>
      <c r="C370" s="6">
        <v>1</v>
      </c>
      <c r="D370" s="6">
        <v>0</v>
      </c>
      <c r="E370" s="6">
        <v>1</v>
      </c>
      <c r="F370" s="6">
        <v>20</v>
      </c>
      <c r="G370" s="6" t="b">
        <v>0</v>
      </c>
      <c r="H370" s="6">
        <v>0</v>
      </c>
      <c r="I370" s="6">
        <v>1</v>
      </c>
      <c r="J370" s="6">
        <v>0.18</v>
      </c>
      <c r="K370" s="6">
        <v>0.19700000000000001</v>
      </c>
      <c r="L370" s="6">
        <v>0.47</v>
      </c>
      <c r="M370" s="6">
        <v>0.16420000000000001</v>
      </c>
      <c r="N370" s="6">
        <v>7</v>
      </c>
      <c r="O370" s="6">
        <v>50</v>
      </c>
      <c r="P370" s="7">
        <v>57</v>
      </c>
    </row>
    <row r="371" spans="1:16" x14ac:dyDescent="0.3">
      <c r="A371" s="8">
        <v>370</v>
      </c>
      <c r="B371" s="12">
        <v>40559</v>
      </c>
      <c r="C371" s="9">
        <v>1</v>
      </c>
      <c r="D371" s="9">
        <v>0</v>
      </c>
      <c r="E371" s="9">
        <v>1</v>
      </c>
      <c r="F371" s="9">
        <v>21</v>
      </c>
      <c r="G371" s="9" t="b">
        <v>0</v>
      </c>
      <c r="H371" s="9">
        <v>0</v>
      </c>
      <c r="I371" s="9">
        <v>1</v>
      </c>
      <c r="J371" s="9">
        <v>0.18</v>
      </c>
      <c r="K371" s="9">
        <v>0.19700000000000001</v>
      </c>
      <c r="L371" s="9">
        <v>0.51</v>
      </c>
      <c r="M371" s="9">
        <v>0.16420000000000001</v>
      </c>
      <c r="N371" s="9">
        <v>6</v>
      </c>
      <c r="O371" s="9">
        <v>22</v>
      </c>
      <c r="P371" s="10">
        <v>28</v>
      </c>
    </row>
    <row r="372" spans="1:16" x14ac:dyDescent="0.3">
      <c r="A372" s="5">
        <v>371</v>
      </c>
      <c r="B372" s="11">
        <v>40559</v>
      </c>
      <c r="C372" s="6">
        <v>1</v>
      </c>
      <c r="D372" s="6">
        <v>0</v>
      </c>
      <c r="E372" s="6">
        <v>1</v>
      </c>
      <c r="F372" s="6">
        <v>22</v>
      </c>
      <c r="G372" s="6" t="b">
        <v>0</v>
      </c>
      <c r="H372" s="6">
        <v>0</v>
      </c>
      <c r="I372" s="6">
        <v>2</v>
      </c>
      <c r="J372" s="6">
        <v>0.2</v>
      </c>
      <c r="K372" s="6">
        <v>0.21210000000000001</v>
      </c>
      <c r="L372" s="6">
        <v>0.49</v>
      </c>
      <c r="M372" s="6">
        <v>0.1343</v>
      </c>
      <c r="N372" s="6">
        <v>2</v>
      </c>
      <c r="O372" s="6">
        <v>19</v>
      </c>
      <c r="P372" s="7">
        <v>21</v>
      </c>
    </row>
    <row r="373" spans="1:16" x14ac:dyDescent="0.3">
      <c r="A373" s="8">
        <v>372</v>
      </c>
      <c r="B373" s="12">
        <v>40559</v>
      </c>
      <c r="C373" s="9">
        <v>1</v>
      </c>
      <c r="D373" s="9">
        <v>0</v>
      </c>
      <c r="E373" s="9">
        <v>1</v>
      </c>
      <c r="F373" s="9">
        <v>23</v>
      </c>
      <c r="G373" s="9" t="b">
        <v>0</v>
      </c>
      <c r="H373" s="9">
        <v>0</v>
      </c>
      <c r="I373" s="9">
        <v>2</v>
      </c>
      <c r="J373" s="9">
        <v>0.2</v>
      </c>
      <c r="K373" s="9">
        <v>0.2273</v>
      </c>
      <c r="L373" s="9">
        <v>0.4</v>
      </c>
      <c r="M373" s="9">
        <v>0.1045</v>
      </c>
      <c r="N373" s="9">
        <v>0</v>
      </c>
      <c r="O373" s="9">
        <v>18</v>
      </c>
      <c r="P373" s="10">
        <v>18</v>
      </c>
    </row>
    <row r="374" spans="1:16" x14ac:dyDescent="0.3">
      <c r="A374" s="5">
        <v>373</v>
      </c>
      <c r="B374" s="11">
        <v>40560</v>
      </c>
      <c r="C374" s="6">
        <v>1</v>
      </c>
      <c r="D374" s="6">
        <v>0</v>
      </c>
      <c r="E374" s="6">
        <v>1</v>
      </c>
      <c r="F374" s="6">
        <v>0</v>
      </c>
      <c r="G374" s="6" t="b">
        <v>1</v>
      </c>
      <c r="H374" s="6">
        <v>1</v>
      </c>
      <c r="I374" s="6">
        <v>2</v>
      </c>
      <c r="J374" s="6">
        <v>0.2</v>
      </c>
      <c r="K374" s="6">
        <v>0.19700000000000001</v>
      </c>
      <c r="L374" s="6">
        <v>0.47</v>
      </c>
      <c r="M374" s="6">
        <v>0.22389999999999999</v>
      </c>
      <c r="N374" s="6">
        <v>1</v>
      </c>
      <c r="O374" s="6">
        <v>16</v>
      </c>
      <c r="P374" s="7">
        <v>17</v>
      </c>
    </row>
    <row r="375" spans="1:16" x14ac:dyDescent="0.3">
      <c r="A375" s="8">
        <v>374</v>
      </c>
      <c r="B375" s="12">
        <v>40560</v>
      </c>
      <c r="C375" s="9">
        <v>1</v>
      </c>
      <c r="D375" s="9">
        <v>0</v>
      </c>
      <c r="E375" s="9">
        <v>1</v>
      </c>
      <c r="F375" s="9">
        <v>1</v>
      </c>
      <c r="G375" s="9" t="b">
        <v>1</v>
      </c>
      <c r="H375" s="9">
        <v>1</v>
      </c>
      <c r="I375" s="9">
        <v>2</v>
      </c>
      <c r="J375" s="9">
        <v>0.2</v>
      </c>
      <c r="K375" s="9">
        <v>0.19700000000000001</v>
      </c>
      <c r="L375" s="9">
        <v>0.44</v>
      </c>
      <c r="M375" s="9">
        <v>0.19400000000000001</v>
      </c>
      <c r="N375" s="9">
        <v>1</v>
      </c>
      <c r="O375" s="9">
        <v>15</v>
      </c>
      <c r="P375" s="10">
        <v>16</v>
      </c>
    </row>
    <row r="376" spans="1:16" x14ac:dyDescent="0.3">
      <c r="A376" s="5">
        <v>375</v>
      </c>
      <c r="B376" s="11">
        <v>40560</v>
      </c>
      <c r="C376" s="6">
        <v>1</v>
      </c>
      <c r="D376" s="6">
        <v>0</v>
      </c>
      <c r="E376" s="6">
        <v>1</v>
      </c>
      <c r="F376" s="6">
        <v>2</v>
      </c>
      <c r="G376" s="6" t="b">
        <v>1</v>
      </c>
      <c r="H376" s="6">
        <v>1</v>
      </c>
      <c r="I376" s="6">
        <v>2</v>
      </c>
      <c r="J376" s="6">
        <v>0.18</v>
      </c>
      <c r="K376" s="6">
        <v>0.16669999999999999</v>
      </c>
      <c r="L376" s="6">
        <v>0.43</v>
      </c>
      <c r="M376" s="6">
        <v>0.25369999999999998</v>
      </c>
      <c r="N376" s="6">
        <v>0</v>
      </c>
      <c r="O376" s="6">
        <v>8</v>
      </c>
      <c r="P376" s="7">
        <v>8</v>
      </c>
    </row>
    <row r="377" spans="1:16" x14ac:dyDescent="0.3">
      <c r="A377" s="8">
        <v>376</v>
      </c>
      <c r="B377" s="12">
        <v>40560</v>
      </c>
      <c r="C377" s="9">
        <v>1</v>
      </c>
      <c r="D377" s="9">
        <v>0</v>
      </c>
      <c r="E377" s="9">
        <v>1</v>
      </c>
      <c r="F377" s="9">
        <v>3</v>
      </c>
      <c r="G377" s="9" t="b">
        <v>1</v>
      </c>
      <c r="H377" s="9">
        <v>1</v>
      </c>
      <c r="I377" s="9">
        <v>2</v>
      </c>
      <c r="J377" s="9">
        <v>0.18</v>
      </c>
      <c r="K377" s="9">
        <v>0.18179999999999999</v>
      </c>
      <c r="L377" s="9">
        <v>0.43</v>
      </c>
      <c r="M377" s="9">
        <v>0.19400000000000001</v>
      </c>
      <c r="N377" s="9">
        <v>0</v>
      </c>
      <c r="O377" s="9">
        <v>2</v>
      </c>
      <c r="P377" s="10">
        <v>2</v>
      </c>
    </row>
    <row r="378" spans="1:16" x14ac:dyDescent="0.3">
      <c r="A378" s="5">
        <v>377</v>
      </c>
      <c r="B378" s="11">
        <v>40560</v>
      </c>
      <c r="C378" s="6">
        <v>1</v>
      </c>
      <c r="D378" s="6">
        <v>0</v>
      </c>
      <c r="E378" s="6">
        <v>1</v>
      </c>
      <c r="F378" s="6">
        <v>4</v>
      </c>
      <c r="G378" s="6" t="b">
        <v>1</v>
      </c>
      <c r="H378" s="6">
        <v>1</v>
      </c>
      <c r="I378" s="6">
        <v>2</v>
      </c>
      <c r="J378" s="6">
        <v>0.18</v>
      </c>
      <c r="K378" s="6">
        <v>0.19700000000000001</v>
      </c>
      <c r="L378" s="6">
        <v>0.43</v>
      </c>
      <c r="M378" s="6">
        <v>0.1343</v>
      </c>
      <c r="N378" s="6">
        <v>1</v>
      </c>
      <c r="O378" s="6">
        <v>2</v>
      </c>
      <c r="P378" s="7">
        <v>3</v>
      </c>
    </row>
    <row r="379" spans="1:16" x14ac:dyDescent="0.3">
      <c r="A379" s="8">
        <v>378</v>
      </c>
      <c r="B379" s="12">
        <v>40560</v>
      </c>
      <c r="C379" s="9">
        <v>1</v>
      </c>
      <c r="D379" s="9">
        <v>0</v>
      </c>
      <c r="E379" s="9">
        <v>1</v>
      </c>
      <c r="F379" s="9">
        <v>5</v>
      </c>
      <c r="G379" s="9" t="b">
        <v>1</v>
      </c>
      <c r="H379" s="9">
        <v>1</v>
      </c>
      <c r="I379" s="9">
        <v>2</v>
      </c>
      <c r="J379" s="9">
        <v>0.18</v>
      </c>
      <c r="K379" s="9">
        <v>0.19700000000000001</v>
      </c>
      <c r="L379" s="9">
        <v>0.43</v>
      </c>
      <c r="M379" s="9">
        <v>0.16420000000000001</v>
      </c>
      <c r="N379" s="9">
        <v>0</v>
      </c>
      <c r="O379" s="9">
        <v>1</v>
      </c>
      <c r="P379" s="10">
        <v>1</v>
      </c>
    </row>
    <row r="380" spans="1:16" x14ac:dyDescent="0.3">
      <c r="A380" s="5">
        <v>379</v>
      </c>
      <c r="B380" s="11">
        <v>40560</v>
      </c>
      <c r="C380" s="6">
        <v>1</v>
      </c>
      <c r="D380" s="6">
        <v>0</v>
      </c>
      <c r="E380" s="6">
        <v>1</v>
      </c>
      <c r="F380" s="6">
        <v>6</v>
      </c>
      <c r="G380" s="6" t="b">
        <v>1</v>
      </c>
      <c r="H380" s="6">
        <v>1</v>
      </c>
      <c r="I380" s="6">
        <v>2</v>
      </c>
      <c r="J380" s="6">
        <v>0.18</v>
      </c>
      <c r="K380" s="6">
        <v>0.18179999999999999</v>
      </c>
      <c r="L380" s="6">
        <v>0.43</v>
      </c>
      <c r="M380" s="6">
        <v>0.19400000000000001</v>
      </c>
      <c r="N380" s="6">
        <v>0</v>
      </c>
      <c r="O380" s="6">
        <v>5</v>
      </c>
      <c r="P380" s="7">
        <v>5</v>
      </c>
    </row>
    <row r="381" spans="1:16" x14ac:dyDescent="0.3">
      <c r="A381" s="8">
        <v>380</v>
      </c>
      <c r="B381" s="12">
        <v>40560</v>
      </c>
      <c r="C381" s="9">
        <v>1</v>
      </c>
      <c r="D381" s="9">
        <v>0</v>
      </c>
      <c r="E381" s="9">
        <v>1</v>
      </c>
      <c r="F381" s="9">
        <v>7</v>
      </c>
      <c r="G381" s="9" t="b">
        <v>1</v>
      </c>
      <c r="H381" s="9">
        <v>1</v>
      </c>
      <c r="I381" s="9">
        <v>2</v>
      </c>
      <c r="J381" s="9">
        <v>0.16</v>
      </c>
      <c r="K381" s="9">
        <v>0.18179999999999999</v>
      </c>
      <c r="L381" s="9">
        <v>0.5</v>
      </c>
      <c r="M381" s="9">
        <v>0.1343</v>
      </c>
      <c r="N381" s="9">
        <v>4</v>
      </c>
      <c r="O381" s="9">
        <v>9</v>
      </c>
      <c r="P381" s="10">
        <v>13</v>
      </c>
    </row>
    <row r="382" spans="1:16" x14ac:dyDescent="0.3">
      <c r="A382" s="5">
        <v>381</v>
      </c>
      <c r="B382" s="11">
        <v>40560</v>
      </c>
      <c r="C382" s="6">
        <v>1</v>
      </c>
      <c r="D382" s="6">
        <v>0</v>
      </c>
      <c r="E382" s="6">
        <v>1</v>
      </c>
      <c r="F382" s="6">
        <v>8</v>
      </c>
      <c r="G382" s="6" t="b">
        <v>1</v>
      </c>
      <c r="H382" s="6">
        <v>1</v>
      </c>
      <c r="I382" s="6">
        <v>2</v>
      </c>
      <c r="J382" s="6">
        <v>0.16</v>
      </c>
      <c r="K382" s="6">
        <v>0.1515</v>
      </c>
      <c r="L382" s="6">
        <v>0.47</v>
      </c>
      <c r="M382" s="6">
        <v>0.22389999999999999</v>
      </c>
      <c r="N382" s="6">
        <v>3</v>
      </c>
      <c r="O382" s="6">
        <v>30</v>
      </c>
      <c r="P382" s="7">
        <v>33</v>
      </c>
    </row>
    <row r="383" spans="1:16" x14ac:dyDescent="0.3">
      <c r="A383" s="8">
        <v>382</v>
      </c>
      <c r="B383" s="12">
        <v>40560</v>
      </c>
      <c r="C383" s="9">
        <v>1</v>
      </c>
      <c r="D383" s="9">
        <v>0</v>
      </c>
      <c r="E383" s="9">
        <v>1</v>
      </c>
      <c r="F383" s="9">
        <v>9</v>
      </c>
      <c r="G383" s="9" t="b">
        <v>1</v>
      </c>
      <c r="H383" s="9">
        <v>1</v>
      </c>
      <c r="I383" s="9">
        <v>2</v>
      </c>
      <c r="J383" s="9">
        <v>0.16</v>
      </c>
      <c r="K383" s="9">
        <v>0.1515</v>
      </c>
      <c r="L383" s="9">
        <v>0.47</v>
      </c>
      <c r="M383" s="9">
        <v>0.22389999999999999</v>
      </c>
      <c r="N383" s="9">
        <v>8</v>
      </c>
      <c r="O383" s="9">
        <v>39</v>
      </c>
      <c r="P383" s="10">
        <v>47</v>
      </c>
    </row>
    <row r="384" spans="1:16" x14ac:dyDescent="0.3">
      <c r="A384" s="5">
        <v>383</v>
      </c>
      <c r="B384" s="11">
        <v>40560</v>
      </c>
      <c r="C384" s="6">
        <v>1</v>
      </c>
      <c r="D384" s="6">
        <v>0</v>
      </c>
      <c r="E384" s="6">
        <v>1</v>
      </c>
      <c r="F384" s="6">
        <v>10</v>
      </c>
      <c r="G384" s="6" t="b">
        <v>1</v>
      </c>
      <c r="H384" s="6">
        <v>1</v>
      </c>
      <c r="I384" s="6">
        <v>2</v>
      </c>
      <c r="J384" s="6">
        <v>0.16</v>
      </c>
      <c r="K384" s="6">
        <v>0.1515</v>
      </c>
      <c r="L384" s="6">
        <v>0.5</v>
      </c>
      <c r="M384" s="6">
        <v>0.25369999999999998</v>
      </c>
      <c r="N384" s="6">
        <v>7</v>
      </c>
      <c r="O384" s="6">
        <v>50</v>
      </c>
      <c r="P384" s="7">
        <v>57</v>
      </c>
    </row>
    <row r="385" spans="1:16" x14ac:dyDescent="0.3">
      <c r="A385" s="8">
        <v>384</v>
      </c>
      <c r="B385" s="12">
        <v>40560</v>
      </c>
      <c r="C385" s="9">
        <v>1</v>
      </c>
      <c r="D385" s="9">
        <v>0</v>
      </c>
      <c r="E385" s="9">
        <v>1</v>
      </c>
      <c r="F385" s="9">
        <v>11</v>
      </c>
      <c r="G385" s="9" t="b">
        <v>1</v>
      </c>
      <c r="H385" s="9">
        <v>1</v>
      </c>
      <c r="I385" s="9">
        <v>2</v>
      </c>
      <c r="J385" s="9">
        <v>0.16</v>
      </c>
      <c r="K385" s="9">
        <v>0.1515</v>
      </c>
      <c r="L385" s="9">
        <v>0.55000000000000004</v>
      </c>
      <c r="M385" s="9">
        <v>0.19400000000000001</v>
      </c>
      <c r="N385" s="9">
        <v>9</v>
      </c>
      <c r="O385" s="9">
        <v>55</v>
      </c>
      <c r="P385" s="10">
        <v>64</v>
      </c>
    </row>
    <row r="386" spans="1:16" x14ac:dyDescent="0.3">
      <c r="A386" s="5">
        <v>385</v>
      </c>
      <c r="B386" s="11">
        <v>40560</v>
      </c>
      <c r="C386" s="6">
        <v>1</v>
      </c>
      <c r="D386" s="6">
        <v>0</v>
      </c>
      <c r="E386" s="6">
        <v>1</v>
      </c>
      <c r="F386" s="6">
        <v>12</v>
      </c>
      <c r="G386" s="6" t="b">
        <v>1</v>
      </c>
      <c r="H386" s="6">
        <v>1</v>
      </c>
      <c r="I386" s="6">
        <v>2</v>
      </c>
      <c r="J386" s="6">
        <v>0.18</v>
      </c>
      <c r="K386" s="6">
        <v>0.19700000000000001</v>
      </c>
      <c r="L386" s="6">
        <v>0.47</v>
      </c>
      <c r="M386" s="6">
        <v>0.1343</v>
      </c>
      <c r="N386" s="6">
        <v>10</v>
      </c>
      <c r="O386" s="6">
        <v>70</v>
      </c>
      <c r="P386" s="7">
        <v>80</v>
      </c>
    </row>
    <row r="387" spans="1:16" x14ac:dyDescent="0.3">
      <c r="A387" s="8">
        <v>386</v>
      </c>
      <c r="B387" s="12">
        <v>40560</v>
      </c>
      <c r="C387" s="9">
        <v>1</v>
      </c>
      <c r="D387" s="9">
        <v>0</v>
      </c>
      <c r="E387" s="9">
        <v>1</v>
      </c>
      <c r="F387" s="9">
        <v>13</v>
      </c>
      <c r="G387" s="9" t="b">
        <v>1</v>
      </c>
      <c r="H387" s="9">
        <v>1</v>
      </c>
      <c r="I387" s="9">
        <v>2</v>
      </c>
      <c r="J387" s="9">
        <v>0.18</v>
      </c>
      <c r="K387" s="9">
        <v>0.19700000000000001</v>
      </c>
      <c r="L387" s="9">
        <v>0.47</v>
      </c>
      <c r="M387" s="9">
        <v>0.1343</v>
      </c>
      <c r="N387" s="9">
        <v>13</v>
      </c>
      <c r="O387" s="9">
        <v>80</v>
      </c>
      <c r="P387" s="10">
        <v>93</v>
      </c>
    </row>
    <row r="388" spans="1:16" x14ac:dyDescent="0.3">
      <c r="A388" s="5">
        <v>387</v>
      </c>
      <c r="B388" s="11">
        <v>40560</v>
      </c>
      <c r="C388" s="6">
        <v>1</v>
      </c>
      <c r="D388" s="6">
        <v>0</v>
      </c>
      <c r="E388" s="6">
        <v>1</v>
      </c>
      <c r="F388" s="6">
        <v>14</v>
      </c>
      <c r="G388" s="6" t="b">
        <v>1</v>
      </c>
      <c r="H388" s="6">
        <v>1</v>
      </c>
      <c r="I388" s="6">
        <v>2</v>
      </c>
      <c r="J388" s="6">
        <v>0.18</v>
      </c>
      <c r="K388" s="6">
        <v>0.21210000000000001</v>
      </c>
      <c r="L388" s="6">
        <v>0.43</v>
      </c>
      <c r="M388" s="6">
        <v>0.1045</v>
      </c>
      <c r="N388" s="6">
        <v>12</v>
      </c>
      <c r="O388" s="6">
        <v>74</v>
      </c>
      <c r="P388" s="7">
        <v>86</v>
      </c>
    </row>
    <row r="389" spans="1:16" x14ac:dyDescent="0.3">
      <c r="A389" s="8">
        <v>388</v>
      </c>
      <c r="B389" s="12">
        <v>40560</v>
      </c>
      <c r="C389" s="9">
        <v>1</v>
      </c>
      <c r="D389" s="9">
        <v>0</v>
      </c>
      <c r="E389" s="9">
        <v>1</v>
      </c>
      <c r="F389" s="9">
        <v>15</v>
      </c>
      <c r="G389" s="9" t="b">
        <v>1</v>
      </c>
      <c r="H389" s="9">
        <v>1</v>
      </c>
      <c r="I389" s="9">
        <v>2</v>
      </c>
      <c r="J389" s="9">
        <v>0.2</v>
      </c>
      <c r="K389" s="9">
        <v>0.21210000000000001</v>
      </c>
      <c r="L389" s="9">
        <v>0.47</v>
      </c>
      <c r="M389" s="9">
        <v>0.16420000000000001</v>
      </c>
      <c r="N389" s="9">
        <v>21</v>
      </c>
      <c r="O389" s="9">
        <v>72</v>
      </c>
      <c r="P389" s="10">
        <v>93</v>
      </c>
    </row>
    <row r="390" spans="1:16" x14ac:dyDescent="0.3">
      <c r="A390" s="5">
        <v>389</v>
      </c>
      <c r="B390" s="11">
        <v>40560</v>
      </c>
      <c r="C390" s="6">
        <v>1</v>
      </c>
      <c r="D390" s="6">
        <v>0</v>
      </c>
      <c r="E390" s="6">
        <v>1</v>
      </c>
      <c r="F390" s="6">
        <v>16</v>
      </c>
      <c r="G390" s="6" t="b">
        <v>1</v>
      </c>
      <c r="H390" s="6">
        <v>1</v>
      </c>
      <c r="I390" s="6">
        <v>2</v>
      </c>
      <c r="J390" s="6">
        <v>0.2</v>
      </c>
      <c r="K390" s="6">
        <v>0.21210000000000001</v>
      </c>
      <c r="L390" s="6">
        <v>0.47</v>
      </c>
      <c r="M390" s="6">
        <v>0.16420000000000001</v>
      </c>
      <c r="N390" s="6">
        <v>6</v>
      </c>
      <c r="O390" s="6">
        <v>76</v>
      </c>
      <c r="P390" s="7">
        <v>82</v>
      </c>
    </row>
    <row r="391" spans="1:16" x14ac:dyDescent="0.3">
      <c r="A391" s="8">
        <v>390</v>
      </c>
      <c r="B391" s="12">
        <v>40560</v>
      </c>
      <c r="C391" s="9">
        <v>1</v>
      </c>
      <c r="D391" s="9">
        <v>0</v>
      </c>
      <c r="E391" s="9">
        <v>1</v>
      </c>
      <c r="F391" s="9">
        <v>17</v>
      </c>
      <c r="G391" s="9" t="b">
        <v>1</v>
      </c>
      <c r="H391" s="9">
        <v>1</v>
      </c>
      <c r="I391" s="9">
        <v>1</v>
      </c>
      <c r="J391" s="9">
        <v>0.2</v>
      </c>
      <c r="K391" s="9">
        <v>0.19700000000000001</v>
      </c>
      <c r="L391" s="9">
        <v>0.51</v>
      </c>
      <c r="M391" s="9">
        <v>0.19400000000000001</v>
      </c>
      <c r="N391" s="9">
        <v>4</v>
      </c>
      <c r="O391" s="9">
        <v>67</v>
      </c>
      <c r="P391" s="10">
        <v>71</v>
      </c>
    </row>
    <row r="392" spans="1:16" x14ac:dyDescent="0.3">
      <c r="A392" s="5">
        <v>391</v>
      </c>
      <c r="B392" s="11">
        <v>40560</v>
      </c>
      <c r="C392" s="6">
        <v>1</v>
      </c>
      <c r="D392" s="6">
        <v>0</v>
      </c>
      <c r="E392" s="6">
        <v>1</v>
      </c>
      <c r="F392" s="6">
        <v>18</v>
      </c>
      <c r="G392" s="6" t="b">
        <v>1</v>
      </c>
      <c r="H392" s="6">
        <v>1</v>
      </c>
      <c r="I392" s="6">
        <v>2</v>
      </c>
      <c r="J392" s="6">
        <v>0.18</v>
      </c>
      <c r="K392" s="6">
        <v>0.16669999999999999</v>
      </c>
      <c r="L392" s="6">
        <v>0.55000000000000004</v>
      </c>
      <c r="M392" s="6">
        <v>0.25369999999999998</v>
      </c>
      <c r="N392" s="6">
        <v>7</v>
      </c>
      <c r="O392" s="6">
        <v>85</v>
      </c>
      <c r="P392" s="7">
        <v>92</v>
      </c>
    </row>
    <row r="393" spans="1:16" x14ac:dyDescent="0.3">
      <c r="A393" s="8">
        <v>392</v>
      </c>
      <c r="B393" s="12">
        <v>40560</v>
      </c>
      <c r="C393" s="9">
        <v>1</v>
      </c>
      <c r="D393" s="9">
        <v>0</v>
      </c>
      <c r="E393" s="9">
        <v>1</v>
      </c>
      <c r="F393" s="9">
        <v>19</v>
      </c>
      <c r="G393" s="9" t="b">
        <v>1</v>
      </c>
      <c r="H393" s="9">
        <v>1</v>
      </c>
      <c r="I393" s="9">
        <v>3</v>
      </c>
      <c r="J393" s="9">
        <v>0.18</v>
      </c>
      <c r="K393" s="9">
        <v>0.18179999999999999</v>
      </c>
      <c r="L393" s="9">
        <v>0.59</v>
      </c>
      <c r="M393" s="9">
        <v>0.19400000000000001</v>
      </c>
      <c r="N393" s="9">
        <v>2</v>
      </c>
      <c r="O393" s="9">
        <v>58</v>
      </c>
      <c r="P393" s="10">
        <v>60</v>
      </c>
    </row>
    <row r="394" spans="1:16" x14ac:dyDescent="0.3">
      <c r="A394" s="5">
        <v>393</v>
      </c>
      <c r="B394" s="11">
        <v>40560</v>
      </c>
      <c r="C394" s="6">
        <v>1</v>
      </c>
      <c r="D394" s="6">
        <v>0</v>
      </c>
      <c r="E394" s="6">
        <v>1</v>
      </c>
      <c r="F394" s="6">
        <v>20</v>
      </c>
      <c r="G394" s="6" t="b">
        <v>1</v>
      </c>
      <c r="H394" s="6">
        <v>1</v>
      </c>
      <c r="I394" s="6">
        <v>3</v>
      </c>
      <c r="J394" s="6">
        <v>0.16</v>
      </c>
      <c r="K394" s="6">
        <v>0.1515</v>
      </c>
      <c r="L394" s="6">
        <v>0.8</v>
      </c>
      <c r="M394" s="6">
        <v>0.19400000000000001</v>
      </c>
      <c r="N394" s="6">
        <v>4</v>
      </c>
      <c r="O394" s="6">
        <v>29</v>
      </c>
      <c r="P394" s="7">
        <v>33</v>
      </c>
    </row>
    <row r="395" spans="1:16" x14ac:dyDescent="0.3">
      <c r="A395" s="8">
        <v>394</v>
      </c>
      <c r="B395" s="12">
        <v>40560</v>
      </c>
      <c r="C395" s="9">
        <v>1</v>
      </c>
      <c r="D395" s="9">
        <v>0</v>
      </c>
      <c r="E395" s="9">
        <v>1</v>
      </c>
      <c r="F395" s="9">
        <v>21</v>
      </c>
      <c r="G395" s="9" t="b">
        <v>1</v>
      </c>
      <c r="H395" s="9">
        <v>1</v>
      </c>
      <c r="I395" s="9">
        <v>3</v>
      </c>
      <c r="J395" s="9">
        <v>0.16</v>
      </c>
      <c r="K395" s="9">
        <v>0.1515</v>
      </c>
      <c r="L395" s="9">
        <v>0.8</v>
      </c>
      <c r="M395" s="9">
        <v>0.19400000000000001</v>
      </c>
      <c r="N395" s="9">
        <v>3</v>
      </c>
      <c r="O395" s="9">
        <v>24</v>
      </c>
      <c r="P395" s="10">
        <v>27</v>
      </c>
    </row>
    <row r="396" spans="1:16" x14ac:dyDescent="0.3">
      <c r="A396" s="5">
        <v>395</v>
      </c>
      <c r="B396" s="11">
        <v>40560</v>
      </c>
      <c r="C396" s="6">
        <v>1</v>
      </c>
      <c r="D396" s="6">
        <v>0</v>
      </c>
      <c r="E396" s="6">
        <v>1</v>
      </c>
      <c r="F396" s="6">
        <v>22</v>
      </c>
      <c r="G396" s="6" t="b">
        <v>1</v>
      </c>
      <c r="H396" s="6">
        <v>1</v>
      </c>
      <c r="I396" s="6">
        <v>3</v>
      </c>
      <c r="J396" s="6">
        <v>0.14000000000000001</v>
      </c>
      <c r="K396" s="6">
        <v>0.1212</v>
      </c>
      <c r="L396" s="6">
        <v>0.93</v>
      </c>
      <c r="M396" s="6">
        <v>0.25369999999999998</v>
      </c>
      <c r="N396" s="6">
        <v>0</v>
      </c>
      <c r="O396" s="6">
        <v>13</v>
      </c>
      <c r="P396" s="7">
        <v>13</v>
      </c>
    </row>
    <row r="397" spans="1:16" x14ac:dyDescent="0.3">
      <c r="A397" s="8">
        <v>396</v>
      </c>
      <c r="B397" s="12">
        <v>40560</v>
      </c>
      <c r="C397" s="9">
        <v>1</v>
      </c>
      <c r="D397" s="9">
        <v>0</v>
      </c>
      <c r="E397" s="9">
        <v>1</v>
      </c>
      <c r="F397" s="9">
        <v>23</v>
      </c>
      <c r="G397" s="9" t="b">
        <v>1</v>
      </c>
      <c r="H397" s="9">
        <v>1</v>
      </c>
      <c r="I397" s="9">
        <v>3</v>
      </c>
      <c r="J397" s="9">
        <v>0.16</v>
      </c>
      <c r="K397" s="9">
        <v>0.13639999999999999</v>
      </c>
      <c r="L397" s="9">
        <v>0.86</v>
      </c>
      <c r="M397" s="9">
        <v>0.28360000000000002</v>
      </c>
      <c r="N397" s="9">
        <v>1</v>
      </c>
      <c r="O397" s="9">
        <v>3</v>
      </c>
      <c r="P397" s="10">
        <v>4</v>
      </c>
    </row>
    <row r="398" spans="1:16" x14ac:dyDescent="0.3">
      <c r="A398" s="5">
        <v>397</v>
      </c>
      <c r="B398" s="11">
        <v>40561</v>
      </c>
      <c r="C398" s="6">
        <v>1</v>
      </c>
      <c r="D398" s="6">
        <v>0</v>
      </c>
      <c r="E398" s="6">
        <v>1</v>
      </c>
      <c r="F398" s="6">
        <v>12</v>
      </c>
      <c r="G398" s="6" t="b">
        <v>0</v>
      </c>
      <c r="H398" s="6">
        <v>2</v>
      </c>
      <c r="I398" s="6">
        <v>2</v>
      </c>
      <c r="J398" s="6">
        <v>0.2</v>
      </c>
      <c r="K398" s="6">
        <v>0.18179999999999999</v>
      </c>
      <c r="L398" s="6">
        <v>0.86</v>
      </c>
      <c r="M398" s="6">
        <v>0.32840000000000003</v>
      </c>
      <c r="N398" s="6">
        <v>0</v>
      </c>
      <c r="O398" s="6">
        <v>3</v>
      </c>
      <c r="P398" s="7">
        <v>3</v>
      </c>
    </row>
    <row r="399" spans="1:16" x14ac:dyDescent="0.3">
      <c r="A399" s="8">
        <v>398</v>
      </c>
      <c r="B399" s="12">
        <v>40561</v>
      </c>
      <c r="C399" s="9">
        <v>1</v>
      </c>
      <c r="D399" s="9">
        <v>0</v>
      </c>
      <c r="E399" s="9">
        <v>1</v>
      </c>
      <c r="F399" s="9">
        <v>13</v>
      </c>
      <c r="G399" s="9" t="b">
        <v>0</v>
      </c>
      <c r="H399" s="9">
        <v>2</v>
      </c>
      <c r="I399" s="9">
        <v>2</v>
      </c>
      <c r="J399" s="9">
        <v>0.2</v>
      </c>
      <c r="K399" s="9">
        <v>0.19700000000000001</v>
      </c>
      <c r="L399" s="9">
        <v>0.86</v>
      </c>
      <c r="M399" s="9">
        <v>0.22389999999999999</v>
      </c>
      <c r="N399" s="9">
        <v>0</v>
      </c>
      <c r="O399" s="9">
        <v>22</v>
      </c>
      <c r="P399" s="10">
        <v>22</v>
      </c>
    </row>
    <row r="400" spans="1:16" x14ac:dyDescent="0.3">
      <c r="A400" s="5">
        <v>399</v>
      </c>
      <c r="B400" s="11">
        <v>40561</v>
      </c>
      <c r="C400" s="6">
        <v>1</v>
      </c>
      <c r="D400" s="6">
        <v>0</v>
      </c>
      <c r="E400" s="6">
        <v>1</v>
      </c>
      <c r="F400" s="6">
        <v>14</v>
      </c>
      <c r="G400" s="6" t="b">
        <v>0</v>
      </c>
      <c r="H400" s="6">
        <v>2</v>
      </c>
      <c r="I400" s="6">
        <v>2</v>
      </c>
      <c r="J400" s="6">
        <v>0.22</v>
      </c>
      <c r="K400" s="6">
        <v>0.2273</v>
      </c>
      <c r="L400" s="6">
        <v>0.8</v>
      </c>
      <c r="M400" s="6">
        <v>0.16420000000000001</v>
      </c>
      <c r="N400" s="6">
        <v>2</v>
      </c>
      <c r="O400" s="6">
        <v>26</v>
      </c>
      <c r="P400" s="7">
        <v>28</v>
      </c>
    </row>
    <row r="401" spans="1:16" x14ac:dyDescent="0.3">
      <c r="A401" s="8">
        <v>400</v>
      </c>
      <c r="B401" s="12">
        <v>40561</v>
      </c>
      <c r="C401" s="9">
        <v>1</v>
      </c>
      <c r="D401" s="9">
        <v>0</v>
      </c>
      <c r="E401" s="9">
        <v>1</v>
      </c>
      <c r="F401" s="9">
        <v>15</v>
      </c>
      <c r="G401" s="9" t="b">
        <v>0</v>
      </c>
      <c r="H401" s="9">
        <v>2</v>
      </c>
      <c r="I401" s="9">
        <v>2</v>
      </c>
      <c r="J401" s="9">
        <v>0.22</v>
      </c>
      <c r="K401" s="9">
        <v>0.2273</v>
      </c>
      <c r="L401" s="9">
        <v>0.87</v>
      </c>
      <c r="M401" s="9">
        <v>0.16420000000000001</v>
      </c>
      <c r="N401" s="9">
        <v>3</v>
      </c>
      <c r="O401" s="9">
        <v>32</v>
      </c>
      <c r="P401" s="10">
        <v>35</v>
      </c>
    </row>
    <row r="402" spans="1:16" x14ac:dyDescent="0.3">
      <c r="A402" s="5">
        <v>401</v>
      </c>
      <c r="B402" s="11">
        <v>40561</v>
      </c>
      <c r="C402" s="6">
        <v>1</v>
      </c>
      <c r="D402" s="6">
        <v>0</v>
      </c>
      <c r="E402" s="6">
        <v>1</v>
      </c>
      <c r="F402" s="6">
        <v>16</v>
      </c>
      <c r="G402" s="6" t="b">
        <v>0</v>
      </c>
      <c r="H402" s="6">
        <v>2</v>
      </c>
      <c r="I402" s="6">
        <v>2</v>
      </c>
      <c r="J402" s="6">
        <v>0.22</v>
      </c>
      <c r="K402" s="6">
        <v>0.2273</v>
      </c>
      <c r="L402" s="6">
        <v>0.87</v>
      </c>
      <c r="M402" s="6">
        <v>0.19400000000000001</v>
      </c>
      <c r="N402" s="6">
        <v>0</v>
      </c>
      <c r="O402" s="6">
        <v>61</v>
      </c>
      <c r="P402" s="7">
        <v>61</v>
      </c>
    </row>
    <row r="403" spans="1:16" x14ac:dyDescent="0.3">
      <c r="A403" s="8">
        <v>402</v>
      </c>
      <c r="B403" s="12">
        <v>40561</v>
      </c>
      <c r="C403" s="9">
        <v>1</v>
      </c>
      <c r="D403" s="9">
        <v>0</v>
      </c>
      <c r="E403" s="9">
        <v>1</v>
      </c>
      <c r="F403" s="9">
        <v>17</v>
      </c>
      <c r="G403" s="9" t="b">
        <v>0</v>
      </c>
      <c r="H403" s="9">
        <v>2</v>
      </c>
      <c r="I403" s="9">
        <v>2</v>
      </c>
      <c r="J403" s="9">
        <v>0.22</v>
      </c>
      <c r="K403" s="9">
        <v>0.2273</v>
      </c>
      <c r="L403" s="9">
        <v>0.82</v>
      </c>
      <c r="M403" s="9">
        <v>0.19400000000000001</v>
      </c>
      <c r="N403" s="9">
        <v>1</v>
      </c>
      <c r="O403" s="9">
        <v>124</v>
      </c>
      <c r="P403" s="10">
        <v>125</v>
      </c>
    </row>
    <row r="404" spans="1:16" x14ac:dyDescent="0.3">
      <c r="A404" s="5">
        <v>403</v>
      </c>
      <c r="B404" s="11">
        <v>40561</v>
      </c>
      <c r="C404" s="6">
        <v>1</v>
      </c>
      <c r="D404" s="6">
        <v>0</v>
      </c>
      <c r="E404" s="6">
        <v>1</v>
      </c>
      <c r="F404" s="6">
        <v>18</v>
      </c>
      <c r="G404" s="6" t="b">
        <v>0</v>
      </c>
      <c r="H404" s="6">
        <v>2</v>
      </c>
      <c r="I404" s="6">
        <v>2</v>
      </c>
      <c r="J404" s="6">
        <v>0.22</v>
      </c>
      <c r="K404" s="6">
        <v>0.2273</v>
      </c>
      <c r="L404" s="6">
        <v>0.8</v>
      </c>
      <c r="M404" s="6">
        <v>0.16420000000000001</v>
      </c>
      <c r="N404" s="6">
        <v>1</v>
      </c>
      <c r="O404" s="6">
        <v>132</v>
      </c>
      <c r="P404" s="7">
        <v>133</v>
      </c>
    </row>
    <row r="405" spans="1:16" x14ac:dyDescent="0.3">
      <c r="A405" s="8">
        <v>404</v>
      </c>
      <c r="B405" s="12">
        <v>40561</v>
      </c>
      <c r="C405" s="9">
        <v>1</v>
      </c>
      <c r="D405" s="9">
        <v>0</v>
      </c>
      <c r="E405" s="9">
        <v>1</v>
      </c>
      <c r="F405" s="9">
        <v>19</v>
      </c>
      <c r="G405" s="9" t="b">
        <v>0</v>
      </c>
      <c r="H405" s="9">
        <v>2</v>
      </c>
      <c r="I405" s="9">
        <v>2</v>
      </c>
      <c r="J405" s="9">
        <v>0.22</v>
      </c>
      <c r="K405" s="9">
        <v>0.2273</v>
      </c>
      <c r="L405" s="9">
        <v>0.8</v>
      </c>
      <c r="M405" s="9">
        <v>0.1343</v>
      </c>
      <c r="N405" s="9">
        <v>1</v>
      </c>
      <c r="O405" s="9">
        <v>98</v>
      </c>
      <c r="P405" s="10">
        <v>99</v>
      </c>
    </row>
    <row r="406" spans="1:16" x14ac:dyDescent="0.3">
      <c r="A406" s="5">
        <v>405</v>
      </c>
      <c r="B406" s="11">
        <v>40561</v>
      </c>
      <c r="C406" s="6">
        <v>1</v>
      </c>
      <c r="D406" s="6">
        <v>0</v>
      </c>
      <c r="E406" s="6">
        <v>1</v>
      </c>
      <c r="F406" s="6">
        <v>20</v>
      </c>
      <c r="G406" s="6" t="b">
        <v>0</v>
      </c>
      <c r="H406" s="6">
        <v>2</v>
      </c>
      <c r="I406" s="6">
        <v>2</v>
      </c>
      <c r="J406" s="6">
        <v>0.22</v>
      </c>
      <c r="K406" s="6">
        <v>0.2727</v>
      </c>
      <c r="L406" s="6">
        <v>0.87</v>
      </c>
      <c r="M406" s="6">
        <v>0</v>
      </c>
      <c r="N406" s="6">
        <v>0</v>
      </c>
      <c r="O406" s="6">
        <v>83</v>
      </c>
      <c r="P406" s="7">
        <v>83</v>
      </c>
    </row>
    <row r="407" spans="1:16" x14ac:dyDescent="0.3">
      <c r="A407" s="8">
        <v>406</v>
      </c>
      <c r="B407" s="12">
        <v>40561</v>
      </c>
      <c r="C407" s="9">
        <v>1</v>
      </c>
      <c r="D407" s="9">
        <v>0</v>
      </c>
      <c r="E407" s="9">
        <v>1</v>
      </c>
      <c r="F407" s="9">
        <v>21</v>
      </c>
      <c r="G407" s="9" t="b">
        <v>0</v>
      </c>
      <c r="H407" s="9">
        <v>2</v>
      </c>
      <c r="I407" s="9">
        <v>2</v>
      </c>
      <c r="J407" s="9">
        <v>0.22</v>
      </c>
      <c r="K407" s="9">
        <v>0.2424</v>
      </c>
      <c r="L407" s="9">
        <v>0.93</v>
      </c>
      <c r="M407" s="9">
        <v>0.1045</v>
      </c>
      <c r="N407" s="9">
        <v>0</v>
      </c>
      <c r="O407" s="9">
        <v>41</v>
      </c>
      <c r="P407" s="10">
        <v>41</v>
      </c>
    </row>
    <row r="408" spans="1:16" x14ac:dyDescent="0.3">
      <c r="A408" s="5">
        <v>407</v>
      </c>
      <c r="B408" s="11">
        <v>40561</v>
      </c>
      <c r="C408" s="6">
        <v>1</v>
      </c>
      <c r="D408" s="6">
        <v>0</v>
      </c>
      <c r="E408" s="6">
        <v>1</v>
      </c>
      <c r="F408" s="6">
        <v>22</v>
      </c>
      <c r="G408" s="6" t="b">
        <v>0</v>
      </c>
      <c r="H408" s="6">
        <v>2</v>
      </c>
      <c r="I408" s="6">
        <v>2</v>
      </c>
      <c r="J408" s="6">
        <v>0.22</v>
      </c>
      <c r="K408" s="6">
        <v>0.2576</v>
      </c>
      <c r="L408" s="6">
        <v>0.93</v>
      </c>
      <c r="M408" s="6">
        <v>8.9599999999999999E-2</v>
      </c>
      <c r="N408" s="6">
        <v>0</v>
      </c>
      <c r="O408" s="6">
        <v>33</v>
      </c>
      <c r="P408" s="7">
        <v>33</v>
      </c>
    </row>
    <row r="409" spans="1:16" x14ac:dyDescent="0.3">
      <c r="A409" s="8">
        <v>408</v>
      </c>
      <c r="B409" s="12">
        <v>40561</v>
      </c>
      <c r="C409" s="9">
        <v>1</v>
      </c>
      <c r="D409" s="9">
        <v>0</v>
      </c>
      <c r="E409" s="9">
        <v>1</v>
      </c>
      <c r="F409" s="9">
        <v>23</v>
      </c>
      <c r="G409" s="9" t="b">
        <v>0</v>
      </c>
      <c r="H409" s="9">
        <v>2</v>
      </c>
      <c r="I409" s="9">
        <v>2</v>
      </c>
      <c r="J409" s="9">
        <v>0.22</v>
      </c>
      <c r="K409" s="9">
        <v>0.2727</v>
      </c>
      <c r="L409" s="9">
        <v>0.93</v>
      </c>
      <c r="M409" s="9">
        <v>0</v>
      </c>
      <c r="N409" s="9">
        <v>1</v>
      </c>
      <c r="O409" s="9">
        <v>19</v>
      </c>
      <c r="P409" s="10">
        <v>20</v>
      </c>
    </row>
    <row r="410" spans="1:16" x14ac:dyDescent="0.3">
      <c r="A410" s="5">
        <v>409</v>
      </c>
      <c r="B410" s="11">
        <v>40562</v>
      </c>
      <c r="C410" s="6">
        <v>1</v>
      </c>
      <c r="D410" s="6">
        <v>0</v>
      </c>
      <c r="E410" s="6">
        <v>1</v>
      </c>
      <c r="F410" s="6">
        <v>0</v>
      </c>
      <c r="G410" s="6" t="b">
        <v>0</v>
      </c>
      <c r="H410" s="6">
        <v>3</v>
      </c>
      <c r="I410" s="6">
        <v>2</v>
      </c>
      <c r="J410" s="6">
        <v>0.22</v>
      </c>
      <c r="K410" s="6">
        <v>0.2727</v>
      </c>
      <c r="L410" s="6">
        <v>0.93</v>
      </c>
      <c r="M410" s="6">
        <v>0</v>
      </c>
      <c r="N410" s="6">
        <v>0</v>
      </c>
      <c r="O410" s="6">
        <v>3</v>
      </c>
      <c r="P410" s="7">
        <v>3</v>
      </c>
    </row>
    <row r="411" spans="1:16" x14ac:dyDescent="0.3">
      <c r="A411" s="8">
        <v>410</v>
      </c>
      <c r="B411" s="12">
        <v>40562</v>
      </c>
      <c r="C411" s="9">
        <v>1</v>
      </c>
      <c r="D411" s="9">
        <v>0</v>
      </c>
      <c r="E411" s="9">
        <v>1</v>
      </c>
      <c r="F411" s="9">
        <v>1</v>
      </c>
      <c r="G411" s="9" t="b">
        <v>0</v>
      </c>
      <c r="H411" s="9">
        <v>3</v>
      </c>
      <c r="I411" s="9">
        <v>3</v>
      </c>
      <c r="J411" s="9">
        <v>0.22</v>
      </c>
      <c r="K411" s="9">
        <v>0.2273</v>
      </c>
      <c r="L411" s="9">
        <v>0.93</v>
      </c>
      <c r="M411" s="9">
        <v>0.1343</v>
      </c>
      <c r="N411" s="9">
        <v>1</v>
      </c>
      <c r="O411" s="9">
        <v>6</v>
      </c>
      <c r="P411" s="10">
        <v>7</v>
      </c>
    </row>
    <row r="412" spans="1:16" x14ac:dyDescent="0.3">
      <c r="A412" s="5">
        <v>411</v>
      </c>
      <c r="B412" s="11">
        <v>40562</v>
      </c>
      <c r="C412" s="6">
        <v>1</v>
      </c>
      <c r="D412" s="6">
        <v>0</v>
      </c>
      <c r="E412" s="6">
        <v>1</v>
      </c>
      <c r="F412" s="6">
        <v>2</v>
      </c>
      <c r="G412" s="6" t="b">
        <v>0</v>
      </c>
      <c r="H412" s="6">
        <v>3</v>
      </c>
      <c r="I412" s="6">
        <v>3</v>
      </c>
      <c r="J412" s="6">
        <v>0.22</v>
      </c>
      <c r="K412" s="6">
        <v>0.2273</v>
      </c>
      <c r="L412" s="6">
        <v>0.93</v>
      </c>
      <c r="M412" s="6">
        <v>0.1343</v>
      </c>
      <c r="N412" s="6">
        <v>0</v>
      </c>
      <c r="O412" s="6">
        <v>3</v>
      </c>
      <c r="P412" s="7">
        <v>3</v>
      </c>
    </row>
    <row r="413" spans="1:16" x14ac:dyDescent="0.3">
      <c r="A413" s="8">
        <v>412</v>
      </c>
      <c r="B413" s="12">
        <v>40562</v>
      </c>
      <c r="C413" s="9">
        <v>1</v>
      </c>
      <c r="D413" s="9">
        <v>0</v>
      </c>
      <c r="E413" s="9">
        <v>1</v>
      </c>
      <c r="F413" s="9">
        <v>4</v>
      </c>
      <c r="G413" s="9" t="b">
        <v>0</v>
      </c>
      <c r="H413" s="9">
        <v>3</v>
      </c>
      <c r="I413" s="9">
        <v>3</v>
      </c>
      <c r="J413" s="9">
        <v>0.22</v>
      </c>
      <c r="K413" s="9">
        <v>0.2273</v>
      </c>
      <c r="L413" s="9">
        <v>0.93</v>
      </c>
      <c r="M413" s="9">
        <v>0.1343</v>
      </c>
      <c r="N413" s="9">
        <v>1</v>
      </c>
      <c r="O413" s="9">
        <v>1</v>
      </c>
      <c r="P413" s="10">
        <v>2</v>
      </c>
    </row>
    <row r="414" spans="1:16" x14ac:dyDescent="0.3">
      <c r="A414" s="5">
        <v>413</v>
      </c>
      <c r="B414" s="11">
        <v>40562</v>
      </c>
      <c r="C414" s="6">
        <v>1</v>
      </c>
      <c r="D414" s="6">
        <v>0</v>
      </c>
      <c r="E414" s="6">
        <v>1</v>
      </c>
      <c r="F414" s="6">
        <v>5</v>
      </c>
      <c r="G414" s="6" t="b">
        <v>0</v>
      </c>
      <c r="H414" s="6">
        <v>3</v>
      </c>
      <c r="I414" s="6">
        <v>2</v>
      </c>
      <c r="J414" s="6">
        <v>0.22</v>
      </c>
      <c r="K414" s="6">
        <v>0.2576</v>
      </c>
      <c r="L414" s="6">
        <v>0.93</v>
      </c>
      <c r="M414" s="6">
        <v>8.9599999999999999E-2</v>
      </c>
      <c r="N414" s="6">
        <v>0</v>
      </c>
      <c r="O414" s="6">
        <v>7</v>
      </c>
      <c r="P414" s="7">
        <v>7</v>
      </c>
    </row>
    <row r="415" spans="1:16" x14ac:dyDescent="0.3">
      <c r="A415" s="8">
        <v>414</v>
      </c>
      <c r="B415" s="12">
        <v>40562</v>
      </c>
      <c r="C415" s="9">
        <v>1</v>
      </c>
      <c r="D415" s="9">
        <v>0</v>
      </c>
      <c r="E415" s="9">
        <v>1</v>
      </c>
      <c r="F415" s="9">
        <v>6</v>
      </c>
      <c r="G415" s="9" t="b">
        <v>0</v>
      </c>
      <c r="H415" s="9">
        <v>3</v>
      </c>
      <c r="I415" s="9">
        <v>2</v>
      </c>
      <c r="J415" s="9">
        <v>0.22</v>
      </c>
      <c r="K415" s="9">
        <v>0.2576</v>
      </c>
      <c r="L415" s="9">
        <v>0.93</v>
      </c>
      <c r="M415" s="9">
        <v>8.9599999999999999E-2</v>
      </c>
      <c r="N415" s="9">
        <v>0</v>
      </c>
      <c r="O415" s="9">
        <v>32</v>
      </c>
      <c r="P415" s="10">
        <v>32</v>
      </c>
    </row>
    <row r="416" spans="1:16" x14ac:dyDescent="0.3">
      <c r="A416" s="5">
        <v>415</v>
      </c>
      <c r="B416" s="11">
        <v>40562</v>
      </c>
      <c r="C416" s="6">
        <v>1</v>
      </c>
      <c r="D416" s="6">
        <v>0</v>
      </c>
      <c r="E416" s="6">
        <v>1</v>
      </c>
      <c r="F416" s="6">
        <v>7</v>
      </c>
      <c r="G416" s="6" t="b">
        <v>0</v>
      </c>
      <c r="H416" s="6">
        <v>3</v>
      </c>
      <c r="I416" s="6">
        <v>2</v>
      </c>
      <c r="J416" s="6">
        <v>0.24</v>
      </c>
      <c r="K416" s="6">
        <v>0.2576</v>
      </c>
      <c r="L416" s="6">
        <v>0.92</v>
      </c>
      <c r="M416" s="6">
        <v>0.1045</v>
      </c>
      <c r="N416" s="6">
        <v>1</v>
      </c>
      <c r="O416" s="6">
        <v>89</v>
      </c>
      <c r="P416" s="7">
        <v>90</v>
      </c>
    </row>
    <row r="417" spans="1:16" x14ac:dyDescent="0.3">
      <c r="A417" s="8">
        <v>416</v>
      </c>
      <c r="B417" s="12">
        <v>40562</v>
      </c>
      <c r="C417" s="9">
        <v>1</v>
      </c>
      <c r="D417" s="9">
        <v>0</v>
      </c>
      <c r="E417" s="9">
        <v>1</v>
      </c>
      <c r="F417" s="9">
        <v>8</v>
      </c>
      <c r="G417" s="9" t="b">
        <v>0</v>
      </c>
      <c r="H417" s="9">
        <v>3</v>
      </c>
      <c r="I417" s="9">
        <v>2</v>
      </c>
      <c r="J417" s="9">
        <v>0.24</v>
      </c>
      <c r="K417" s="9">
        <v>0.2576</v>
      </c>
      <c r="L417" s="9">
        <v>0.93</v>
      </c>
      <c r="M417" s="9">
        <v>0.1045</v>
      </c>
      <c r="N417" s="9">
        <v>1</v>
      </c>
      <c r="O417" s="9">
        <v>196</v>
      </c>
      <c r="P417" s="10">
        <v>197</v>
      </c>
    </row>
    <row r="418" spans="1:16" x14ac:dyDescent="0.3">
      <c r="A418" s="5">
        <v>417</v>
      </c>
      <c r="B418" s="11">
        <v>40562</v>
      </c>
      <c r="C418" s="6">
        <v>1</v>
      </c>
      <c r="D418" s="6">
        <v>0</v>
      </c>
      <c r="E418" s="6">
        <v>1</v>
      </c>
      <c r="F418" s="6">
        <v>9</v>
      </c>
      <c r="G418" s="6" t="b">
        <v>0</v>
      </c>
      <c r="H418" s="6">
        <v>3</v>
      </c>
      <c r="I418" s="6">
        <v>2</v>
      </c>
      <c r="J418" s="6">
        <v>0.24</v>
      </c>
      <c r="K418" s="6">
        <v>0.2576</v>
      </c>
      <c r="L418" s="6">
        <v>0.93</v>
      </c>
      <c r="M418" s="6">
        <v>0.1045</v>
      </c>
      <c r="N418" s="6">
        <v>2</v>
      </c>
      <c r="O418" s="6">
        <v>107</v>
      </c>
      <c r="P418" s="7">
        <v>109</v>
      </c>
    </row>
    <row r="419" spans="1:16" x14ac:dyDescent="0.3">
      <c r="A419" s="8">
        <v>418</v>
      </c>
      <c r="B419" s="12">
        <v>40562</v>
      </c>
      <c r="C419" s="9">
        <v>1</v>
      </c>
      <c r="D419" s="9">
        <v>0</v>
      </c>
      <c r="E419" s="9">
        <v>1</v>
      </c>
      <c r="F419" s="9">
        <v>10</v>
      </c>
      <c r="G419" s="9" t="b">
        <v>0</v>
      </c>
      <c r="H419" s="9">
        <v>3</v>
      </c>
      <c r="I419" s="9">
        <v>2</v>
      </c>
      <c r="J419" s="9">
        <v>0.26</v>
      </c>
      <c r="K419" s="9">
        <v>0.2727</v>
      </c>
      <c r="L419" s="9">
        <v>0.93</v>
      </c>
      <c r="M419" s="9">
        <v>0.1343</v>
      </c>
      <c r="N419" s="9">
        <v>1</v>
      </c>
      <c r="O419" s="9">
        <v>46</v>
      </c>
      <c r="P419" s="10">
        <v>47</v>
      </c>
    </row>
    <row r="420" spans="1:16" x14ac:dyDescent="0.3">
      <c r="A420" s="5">
        <v>419</v>
      </c>
      <c r="B420" s="11">
        <v>40562</v>
      </c>
      <c r="C420" s="6">
        <v>1</v>
      </c>
      <c r="D420" s="6">
        <v>0</v>
      </c>
      <c r="E420" s="6">
        <v>1</v>
      </c>
      <c r="F420" s="6">
        <v>11</v>
      </c>
      <c r="G420" s="6" t="b">
        <v>0</v>
      </c>
      <c r="H420" s="6">
        <v>3</v>
      </c>
      <c r="I420" s="6">
        <v>2</v>
      </c>
      <c r="J420" s="6">
        <v>0.28000000000000003</v>
      </c>
      <c r="K420" s="6">
        <v>0.30299999999999999</v>
      </c>
      <c r="L420" s="6">
        <v>0.87</v>
      </c>
      <c r="M420" s="6">
        <v>8.9599999999999999E-2</v>
      </c>
      <c r="N420" s="6">
        <v>5</v>
      </c>
      <c r="O420" s="6">
        <v>47</v>
      </c>
      <c r="P420" s="7">
        <v>52</v>
      </c>
    </row>
    <row r="421" spans="1:16" x14ac:dyDescent="0.3">
      <c r="A421" s="8">
        <v>420</v>
      </c>
      <c r="B421" s="12">
        <v>40562</v>
      </c>
      <c r="C421" s="9">
        <v>1</v>
      </c>
      <c r="D421" s="9">
        <v>0</v>
      </c>
      <c r="E421" s="9">
        <v>1</v>
      </c>
      <c r="F421" s="9">
        <v>12</v>
      </c>
      <c r="G421" s="9" t="b">
        <v>0</v>
      </c>
      <c r="H421" s="9">
        <v>3</v>
      </c>
      <c r="I421" s="9">
        <v>2</v>
      </c>
      <c r="J421" s="9">
        <v>0.3</v>
      </c>
      <c r="K421" s="9">
        <v>0.31819999999999998</v>
      </c>
      <c r="L421" s="9">
        <v>0.81</v>
      </c>
      <c r="M421" s="9">
        <v>8.9599999999999999E-2</v>
      </c>
      <c r="N421" s="9">
        <v>5</v>
      </c>
      <c r="O421" s="9">
        <v>65</v>
      </c>
      <c r="P421" s="10">
        <v>70</v>
      </c>
    </row>
    <row r="422" spans="1:16" x14ac:dyDescent="0.3">
      <c r="A422" s="5">
        <v>421</v>
      </c>
      <c r="B422" s="11">
        <v>40562</v>
      </c>
      <c r="C422" s="6">
        <v>1</v>
      </c>
      <c r="D422" s="6">
        <v>0</v>
      </c>
      <c r="E422" s="6">
        <v>1</v>
      </c>
      <c r="F422" s="6">
        <v>13</v>
      </c>
      <c r="G422" s="6" t="b">
        <v>0</v>
      </c>
      <c r="H422" s="6">
        <v>3</v>
      </c>
      <c r="I422" s="6">
        <v>1</v>
      </c>
      <c r="J422" s="6">
        <v>0.4</v>
      </c>
      <c r="K422" s="6">
        <v>0.40910000000000002</v>
      </c>
      <c r="L422" s="6">
        <v>0.62</v>
      </c>
      <c r="M422" s="6">
        <v>0.28360000000000002</v>
      </c>
      <c r="N422" s="6">
        <v>11</v>
      </c>
      <c r="O422" s="6">
        <v>67</v>
      </c>
      <c r="P422" s="7">
        <v>78</v>
      </c>
    </row>
    <row r="423" spans="1:16" x14ac:dyDescent="0.3">
      <c r="A423" s="8">
        <v>422</v>
      </c>
      <c r="B423" s="12">
        <v>40562</v>
      </c>
      <c r="C423" s="9">
        <v>1</v>
      </c>
      <c r="D423" s="9">
        <v>0</v>
      </c>
      <c r="E423" s="9">
        <v>1</v>
      </c>
      <c r="F423" s="9">
        <v>14</v>
      </c>
      <c r="G423" s="9" t="b">
        <v>0</v>
      </c>
      <c r="H423" s="9">
        <v>3</v>
      </c>
      <c r="I423" s="9">
        <v>1</v>
      </c>
      <c r="J423" s="9">
        <v>0.4</v>
      </c>
      <c r="K423" s="9">
        <v>0.40910000000000002</v>
      </c>
      <c r="L423" s="9">
        <v>0.57999999999999996</v>
      </c>
      <c r="M423" s="9">
        <v>0.25369999999999998</v>
      </c>
      <c r="N423" s="9">
        <v>7</v>
      </c>
      <c r="O423" s="9">
        <v>68</v>
      </c>
      <c r="P423" s="10">
        <v>75</v>
      </c>
    </row>
    <row r="424" spans="1:16" x14ac:dyDescent="0.3">
      <c r="A424" s="5">
        <v>423</v>
      </c>
      <c r="B424" s="11">
        <v>40562</v>
      </c>
      <c r="C424" s="6">
        <v>1</v>
      </c>
      <c r="D424" s="6">
        <v>0</v>
      </c>
      <c r="E424" s="6">
        <v>1</v>
      </c>
      <c r="F424" s="6">
        <v>15</v>
      </c>
      <c r="G424" s="6" t="b">
        <v>0</v>
      </c>
      <c r="H424" s="6">
        <v>3</v>
      </c>
      <c r="I424" s="6">
        <v>1</v>
      </c>
      <c r="J424" s="6">
        <v>0.4</v>
      </c>
      <c r="K424" s="6">
        <v>0.40910000000000002</v>
      </c>
      <c r="L424" s="6">
        <v>0.54</v>
      </c>
      <c r="M424" s="6">
        <v>0.28360000000000002</v>
      </c>
      <c r="N424" s="6">
        <v>4</v>
      </c>
      <c r="O424" s="6">
        <v>78</v>
      </c>
      <c r="P424" s="7">
        <v>82</v>
      </c>
    </row>
    <row r="425" spans="1:16" x14ac:dyDescent="0.3">
      <c r="A425" s="8">
        <v>424</v>
      </c>
      <c r="B425" s="12">
        <v>40562</v>
      </c>
      <c r="C425" s="9">
        <v>1</v>
      </c>
      <c r="D425" s="9">
        <v>0</v>
      </c>
      <c r="E425" s="9">
        <v>1</v>
      </c>
      <c r="F425" s="9">
        <v>16</v>
      </c>
      <c r="G425" s="9" t="b">
        <v>0</v>
      </c>
      <c r="H425" s="9">
        <v>3</v>
      </c>
      <c r="I425" s="9">
        <v>1</v>
      </c>
      <c r="J425" s="9">
        <v>0.38</v>
      </c>
      <c r="K425" s="9">
        <v>0.39389999999999997</v>
      </c>
      <c r="L425" s="9">
        <v>0.57999999999999996</v>
      </c>
      <c r="M425" s="9">
        <v>0.3881</v>
      </c>
      <c r="N425" s="9">
        <v>10</v>
      </c>
      <c r="O425" s="9">
        <v>94</v>
      </c>
      <c r="P425" s="10">
        <v>104</v>
      </c>
    </row>
    <row r="426" spans="1:16" x14ac:dyDescent="0.3">
      <c r="A426" s="5">
        <v>425</v>
      </c>
      <c r="B426" s="11">
        <v>40562</v>
      </c>
      <c r="C426" s="6">
        <v>1</v>
      </c>
      <c r="D426" s="6">
        <v>0</v>
      </c>
      <c r="E426" s="6">
        <v>1</v>
      </c>
      <c r="F426" s="6">
        <v>17</v>
      </c>
      <c r="G426" s="6" t="b">
        <v>0</v>
      </c>
      <c r="H426" s="6">
        <v>3</v>
      </c>
      <c r="I426" s="6">
        <v>1</v>
      </c>
      <c r="J426" s="6">
        <v>0.36</v>
      </c>
      <c r="K426" s="6">
        <v>0.33329999999999999</v>
      </c>
      <c r="L426" s="6">
        <v>0.56999999999999995</v>
      </c>
      <c r="M426" s="6">
        <v>0.32840000000000003</v>
      </c>
      <c r="N426" s="6">
        <v>7</v>
      </c>
      <c r="O426" s="6">
        <v>190</v>
      </c>
      <c r="P426" s="7">
        <v>197</v>
      </c>
    </row>
    <row r="427" spans="1:16" x14ac:dyDescent="0.3">
      <c r="A427" s="8">
        <v>426</v>
      </c>
      <c r="B427" s="12">
        <v>40562</v>
      </c>
      <c r="C427" s="9">
        <v>1</v>
      </c>
      <c r="D427" s="9">
        <v>0</v>
      </c>
      <c r="E427" s="9">
        <v>1</v>
      </c>
      <c r="F427" s="9">
        <v>18</v>
      </c>
      <c r="G427" s="9" t="b">
        <v>0</v>
      </c>
      <c r="H427" s="9">
        <v>3</v>
      </c>
      <c r="I427" s="9">
        <v>1</v>
      </c>
      <c r="J427" s="9">
        <v>0.34</v>
      </c>
      <c r="K427" s="9">
        <v>0.31819999999999998</v>
      </c>
      <c r="L427" s="9">
        <v>0.61</v>
      </c>
      <c r="M427" s="9">
        <v>0.28360000000000002</v>
      </c>
      <c r="N427" s="9">
        <v>5</v>
      </c>
      <c r="O427" s="9">
        <v>156</v>
      </c>
      <c r="P427" s="10">
        <v>161</v>
      </c>
    </row>
    <row r="428" spans="1:16" x14ac:dyDescent="0.3">
      <c r="A428" s="5">
        <v>427</v>
      </c>
      <c r="B428" s="11">
        <v>40562</v>
      </c>
      <c r="C428" s="6">
        <v>1</v>
      </c>
      <c r="D428" s="6">
        <v>0</v>
      </c>
      <c r="E428" s="6">
        <v>1</v>
      </c>
      <c r="F428" s="6">
        <v>19</v>
      </c>
      <c r="G428" s="6" t="b">
        <v>0</v>
      </c>
      <c r="H428" s="6">
        <v>3</v>
      </c>
      <c r="I428" s="6">
        <v>1</v>
      </c>
      <c r="J428" s="6">
        <v>0.32</v>
      </c>
      <c r="K428" s="6">
        <v>0.28789999999999999</v>
      </c>
      <c r="L428" s="6">
        <v>0.56999999999999995</v>
      </c>
      <c r="M428" s="6">
        <v>0.41789999999999999</v>
      </c>
      <c r="N428" s="6">
        <v>4</v>
      </c>
      <c r="O428" s="6">
        <v>108</v>
      </c>
      <c r="P428" s="7">
        <v>112</v>
      </c>
    </row>
    <row r="429" spans="1:16" x14ac:dyDescent="0.3">
      <c r="A429" s="8">
        <v>428</v>
      </c>
      <c r="B429" s="12">
        <v>40562</v>
      </c>
      <c r="C429" s="9">
        <v>1</v>
      </c>
      <c r="D429" s="9">
        <v>0</v>
      </c>
      <c r="E429" s="9">
        <v>1</v>
      </c>
      <c r="F429" s="9">
        <v>20</v>
      </c>
      <c r="G429" s="9" t="b">
        <v>0</v>
      </c>
      <c r="H429" s="9">
        <v>3</v>
      </c>
      <c r="I429" s="9">
        <v>1</v>
      </c>
      <c r="J429" s="9">
        <v>0.32</v>
      </c>
      <c r="K429" s="9">
        <v>0.30299999999999999</v>
      </c>
      <c r="L429" s="9">
        <v>0.49</v>
      </c>
      <c r="M429" s="9">
        <v>0.29849999999999999</v>
      </c>
      <c r="N429" s="9">
        <v>2</v>
      </c>
      <c r="O429" s="9">
        <v>74</v>
      </c>
      <c r="P429" s="10">
        <v>76</v>
      </c>
    </row>
    <row r="430" spans="1:16" x14ac:dyDescent="0.3">
      <c r="A430" s="5">
        <v>429</v>
      </c>
      <c r="B430" s="11">
        <v>40562</v>
      </c>
      <c r="C430" s="6">
        <v>1</v>
      </c>
      <c r="D430" s="6">
        <v>0</v>
      </c>
      <c r="E430" s="6">
        <v>1</v>
      </c>
      <c r="F430" s="6">
        <v>21</v>
      </c>
      <c r="G430" s="6" t="b">
        <v>0</v>
      </c>
      <c r="H430" s="6">
        <v>3</v>
      </c>
      <c r="I430" s="6">
        <v>1</v>
      </c>
      <c r="J430" s="6">
        <v>0.32</v>
      </c>
      <c r="K430" s="6">
        <v>0.28789999999999999</v>
      </c>
      <c r="L430" s="6">
        <v>0.49</v>
      </c>
      <c r="M430" s="6">
        <v>0.41789999999999999</v>
      </c>
      <c r="N430" s="6">
        <v>4</v>
      </c>
      <c r="O430" s="6">
        <v>55</v>
      </c>
      <c r="P430" s="7">
        <v>59</v>
      </c>
    </row>
    <row r="431" spans="1:16" x14ac:dyDescent="0.3">
      <c r="A431" s="8">
        <v>430</v>
      </c>
      <c r="B431" s="12">
        <v>40562</v>
      </c>
      <c r="C431" s="9">
        <v>1</v>
      </c>
      <c r="D431" s="9">
        <v>0</v>
      </c>
      <c r="E431" s="9">
        <v>1</v>
      </c>
      <c r="F431" s="9">
        <v>22</v>
      </c>
      <c r="G431" s="9" t="b">
        <v>0</v>
      </c>
      <c r="H431" s="9">
        <v>3</v>
      </c>
      <c r="I431" s="9">
        <v>1</v>
      </c>
      <c r="J431" s="9">
        <v>0.3</v>
      </c>
      <c r="K431" s="9">
        <v>0.30299999999999999</v>
      </c>
      <c r="L431" s="9">
        <v>0.52</v>
      </c>
      <c r="M431" s="9">
        <v>0.16420000000000001</v>
      </c>
      <c r="N431" s="9">
        <v>6</v>
      </c>
      <c r="O431" s="9">
        <v>53</v>
      </c>
      <c r="P431" s="10">
        <v>59</v>
      </c>
    </row>
    <row r="432" spans="1:16" x14ac:dyDescent="0.3">
      <c r="A432" s="5">
        <v>431</v>
      </c>
      <c r="B432" s="11">
        <v>40562</v>
      </c>
      <c r="C432" s="6">
        <v>1</v>
      </c>
      <c r="D432" s="6">
        <v>0</v>
      </c>
      <c r="E432" s="6">
        <v>1</v>
      </c>
      <c r="F432" s="6">
        <v>23</v>
      </c>
      <c r="G432" s="6" t="b">
        <v>0</v>
      </c>
      <c r="H432" s="6">
        <v>3</v>
      </c>
      <c r="I432" s="6">
        <v>1</v>
      </c>
      <c r="J432" s="6">
        <v>0.3</v>
      </c>
      <c r="K432" s="6">
        <v>0.2727</v>
      </c>
      <c r="L432" s="6">
        <v>0.52</v>
      </c>
      <c r="M432" s="6">
        <v>0.4627</v>
      </c>
      <c r="N432" s="6">
        <v>1</v>
      </c>
      <c r="O432" s="6">
        <v>27</v>
      </c>
      <c r="P432" s="7">
        <v>28</v>
      </c>
    </row>
    <row r="433" spans="1:16" x14ac:dyDescent="0.3">
      <c r="A433" s="8">
        <v>432</v>
      </c>
      <c r="B433" s="12">
        <v>40563</v>
      </c>
      <c r="C433" s="9">
        <v>1</v>
      </c>
      <c r="D433" s="9">
        <v>0</v>
      </c>
      <c r="E433" s="9">
        <v>1</v>
      </c>
      <c r="F433" s="9">
        <v>0</v>
      </c>
      <c r="G433" s="9" t="b">
        <v>0</v>
      </c>
      <c r="H433" s="9">
        <v>4</v>
      </c>
      <c r="I433" s="9">
        <v>1</v>
      </c>
      <c r="J433" s="9">
        <v>0.26</v>
      </c>
      <c r="K433" s="9">
        <v>0.2273</v>
      </c>
      <c r="L433" s="9">
        <v>0.56000000000000005</v>
      </c>
      <c r="M433" s="9">
        <v>0.3881</v>
      </c>
      <c r="N433" s="9">
        <v>5</v>
      </c>
      <c r="O433" s="9">
        <v>8</v>
      </c>
      <c r="P433" s="10">
        <v>13</v>
      </c>
    </row>
    <row r="434" spans="1:16" x14ac:dyDescent="0.3">
      <c r="A434" s="5">
        <v>433</v>
      </c>
      <c r="B434" s="11">
        <v>40563</v>
      </c>
      <c r="C434" s="6">
        <v>1</v>
      </c>
      <c r="D434" s="6">
        <v>0</v>
      </c>
      <c r="E434" s="6">
        <v>1</v>
      </c>
      <c r="F434" s="6">
        <v>1</v>
      </c>
      <c r="G434" s="6" t="b">
        <v>0</v>
      </c>
      <c r="H434" s="6">
        <v>4</v>
      </c>
      <c r="I434" s="6">
        <v>1</v>
      </c>
      <c r="J434" s="6">
        <v>0.26</v>
      </c>
      <c r="K434" s="6">
        <v>0.2727</v>
      </c>
      <c r="L434" s="6">
        <v>0.56000000000000005</v>
      </c>
      <c r="M434" s="6">
        <v>0</v>
      </c>
      <c r="N434" s="6">
        <v>2</v>
      </c>
      <c r="O434" s="6">
        <v>3</v>
      </c>
      <c r="P434" s="7">
        <v>5</v>
      </c>
    </row>
    <row r="435" spans="1:16" x14ac:dyDescent="0.3">
      <c r="A435" s="8">
        <v>434</v>
      </c>
      <c r="B435" s="12">
        <v>40563</v>
      </c>
      <c r="C435" s="9">
        <v>1</v>
      </c>
      <c r="D435" s="9">
        <v>0</v>
      </c>
      <c r="E435" s="9">
        <v>1</v>
      </c>
      <c r="F435" s="9">
        <v>2</v>
      </c>
      <c r="G435" s="9" t="b">
        <v>0</v>
      </c>
      <c r="H435" s="9">
        <v>4</v>
      </c>
      <c r="I435" s="9">
        <v>1</v>
      </c>
      <c r="J435" s="9">
        <v>0.26</v>
      </c>
      <c r="K435" s="9">
        <v>0.2727</v>
      </c>
      <c r="L435" s="9">
        <v>0.56000000000000005</v>
      </c>
      <c r="M435" s="9">
        <v>0</v>
      </c>
      <c r="N435" s="9">
        <v>0</v>
      </c>
      <c r="O435" s="9">
        <v>2</v>
      </c>
      <c r="P435" s="10">
        <v>2</v>
      </c>
    </row>
    <row r="436" spans="1:16" x14ac:dyDescent="0.3">
      <c r="A436" s="5">
        <v>435</v>
      </c>
      <c r="B436" s="11">
        <v>40563</v>
      </c>
      <c r="C436" s="6">
        <v>1</v>
      </c>
      <c r="D436" s="6">
        <v>0</v>
      </c>
      <c r="E436" s="6">
        <v>1</v>
      </c>
      <c r="F436" s="6">
        <v>3</v>
      </c>
      <c r="G436" s="6" t="b">
        <v>0</v>
      </c>
      <c r="H436" s="6">
        <v>4</v>
      </c>
      <c r="I436" s="6">
        <v>1</v>
      </c>
      <c r="J436" s="6">
        <v>0.26</v>
      </c>
      <c r="K436" s="6">
        <v>0.2576</v>
      </c>
      <c r="L436" s="6">
        <v>0.56000000000000005</v>
      </c>
      <c r="M436" s="6">
        <v>0.16420000000000001</v>
      </c>
      <c r="N436" s="6">
        <v>0</v>
      </c>
      <c r="O436" s="6">
        <v>1</v>
      </c>
      <c r="P436" s="7">
        <v>1</v>
      </c>
    </row>
    <row r="437" spans="1:16" x14ac:dyDescent="0.3">
      <c r="A437" s="8">
        <v>436</v>
      </c>
      <c r="B437" s="12">
        <v>40563</v>
      </c>
      <c r="C437" s="9">
        <v>1</v>
      </c>
      <c r="D437" s="9">
        <v>0</v>
      </c>
      <c r="E437" s="9">
        <v>1</v>
      </c>
      <c r="F437" s="9">
        <v>4</v>
      </c>
      <c r="G437" s="9" t="b">
        <v>0</v>
      </c>
      <c r="H437" s="9">
        <v>4</v>
      </c>
      <c r="I437" s="9">
        <v>1</v>
      </c>
      <c r="J437" s="9">
        <v>0.26</v>
      </c>
      <c r="K437" s="9">
        <v>0.2576</v>
      </c>
      <c r="L437" s="9">
        <v>0.56000000000000005</v>
      </c>
      <c r="M437" s="9">
        <v>0.16420000000000001</v>
      </c>
      <c r="N437" s="9">
        <v>0</v>
      </c>
      <c r="O437" s="9">
        <v>1</v>
      </c>
      <c r="P437" s="10">
        <v>1</v>
      </c>
    </row>
    <row r="438" spans="1:16" x14ac:dyDescent="0.3">
      <c r="A438" s="5">
        <v>437</v>
      </c>
      <c r="B438" s="11">
        <v>40563</v>
      </c>
      <c r="C438" s="6">
        <v>1</v>
      </c>
      <c r="D438" s="6">
        <v>0</v>
      </c>
      <c r="E438" s="6">
        <v>1</v>
      </c>
      <c r="F438" s="6">
        <v>5</v>
      </c>
      <c r="G438" s="6" t="b">
        <v>0</v>
      </c>
      <c r="H438" s="6">
        <v>4</v>
      </c>
      <c r="I438" s="6">
        <v>1</v>
      </c>
      <c r="J438" s="6">
        <v>0.24</v>
      </c>
      <c r="K438" s="6">
        <v>0.2273</v>
      </c>
      <c r="L438" s="6">
        <v>0.6</v>
      </c>
      <c r="M438" s="6">
        <v>0.22389999999999999</v>
      </c>
      <c r="N438" s="6">
        <v>0</v>
      </c>
      <c r="O438" s="6">
        <v>6</v>
      </c>
      <c r="P438" s="7">
        <v>6</v>
      </c>
    </row>
    <row r="439" spans="1:16" x14ac:dyDescent="0.3">
      <c r="A439" s="8">
        <v>438</v>
      </c>
      <c r="B439" s="12">
        <v>40563</v>
      </c>
      <c r="C439" s="9">
        <v>1</v>
      </c>
      <c r="D439" s="9">
        <v>0</v>
      </c>
      <c r="E439" s="9">
        <v>1</v>
      </c>
      <c r="F439" s="9">
        <v>6</v>
      </c>
      <c r="G439" s="9" t="b">
        <v>0</v>
      </c>
      <c r="H439" s="9">
        <v>4</v>
      </c>
      <c r="I439" s="9">
        <v>1</v>
      </c>
      <c r="J439" s="9">
        <v>0.22</v>
      </c>
      <c r="K439" s="9">
        <v>0.21210000000000001</v>
      </c>
      <c r="L439" s="9">
        <v>0.6</v>
      </c>
      <c r="M439" s="9">
        <v>0.22389999999999999</v>
      </c>
      <c r="N439" s="9">
        <v>0</v>
      </c>
      <c r="O439" s="9">
        <v>35</v>
      </c>
      <c r="P439" s="10">
        <v>35</v>
      </c>
    </row>
    <row r="440" spans="1:16" x14ac:dyDescent="0.3">
      <c r="A440" s="5">
        <v>439</v>
      </c>
      <c r="B440" s="11">
        <v>40563</v>
      </c>
      <c r="C440" s="6">
        <v>1</v>
      </c>
      <c r="D440" s="6">
        <v>0</v>
      </c>
      <c r="E440" s="6">
        <v>1</v>
      </c>
      <c r="F440" s="6">
        <v>7</v>
      </c>
      <c r="G440" s="6" t="b">
        <v>0</v>
      </c>
      <c r="H440" s="6">
        <v>4</v>
      </c>
      <c r="I440" s="6">
        <v>1</v>
      </c>
      <c r="J440" s="6">
        <v>0.22</v>
      </c>
      <c r="K440" s="6">
        <v>0.21210000000000001</v>
      </c>
      <c r="L440" s="6">
        <v>0.55000000000000004</v>
      </c>
      <c r="M440" s="6">
        <v>0.22389999999999999</v>
      </c>
      <c r="N440" s="6">
        <v>1</v>
      </c>
      <c r="O440" s="6">
        <v>100</v>
      </c>
      <c r="P440" s="7">
        <v>101</v>
      </c>
    </row>
    <row r="441" spans="1:16" x14ac:dyDescent="0.3">
      <c r="A441" s="8">
        <v>440</v>
      </c>
      <c r="B441" s="12">
        <v>40563</v>
      </c>
      <c r="C441" s="9">
        <v>1</v>
      </c>
      <c r="D441" s="9">
        <v>0</v>
      </c>
      <c r="E441" s="9">
        <v>1</v>
      </c>
      <c r="F441" s="9">
        <v>8</v>
      </c>
      <c r="G441" s="9" t="b">
        <v>0</v>
      </c>
      <c r="H441" s="9">
        <v>4</v>
      </c>
      <c r="I441" s="9">
        <v>1</v>
      </c>
      <c r="J441" s="9">
        <v>0.22</v>
      </c>
      <c r="K441" s="9">
        <v>0.21210000000000001</v>
      </c>
      <c r="L441" s="9">
        <v>0.55000000000000004</v>
      </c>
      <c r="M441" s="9">
        <v>0.28360000000000002</v>
      </c>
      <c r="N441" s="9">
        <v>2</v>
      </c>
      <c r="O441" s="9">
        <v>247</v>
      </c>
      <c r="P441" s="10">
        <v>249</v>
      </c>
    </row>
    <row r="442" spans="1:16" x14ac:dyDescent="0.3">
      <c r="A442" s="5">
        <v>441</v>
      </c>
      <c r="B442" s="11">
        <v>40563</v>
      </c>
      <c r="C442" s="6">
        <v>1</v>
      </c>
      <c r="D442" s="6">
        <v>0</v>
      </c>
      <c r="E442" s="6">
        <v>1</v>
      </c>
      <c r="F442" s="6">
        <v>9</v>
      </c>
      <c r="G442" s="6" t="b">
        <v>0</v>
      </c>
      <c r="H442" s="6">
        <v>4</v>
      </c>
      <c r="I442" s="6">
        <v>2</v>
      </c>
      <c r="J442" s="6">
        <v>0.24</v>
      </c>
      <c r="K442" s="6">
        <v>0.2273</v>
      </c>
      <c r="L442" s="6">
        <v>0.52</v>
      </c>
      <c r="M442" s="6">
        <v>0.22389999999999999</v>
      </c>
      <c r="N442" s="6">
        <v>3</v>
      </c>
      <c r="O442" s="6">
        <v>140</v>
      </c>
      <c r="P442" s="7">
        <v>143</v>
      </c>
    </row>
    <row r="443" spans="1:16" x14ac:dyDescent="0.3">
      <c r="A443" s="8">
        <v>442</v>
      </c>
      <c r="B443" s="12">
        <v>40563</v>
      </c>
      <c r="C443" s="9">
        <v>1</v>
      </c>
      <c r="D443" s="9">
        <v>0</v>
      </c>
      <c r="E443" s="9">
        <v>1</v>
      </c>
      <c r="F443" s="9">
        <v>10</v>
      </c>
      <c r="G443" s="9" t="b">
        <v>0</v>
      </c>
      <c r="H443" s="9">
        <v>4</v>
      </c>
      <c r="I443" s="9">
        <v>1</v>
      </c>
      <c r="J443" s="9">
        <v>0.26</v>
      </c>
      <c r="K443" s="9">
        <v>0.2273</v>
      </c>
      <c r="L443" s="9">
        <v>0.48</v>
      </c>
      <c r="M443" s="9">
        <v>0.29849999999999999</v>
      </c>
      <c r="N443" s="9">
        <v>1</v>
      </c>
      <c r="O443" s="9">
        <v>56</v>
      </c>
      <c r="P443" s="10">
        <v>57</v>
      </c>
    </row>
    <row r="444" spans="1:16" x14ac:dyDescent="0.3">
      <c r="A444" s="5">
        <v>443</v>
      </c>
      <c r="B444" s="11">
        <v>40563</v>
      </c>
      <c r="C444" s="6">
        <v>1</v>
      </c>
      <c r="D444" s="6">
        <v>0</v>
      </c>
      <c r="E444" s="6">
        <v>1</v>
      </c>
      <c r="F444" s="6">
        <v>11</v>
      </c>
      <c r="G444" s="6" t="b">
        <v>0</v>
      </c>
      <c r="H444" s="6">
        <v>4</v>
      </c>
      <c r="I444" s="6">
        <v>2</v>
      </c>
      <c r="J444" s="6">
        <v>0.28000000000000003</v>
      </c>
      <c r="K444" s="6">
        <v>0.2727</v>
      </c>
      <c r="L444" s="6">
        <v>0.45</v>
      </c>
      <c r="M444" s="6">
        <v>0.16420000000000001</v>
      </c>
      <c r="N444" s="6">
        <v>5</v>
      </c>
      <c r="O444" s="6">
        <v>63</v>
      </c>
      <c r="P444" s="7">
        <v>68</v>
      </c>
    </row>
    <row r="445" spans="1:16" x14ac:dyDescent="0.3">
      <c r="A445" s="8">
        <v>444</v>
      </c>
      <c r="B445" s="12">
        <v>40563</v>
      </c>
      <c r="C445" s="9">
        <v>1</v>
      </c>
      <c r="D445" s="9">
        <v>0</v>
      </c>
      <c r="E445" s="9">
        <v>1</v>
      </c>
      <c r="F445" s="9">
        <v>12</v>
      </c>
      <c r="G445" s="9" t="b">
        <v>0</v>
      </c>
      <c r="H445" s="9">
        <v>4</v>
      </c>
      <c r="I445" s="9">
        <v>2</v>
      </c>
      <c r="J445" s="9">
        <v>0.3</v>
      </c>
      <c r="K445" s="9">
        <v>0.33329999999999999</v>
      </c>
      <c r="L445" s="9">
        <v>0.42</v>
      </c>
      <c r="M445" s="9">
        <v>0</v>
      </c>
      <c r="N445" s="9">
        <v>7</v>
      </c>
      <c r="O445" s="9">
        <v>77</v>
      </c>
      <c r="P445" s="10">
        <v>84</v>
      </c>
    </row>
    <row r="446" spans="1:16" x14ac:dyDescent="0.3">
      <c r="A446" s="5">
        <v>445</v>
      </c>
      <c r="B446" s="11">
        <v>40563</v>
      </c>
      <c r="C446" s="6">
        <v>1</v>
      </c>
      <c r="D446" s="6">
        <v>0</v>
      </c>
      <c r="E446" s="6">
        <v>1</v>
      </c>
      <c r="F446" s="6">
        <v>13</v>
      </c>
      <c r="G446" s="6" t="b">
        <v>0</v>
      </c>
      <c r="H446" s="6">
        <v>4</v>
      </c>
      <c r="I446" s="6">
        <v>2</v>
      </c>
      <c r="J446" s="6">
        <v>0.28000000000000003</v>
      </c>
      <c r="K446" s="6">
        <v>0.28789999999999999</v>
      </c>
      <c r="L446" s="6">
        <v>0.45</v>
      </c>
      <c r="M446" s="6">
        <v>0.1045</v>
      </c>
      <c r="N446" s="6">
        <v>12</v>
      </c>
      <c r="O446" s="6">
        <v>86</v>
      </c>
      <c r="P446" s="7">
        <v>98</v>
      </c>
    </row>
    <row r="447" spans="1:16" x14ac:dyDescent="0.3">
      <c r="A447" s="8">
        <v>446</v>
      </c>
      <c r="B447" s="12">
        <v>40563</v>
      </c>
      <c r="C447" s="9">
        <v>1</v>
      </c>
      <c r="D447" s="9">
        <v>0</v>
      </c>
      <c r="E447" s="9">
        <v>1</v>
      </c>
      <c r="F447" s="9">
        <v>14</v>
      </c>
      <c r="G447" s="9" t="b">
        <v>0</v>
      </c>
      <c r="H447" s="9">
        <v>4</v>
      </c>
      <c r="I447" s="9">
        <v>2</v>
      </c>
      <c r="J447" s="9">
        <v>0.3</v>
      </c>
      <c r="K447" s="9">
        <v>0.30299999999999999</v>
      </c>
      <c r="L447" s="9">
        <v>0.45</v>
      </c>
      <c r="M447" s="9">
        <v>0.1343</v>
      </c>
      <c r="N447" s="9">
        <v>6</v>
      </c>
      <c r="O447" s="9">
        <v>75</v>
      </c>
      <c r="P447" s="10">
        <v>81</v>
      </c>
    </row>
    <row r="448" spans="1:16" x14ac:dyDescent="0.3">
      <c r="A448" s="5">
        <v>447</v>
      </c>
      <c r="B448" s="11">
        <v>40563</v>
      </c>
      <c r="C448" s="6">
        <v>1</v>
      </c>
      <c r="D448" s="6">
        <v>0</v>
      </c>
      <c r="E448" s="6">
        <v>1</v>
      </c>
      <c r="F448" s="6">
        <v>15</v>
      </c>
      <c r="G448" s="6" t="b">
        <v>0</v>
      </c>
      <c r="H448" s="6">
        <v>4</v>
      </c>
      <c r="I448" s="6">
        <v>2</v>
      </c>
      <c r="J448" s="6">
        <v>0.32</v>
      </c>
      <c r="K448" s="6">
        <v>0.31819999999999998</v>
      </c>
      <c r="L448" s="6">
        <v>0.45</v>
      </c>
      <c r="M448" s="6">
        <v>0.19400000000000001</v>
      </c>
      <c r="N448" s="6">
        <v>8</v>
      </c>
      <c r="O448" s="6">
        <v>62</v>
      </c>
      <c r="P448" s="7">
        <v>70</v>
      </c>
    </row>
    <row r="449" spans="1:16" x14ac:dyDescent="0.3">
      <c r="A449" s="8">
        <v>448</v>
      </c>
      <c r="B449" s="12">
        <v>40563</v>
      </c>
      <c r="C449" s="9">
        <v>1</v>
      </c>
      <c r="D449" s="9">
        <v>0</v>
      </c>
      <c r="E449" s="9">
        <v>1</v>
      </c>
      <c r="F449" s="9">
        <v>16</v>
      </c>
      <c r="G449" s="9" t="b">
        <v>0</v>
      </c>
      <c r="H449" s="9">
        <v>4</v>
      </c>
      <c r="I449" s="9">
        <v>2</v>
      </c>
      <c r="J449" s="9">
        <v>0.3</v>
      </c>
      <c r="K449" s="9">
        <v>0.30299999999999999</v>
      </c>
      <c r="L449" s="9">
        <v>0.49</v>
      </c>
      <c r="M449" s="9">
        <v>0.1343</v>
      </c>
      <c r="N449" s="9">
        <v>8</v>
      </c>
      <c r="O449" s="9">
        <v>83</v>
      </c>
      <c r="P449" s="10">
        <v>91</v>
      </c>
    </row>
    <row r="450" spans="1:16" x14ac:dyDescent="0.3">
      <c r="A450" s="5">
        <v>449</v>
      </c>
      <c r="B450" s="11">
        <v>40563</v>
      </c>
      <c r="C450" s="6">
        <v>1</v>
      </c>
      <c r="D450" s="6">
        <v>0</v>
      </c>
      <c r="E450" s="6">
        <v>1</v>
      </c>
      <c r="F450" s="6">
        <v>17</v>
      </c>
      <c r="G450" s="6" t="b">
        <v>0</v>
      </c>
      <c r="H450" s="6">
        <v>4</v>
      </c>
      <c r="I450" s="6">
        <v>2</v>
      </c>
      <c r="J450" s="6">
        <v>0.3</v>
      </c>
      <c r="K450" s="6">
        <v>0.31819999999999998</v>
      </c>
      <c r="L450" s="6">
        <v>0.49</v>
      </c>
      <c r="M450" s="6">
        <v>0.1045</v>
      </c>
      <c r="N450" s="6">
        <v>8</v>
      </c>
      <c r="O450" s="6">
        <v>207</v>
      </c>
      <c r="P450" s="7">
        <v>215</v>
      </c>
    </row>
    <row r="451" spans="1:16" x14ac:dyDescent="0.3">
      <c r="A451" s="8">
        <v>450</v>
      </c>
      <c r="B451" s="12">
        <v>40563</v>
      </c>
      <c r="C451" s="9">
        <v>1</v>
      </c>
      <c r="D451" s="9">
        <v>0</v>
      </c>
      <c r="E451" s="9">
        <v>1</v>
      </c>
      <c r="F451" s="9">
        <v>18</v>
      </c>
      <c r="G451" s="9" t="b">
        <v>0</v>
      </c>
      <c r="H451" s="9">
        <v>4</v>
      </c>
      <c r="I451" s="9">
        <v>2</v>
      </c>
      <c r="J451" s="9">
        <v>0.26</v>
      </c>
      <c r="K451" s="9">
        <v>0.2576</v>
      </c>
      <c r="L451" s="9">
        <v>0.56000000000000005</v>
      </c>
      <c r="M451" s="9">
        <v>0.19400000000000001</v>
      </c>
      <c r="N451" s="9">
        <v>1</v>
      </c>
      <c r="O451" s="9">
        <v>184</v>
      </c>
      <c r="P451" s="10">
        <v>185</v>
      </c>
    </row>
    <row r="452" spans="1:16" x14ac:dyDescent="0.3">
      <c r="A452" s="5">
        <v>451</v>
      </c>
      <c r="B452" s="11">
        <v>40563</v>
      </c>
      <c r="C452" s="6">
        <v>1</v>
      </c>
      <c r="D452" s="6">
        <v>0</v>
      </c>
      <c r="E452" s="6">
        <v>1</v>
      </c>
      <c r="F452" s="6">
        <v>19</v>
      </c>
      <c r="G452" s="6" t="b">
        <v>0</v>
      </c>
      <c r="H452" s="6">
        <v>4</v>
      </c>
      <c r="I452" s="6">
        <v>1</v>
      </c>
      <c r="J452" s="6">
        <v>0.26</v>
      </c>
      <c r="K452" s="6">
        <v>0.2273</v>
      </c>
      <c r="L452" s="6">
        <v>0.56000000000000005</v>
      </c>
      <c r="M452" s="6">
        <v>0.32840000000000003</v>
      </c>
      <c r="N452" s="6">
        <v>6</v>
      </c>
      <c r="O452" s="6">
        <v>146</v>
      </c>
      <c r="P452" s="7">
        <v>152</v>
      </c>
    </row>
    <row r="453" spans="1:16" x14ac:dyDescent="0.3">
      <c r="A453" s="8">
        <v>452</v>
      </c>
      <c r="B453" s="12">
        <v>40563</v>
      </c>
      <c r="C453" s="9">
        <v>1</v>
      </c>
      <c r="D453" s="9">
        <v>0</v>
      </c>
      <c r="E453" s="9">
        <v>1</v>
      </c>
      <c r="F453" s="9">
        <v>20</v>
      </c>
      <c r="G453" s="9" t="b">
        <v>0</v>
      </c>
      <c r="H453" s="9">
        <v>4</v>
      </c>
      <c r="I453" s="9">
        <v>2</v>
      </c>
      <c r="J453" s="9">
        <v>0.26</v>
      </c>
      <c r="K453" s="9">
        <v>0.2424</v>
      </c>
      <c r="L453" s="9">
        <v>0.6</v>
      </c>
      <c r="M453" s="9">
        <v>0.28360000000000002</v>
      </c>
      <c r="N453" s="9">
        <v>2</v>
      </c>
      <c r="O453" s="9">
        <v>124</v>
      </c>
      <c r="P453" s="10">
        <v>126</v>
      </c>
    </row>
    <row r="454" spans="1:16" x14ac:dyDescent="0.3">
      <c r="A454" s="5">
        <v>453</v>
      </c>
      <c r="B454" s="11">
        <v>40563</v>
      </c>
      <c r="C454" s="6">
        <v>1</v>
      </c>
      <c r="D454" s="6">
        <v>0</v>
      </c>
      <c r="E454" s="6">
        <v>1</v>
      </c>
      <c r="F454" s="6">
        <v>21</v>
      </c>
      <c r="G454" s="6" t="b">
        <v>0</v>
      </c>
      <c r="H454" s="6">
        <v>4</v>
      </c>
      <c r="I454" s="6">
        <v>2</v>
      </c>
      <c r="J454" s="6">
        <v>0.24</v>
      </c>
      <c r="K454" s="6">
        <v>0.2273</v>
      </c>
      <c r="L454" s="6">
        <v>0.6</v>
      </c>
      <c r="M454" s="6">
        <v>0.25369999999999998</v>
      </c>
      <c r="N454" s="6">
        <v>3</v>
      </c>
      <c r="O454" s="6">
        <v>54</v>
      </c>
      <c r="P454" s="7">
        <v>57</v>
      </c>
    </row>
    <row r="455" spans="1:16" x14ac:dyDescent="0.3">
      <c r="A455" s="8">
        <v>454</v>
      </c>
      <c r="B455" s="12">
        <v>40563</v>
      </c>
      <c r="C455" s="9">
        <v>1</v>
      </c>
      <c r="D455" s="9">
        <v>0</v>
      </c>
      <c r="E455" s="9">
        <v>1</v>
      </c>
      <c r="F455" s="9">
        <v>22</v>
      </c>
      <c r="G455" s="9" t="b">
        <v>0</v>
      </c>
      <c r="H455" s="9">
        <v>4</v>
      </c>
      <c r="I455" s="9">
        <v>2</v>
      </c>
      <c r="J455" s="9">
        <v>0.24</v>
      </c>
      <c r="K455" s="9">
        <v>0.21210000000000001</v>
      </c>
      <c r="L455" s="9">
        <v>0.65</v>
      </c>
      <c r="M455" s="9">
        <v>0.28360000000000002</v>
      </c>
      <c r="N455" s="9">
        <v>0</v>
      </c>
      <c r="O455" s="9">
        <v>56</v>
      </c>
      <c r="P455" s="10">
        <v>56</v>
      </c>
    </row>
    <row r="456" spans="1:16" x14ac:dyDescent="0.3">
      <c r="A456" s="5">
        <v>455</v>
      </c>
      <c r="B456" s="11">
        <v>40563</v>
      </c>
      <c r="C456" s="6">
        <v>1</v>
      </c>
      <c r="D456" s="6">
        <v>0</v>
      </c>
      <c r="E456" s="6">
        <v>1</v>
      </c>
      <c r="F456" s="6">
        <v>23</v>
      </c>
      <c r="G456" s="6" t="b">
        <v>0</v>
      </c>
      <c r="H456" s="6">
        <v>4</v>
      </c>
      <c r="I456" s="6">
        <v>2</v>
      </c>
      <c r="J456" s="6">
        <v>0.24</v>
      </c>
      <c r="K456" s="6">
        <v>0.21210000000000001</v>
      </c>
      <c r="L456" s="6">
        <v>0.65</v>
      </c>
      <c r="M456" s="6">
        <v>0.32840000000000003</v>
      </c>
      <c r="N456" s="6">
        <v>3</v>
      </c>
      <c r="O456" s="6">
        <v>28</v>
      </c>
      <c r="P456" s="7">
        <v>31</v>
      </c>
    </row>
    <row r="457" spans="1:16" x14ac:dyDescent="0.3">
      <c r="A457" s="8">
        <v>456</v>
      </c>
      <c r="B457" s="12">
        <v>40564</v>
      </c>
      <c r="C457" s="9">
        <v>1</v>
      </c>
      <c r="D457" s="9">
        <v>0</v>
      </c>
      <c r="E457" s="9">
        <v>1</v>
      </c>
      <c r="F457" s="9">
        <v>0</v>
      </c>
      <c r="G457" s="9" t="b">
        <v>0</v>
      </c>
      <c r="H457" s="9">
        <v>5</v>
      </c>
      <c r="I457" s="9">
        <v>2</v>
      </c>
      <c r="J457" s="9">
        <v>0.24</v>
      </c>
      <c r="K457" s="9">
        <v>0.2273</v>
      </c>
      <c r="L457" s="9">
        <v>0.7</v>
      </c>
      <c r="M457" s="9">
        <v>0.25369999999999998</v>
      </c>
      <c r="N457" s="9">
        <v>1</v>
      </c>
      <c r="O457" s="9">
        <v>20</v>
      </c>
      <c r="P457" s="10">
        <v>21</v>
      </c>
    </row>
    <row r="458" spans="1:16" x14ac:dyDescent="0.3">
      <c r="A458" s="5">
        <v>457</v>
      </c>
      <c r="B458" s="11">
        <v>40564</v>
      </c>
      <c r="C458" s="6">
        <v>1</v>
      </c>
      <c r="D458" s="6">
        <v>0</v>
      </c>
      <c r="E458" s="6">
        <v>1</v>
      </c>
      <c r="F458" s="6">
        <v>1</v>
      </c>
      <c r="G458" s="6" t="b">
        <v>0</v>
      </c>
      <c r="H458" s="6">
        <v>5</v>
      </c>
      <c r="I458" s="6">
        <v>2</v>
      </c>
      <c r="J458" s="6">
        <v>0.24</v>
      </c>
      <c r="K458" s="6">
        <v>0.2273</v>
      </c>
      <c r="L458" s="6">
        <v>0.7</v>
      </c>
      <c r="M458" s="6">
        <v>0.25369999999999998</v>
      </c>
      <c r="N458" s="6">
        <v>0</v>
      </c>
      <c r="O458" s="6">
        <v>6</v>
      </c>
      <c r="P458" s="7">
        <v>6</v>
      </c>
    </row>
    <row r="459" spans="1:16" x14ac:dyDescent="0.3">
      <c r="A459" s="8">
        <v>458</v>
      </c>
      <c r="B459" s="12">
        <v>40564</v>
      </c>
      <c r="C459" s="9">
        <v>1</v>
      </c>
      <c r="D459" s="9">
        <v>0</v>
      </c>
      <c r="E459" s="9">
        <v>1</v>
      </c>
      <c r="F459" s="9">
        <v>2</v>
      </c>
      <c r="G459" s="9" t="b">
        <v>0</v>
      </c>
      <c r="H459" s="9">
        <v>5</v>
      </c>
      <c r="I459" s="9">
        <v>3</v>
      </c>
      <c r="J459" s="9">
        <v>0.24</v>
      </c>
      <c r="K459" s="9">
        <v>0.2424</v>
      </c>
      <c r="L459" s="9">
        <v>0.75</v>
      </c>
      <c r="M459" s="9">
        <v>0.16420000000000001</v>
      </c>
      <c r="N459" s="9">
        <v>0</v>
      </c>
      <c r="O459" s="9">
        <v>2</v>
      </c>
      <c r="P459" s="10">
        <v>2</v>
      </c>
    </row>
    <row r="460" spans="1:16" x14ac:dyDescent="0.3">
      <c r="A460" s="5">
        <v>459</v>
      </c>
      <c r="B460" s="11">
        <v>40564</v>
      </c>
      <c r="C460" s="6">
        <v>1</v>
      </c>
      <c r="D460" s="6">
        <v>0</v>
      </c>
      <c r="E460" s="6">
        <v>1</v>
      </c>
      <c r="F460" s="6">
        <v>3</v>
      </c>
      <c r="G460" s="6" t="b">
        <v>0</v>
      </c>
      <c r="H460" s="6">
        <v>5</v>
      </c>
      <c r="I460" s="6">
        <v>3</v>
      </c>
      <c r="J460" s="6">
        <v>0.22</v>
      </c>
      <c r="K460" s="6">
        <v>0.21210000000000001</v>
      </c>
      <c r="L460" s="6">
        <v>0.8</v>
      </c>
      <c r="M460" s="6">
        <v>0.29849999999999999</v>
      </c>
      <c r="N460" s="6">
        <v>0</v>
      </c>
      <c r="O460" s="6">
        <v>1</v>
      </c>
      <c r="P460" s="7">
        <v>1</v>
      </c>
    </row>
    <row r="461" spans="1:16" x14ac:dyDescent="0.3">
      <c r="A461" s="8">
        <v>460</v>
      </c>
      <c r="B461" s="12">
        <v>40564</v>
      </c>
      <c r="C461" s="9">
        <v>1</v>
      </c>
      <c r="D461" s="9">
        <v>0</v>
      </c>
      <c r="E461" s="9">
        <v>1</v>
      </c>
      <c r="F461" s="9">
        <v>4</v>
      </c>
      <c r="G461" s="9" t="b">
        <v>0</v>
      </c>
      <c r="H461" s="9">
        <v>5</v>
      </c>
      <c r="I461" s="9">
        <v>2</v>
      </c>
      <c r="J461" s="9">
        <v>0.22</v>
      </c>
      <c r="K461" s="9">
        <v>0.2576</v>
      </c>
      <c r="L461" s="9">
        <v>0.87</v>
      </c>
      <c r="M461" s="9">
        <v>8.9599999999999999E-2</v>
      </c>
      <c r="N461" s="9">
        <v>0</v>
      </c>
      <c r="O461" s="9">
        <v>1</v>
      </c>
      <c r="P461" s="10">
        <v>1</v>
      </c>
    </row>
    <row r="462" spans="1:16" x14ac:dyDescent="0.3">
      <c r="A462" s="5">
        <v>461</v>
      </c>
      <c r="B462" s="11">
        <v>40564</v>
      </c>
      <c r="C462" s="6">
        <v>1</v>
      </c>
      <c r="D462" s="6">
        <v>0</v>
      </c>
      <c r="E462" s="6">
        <v>1</v>
      </c>
      <c r="F462" s="6">
        <v>5</v>
      </c>
      <c r="G462" s="6" t="b">
        <v>0</v>
      </c>
      <c r="H462" s="6">
        <v>5</v>
      </c>
      <c r="I462" s="6">
        <v>1</v>
      </c>
      <c r="J462" s="6">
        <v>0.24</v>
      </c>
      <c r="K462" s="6">
        <v>0.19700000000000001</v>
      </c>
      <c r="L462" s="6">
        <v>0.6</v>
      </c>
      <c r="M462" s="6">
        <v>0.41789999999999999</v>
      </c>
      <c r="N462" s="6">
        <v>1</v>
      </c>
      <c r="O462" s="6">
        <v>4</v>
      </c>
      <c r="P462" s="7">
        <v>5</v>
      </c>
    </row>
    <row r="463" spans="1:16" x14ac:dyDescent="0.3">
      <c r="A463" s="8">
        <v>462</v>
      </c>
      <c r="B463" s="12">
        <v>40564</v>
      </c>
      <c r="C463" s="9">
        <v>1</v>
      </c>
      <c r="D463" s="9">
        <v>0</v>
      </c>
      <c r="E463" s="9">
        <v>1</v>
      </c>
      <c r="F463" s="9">
        <v>6</v>
      </c>
      <c r="G463" s="9" t="b">
        <v>0</v>
      </c>
      <c r="H463" s="9">
        <v>5</v>
      </c>
      <c r="I463" s="9">
        <v>1</v>
      </c>
      <c r="J463" s="9">
        <v>0.22</v>
      </c>
      <c r="K463" s="9">
        <v>0.21210000000000001</v>
      </c>
      <c r="L463" s="9">
        <v>0.55000000000000004</v>
      </c>
      <c r="M463" s="9">
        <v>0.25369999999999998</v>
      </c>
      <c r="N463" s="9">
        <v>0</v>
      </c>
      <c r="O463" s="9">
        <v>27</v>
      </c>
      <c r="P463" s="10">
        <v>27</v>
      </c>
    </row>
    <row r="464" spans="1:16" x14ac:dyDescent="0.3">
      <c r="A464" s="5">
        <v>463</v>
      </c>
      <c r="B464" s="11">
        <v>40564</v>
      </c>
      <c r="C464" s="6">
        <v>1</v>
      </c>
      <c r="D464" s="6">
        <v>0</v>
      </c>
      <c r="E464" s="6">
        <v>1</v>
      </c>
      <c r="F464" s="6">
        <v>7</v>
      </c>
      <c r="G464" s="6" t="b">
        <v>0</v>
      </c>
      <c r="H464" s="6">
        <v>5</v>
      </c>
      <c r="I464" s="6">
        <v>1</v>
      </c>
      <c r="J464" s="6">
        <v>0.2</v>
      </c>
      <c r="K464" s="6">
        <v>0.18179999999999999</v>
      </c>
      <c r="L464" s="6">
        <v>0.51</v>
      </c>
      <c r="M464" s="6">
        <v>0.28360000000000002</v>
      </c>
      <c r="N464" s="6">
        <v>2</v>
      </c>
      <c r="O464" s="6">
        <v>66</v>
      </c>
      <c r="P464" s="7">
        <v>68</v>
      </c>
    </row>
    <row r="465" spans="1:16" x14ac:dyDescent="0.3">
      <c r="A465" s="8">
        <v>464</v>
      </c>
      <c r="B465" s="12">
        <v>40564</v>
      </c>
      <c r="C465" s="9">
        <v>1</v>
      </c>
      <c r="D465" s="9">
        <v>0</v>
      </c>
      <c r="E465" s="9">
        <v>1</v>
      </c>
      <c r="F465" s="9">
        <v>8</v>
      </c>
      <c r="G465" s="9" t="b">
        <v>0</v>
      </c>
      <c r="H465" s="9">
        <v>5</v>
      </c>
      <c r="I465" s="9">
        <v>1</v>
      </c>
      <c r="J465" s="9">
        <v>0.2</v>
      </c>
      <c r="K465" s="9">
        <v>0.18179999999999999</v>
      </c>
      <c r="L465" s="9">
        <v>0.47</v>
      </c>
      <c r="M465" s="9">
        <v>0.32840000000000003</v>
      </c>
      <c r="N465" s="9">
        <v>7</v>
      </c>
      <c r="O465" s="9">
        <v>210</v>
      </c>
      <c r="P465" s="10">
        <v>217</v>
      </c>
    </row>
    <row r="466" spans="1:16" x14ac:dyDescent="0.3">
      <c r="A466" s="5">
        <v>465</v>
      </c>
      <c r="B466" s="11">
        <v>40564</v>
      </c>
      <c r="C466" s="6">
        <v>1</v>
      </c>
      <c r="D466" s="6">
        <v>0</v>
      </c>
      <c r="E466" s="6">
        <v>1</v>
      </c>
      <c r="F466" s="6">
        <v>9</v>
      </c>
      <c r="G466" s="6" t="b">
        <v>0</v>
      </c>
      <c r="H466" s="6">
        <v>5</v>
      </c>
      <c r="I466" s="6">
        <v>1</v>
      </c>
      <c r="J466" s="6">
        <v>0.2</v>
      </c>
      <c r="K466" s="6">
        <v>0.18179999999999999</v>
      </c>
      <c r="L466" s="6">
        <v>0.51</v>
      </c>
      <c r="M466" s="6">
        <v>0.35820000000000002</v>
      </c>
      <c r="N466" s="6">
        <v>7</v>
      </c>
      <c r="O466" s="6">
        <v>159</v>
      </c>
      <c r="P466" s="7">
        <v>166</v>
      </c>
    </row>
    <row r="467" spans="1:16" x14ac:dyDescent="0.3">
      <c r="A467" s="8">
        <v>466</v>
      </c>
      <c r="B467" s="12">
        <v>40564</v>
      </c>
      <c r="C467" s="9">
        <v>1</v>
      </c>
      <c r="D467" s="9">
        <v>0</v>
      </c>
      <c r="E467" s="9">
        <v>1</v>
      </c>
      <c r="F467" s="9">
        <v>10</v>
      </c>
      <c r="G467" s="9" t="b">
        <v>0</v>
      </c>
      <c r="H467" s="9">
        <v>5</v>
      </c>
      <c r="I467" s="9">
        <v>1</v>
      </c>
      <c r="J467" s="9">
        <v>0.2</v>
      </c>
      <c r="K467" s="9">
        <v>0.16669999999999999</v>
      </c>
      <c r="L467" s="9">
        <v>0.47</v>
      </c>
      <c r="M467" s="9">
        <v>0.4627</v>
      </c>
      <c r="N467" s="9">
        <v>6</v>
      </c>
      <c r="O467" s="9">
        <v>57</v>
      </c>
      <c r="P467" s="10">
        <v>63</v>
      </c>
    </row>
    <row r="468" spans="1:16" x14ac:dyDescent="0.3">
      <c r="A468" s="5">
        <v>467</v>
      </c>
      <c r="B468" s="11">
        <v>40564</v>
      </c>
      <c r="C468" s="6">
        <v>1</v>
      </c>
      <c r="D468" s="6">
        <v>0</v>
      </c>
      <c r="E468" s="6">
        <v>1</v>
      </c>
      <c r="F468" s="6">
        <v>11</v>
      </c>
      <c r="G468" s="6" t="b">
        <v>0</v>
      </c>
      <c r="H468" s="6">
        <v>5</v>
      </c>
      <c r="I468" s="6">
        <v>1</v>
      </c>
      <c r="J468" s="6">
        <v>0.22</v>
      </c>
      <c r="K468" s="6">
        <v>0.18179999999999999</v>
      </c>
      <c r="L468" s="6">
        <v>0.41</v>
      </c>
      <c r="M468" s="6">
        <v>0.4627</v>
      </c>
      <c r="N468" s="6">
        <v>6</v>
      </c>
      <c r="O468" s="6">
        <v>53</v>
      </c>
      <c r="P468" s="7">
        <v>59</v>
      </c>
    </row>
    <row r="469" spans="1:16" x14ac:dyDescent="0.3">
      <c r="A469" s="8">
        <v>468</v>
      </c>
      <c r="B469" s="12">
        <v>40564</v>
      </c>
      <c r="C469" s="9">
        <v>1</v>
      </c>
      <c r="D469" s="9">
        <v>0</v>
      </c>
      <c r="E469" s="9">
        <v>1</v>
      </c>
      <c r="F469" s="9">
        <v>12</v>
      </c>
      <c r="G469" s="9" t="b">
        <v>0</v>
      </c>
      <c r="H469" s="9">
        <v>5</v>
      </c>
      <c r="I469" s="9">
        <v>1</v>
      </c>
      <c r="J469" s="9">
        <v>0.22</v>
      </c>
      <c r="K469" s="9">
        <v>0.18179999999999999</v>
      </c>
      <c r="L469" s="9">
        <v>0.27</v>
      </c>
      <c r="M469" s="9">
        <v>0.58209999999999995</v>
      </c>
      <c r="N469" s="9">
        <v>11</v>
      </c>
      <c r="O469" s="9">
        <v>67</v>
      </c>
      <c r="P469" s="10">
        <v>78</v>
      </c>
    </row>
    <row r="470" spans="1:16" x14ac:dyDescent="0.3">
      <c r="A470" s="5">
        <v>469</v>
      </c>
      <c r="B470" s="11">
        <v>40564</v>
      </c>
      <c r="C470" s="6">
        <v>1</v>
      </c>
      <c r="D470" s="6">
        <v>0</v>
      </c>
      <c r="E470" s="6">
        <v>1</v>
      </c>
      <c r="F470" s="6">
        <v>13</v>
      </c>
      <c r="G470" s="6" t="b">
        <v>0</v>
      </c>
      <c r="H470" s="6">
        <v>5</v>
      </c>
      <c r="I470" s="6">
        <v>1</v>
      </c>
      <c r="J470" s="6">
        <v>0.2</v>
      </c>
      <c r="K470" s="6">
        <v>0.1515</v>
      </c>
      <c r="L470" s="6">
        <v>0.21</v>
      </c>
      <c r="M470" s="6">
        <v>0.58209999999999995</v>
      </c>
      <c r="N470" s="6">
        <v>8</v>
      </c>
      <c r="O470" s="6">
        <v>65</v>
      </c>
      <c r="P470" s="7">
        <v>73</v>
      </c>
    </row>
    <row r="471" spans="1:16" x14ac:dyDescent="0.3">
      <c r="A471" s="8">
        <v>470</v>
      </c>
      <c r="B471" s="12">
        <v>40564</v>
      </c>
      <c r="C471" s="9">
        <v>1</v>
      </c>
      <c r="D471" s="9">
        <v>0</v>
      </c>
      <c r="E471" s="9">
        <v>1</v>
      </c>
      <c r="F471" s="9">
        <v>14</v>
      </c>
      <c r="G471" s="9" t="b">
        <v>0</v>
      </c>
      <c r="H471" s="9">
        <v>5</v>
      </c>
      <c r="I471" s="9">
        <v>1</v>
      </c>
      <c r="J471" s="9">
        <v>0.2</v>
      </c>
      <c r="K471" s="9">
        <v>0.1515</v>
      </c>
      <c r="L471" s="9">
        <v>0.25</v>
      </c>
      <c r="M471" s="9">
        <v>0.52239999999999998</v>
      </c>
      <c r="N471" s="9">
        <v>6</v>
      </c>
      <c r="O471" s="9">
        <v>56</v>
      </c>
      <c r="P471" s="10">
        <v>62</v>
      </c>
    </row>
    <row r="472" spans="1:16" x14ac:dyDescent="0.3">
      <c r="A472" s="5">
        <v>471</v>
      </c>
      <c r="B472" s="11">
        <v>40564</v>
      </c>
      <c r="C472" s="6">
        <v>1</v>
      </c>
      <c r="D472" s="6">
        <v>0</v>
      </c>
      <c r="E472" s="6">
        <v>1</v>
      </c>
      <c r="F472" s="6">
        <v>15</v>
      </c>
      <c r="G472" s="6" t="b">
        <v>0</v>
      </c>
      <c r="H472" s="6">
        <v>5</v>
      </c>
      <c r="I472" s="6">
        <v>1</v>
      </c>
      <c r="J472" s="6">
        <v>0.16</v>
      </c>
      <c r="K472" s="6">
        <v>0.1212</v>
      </c>
      <c r="L472" s="6">
        <v>0.26</v>
      </c>
      <c r="M472" s="6">
        <v>0.44779999999999998</v>
      </c>
      <c r="N472" s="6">
        <v>4</v>
      </c>
      <c r="O472" s="6">
        <v>61</v>
      </c>
      <c r="P472" s="7">
        <v>65</v>
      </c>
    </row>
    <row r="473" spans="1:16" x14ac:dyDescent="0.3">
      <c r="A473" s="8">
        <v>472</v>
      </c>
      <c r="B473" s="12">
        <v>40564</v>
      </c>
      <c r="C473" s="9">
        <v>1</v>
      </c>
      <c r="D473" s="9">
        <v>0</v>
      </c>
      <c r="E473" s="9">
        <v>1</v>
      </c>
      <c r="F473" s="9">
        <v>16</v>
      </c>
      <c r="G473" s="9" t="b">
        <v>0</v>
      </c>
      <c r="H473" s="9">
        <v>5</v>
      </c>
      <c r="I473" s="9">
        <v>1</v>
      </c>
      <c r="J473" s="9">
        <v>0.16</v>
      </c>
      <c r="K473" s="9">
        <v>0.13639999999999999</v>
      </c>
      <c r="L473" s="9">
        <v>0.26</v>
      </c>
      <c r="M473" s="9">
        <v>0.35820000000000002</v>
      </c>
      <c r="N473" s="9">
        <v>0</v>
      </c>
      <c r="O473" s="9">
        <v>97</v>
      </c>
      <c r="P473" s="10">
        <v>97</v>
      </c>
    </row>
    <row r="474" spans="1:16" x14ac:dyDescent="0.3">
      <c r="A474" s="5">
        <v>473</v>
      </c>
      <c r="B474" s="11">
        <v>40564</v>
      </c>
      <c r="C474" s="6">
        <v>1</v>
      </c>
      <c r="D474" s="6">
        <v>0</v>
      </c>
      <c r="E474" s="6">
        <v>1</v>
      </c>
      <c r="F474" s="6">
        <v>17</v>
      </c>
      <c r="G474" s="6" t="b">
        <v>0</v>
      </c>
      <c r="H474" s="6">
        <v>5</v>
      </c>
      <c r="I474" s="6">
        <v>1</v>
      </c>
      <c r="J474" s="6">
        <v>0.14000000000000001</v>
      </c>
      <c r="K474" s="6">
        <v>0.1212</v>
      </c>
      <c r="L474" s="6">
        <v>0.28000000000000003</v>
      </c>
      <c r="M474" s="6">
        <v>0.35820000000000002</v>
      </c>
      <c r="N474" s="6">
        <v>10</v>
      </c>
      <c r="O474" s="6">
        <v>151</v>
      </c>
      <c r="P474" s="7">
        <v>161</v>
      </c>
    </row>
    <row r="475" spans="1:16" x14ac:dyDescent="0.3">
      <c r="A475" s="8">
        <v>474</v>
      </c>
      <c r="B475" s="12">
        <v>40564</v>
      </c>
      <c r="C475" s="9">
        <v>1</v>
      </c>
      <c r="D475" s="9">
        <v>0</v>
      </c>
      <c r="E475" s="9">
        <v>1</v>
      </c>
      <c r="F475" s="9">
        <v>18</v>
      </c>
      <c r="G475" s="9" t="b">
        <v>0</v>
      </c>
      <c r="H475" s="9">
        <v>5</v>
      </c>
      <c r="I475" s="9">
        <v>1</v>
      </c>
      <c r="J475" s="9">
        <v>0.12</v>
      </c>
      <c r="K475" s="9">
        <v>0.1212</v>
      </c>
      <c r="L475" s="9">
        <v>0.3</v>
      </c>
      <c r="M475" s="9">
        <v>0.25369999999999998</v>
      </c>
      <c r="N475" s="9">
        <v>1</v>
      </c>
      <c r="O475" s="9">
        <v>119</v>
      </c>
      <c r="P475" s="10">
        <v>120</v>
      </c>
    </row>
    <row r="476" spans="1:16" x14ac:dyDescent="0.3">
      <c r="A476" s="5">
        <v>475</v>
      </c>
      <c r="B476" s="11">
        <v>40564</v>
      </c>
      <c r="C476" s="6">
        <v>1</v>
      </c>
      <c r="D476" s="6">
        <v>0</v>
      </c>
      <c r="E476" s="6">
        <v>1</v>
      </c>
      <c r="F476" s="6">
        <v>19</v>
      </c>
      <c r="G476" s="6" t="b">
        <v>0</v>
      </c>
      <c r="H476" s="6">
        <v>5</v>
      </c>
      <c r="I476" s="6">
        <v>1</v>
      </c>
      <c r="J476" s="6">
        <v>0.12</v>
      </c>
      <c r="K476" s="6">
        <v>0.1061</v>
      </c>
      <c r="L476" s="6">
        <v>0.3</v>
      </c>
      <c r="M476" s="6">
        <v>0.32840000000000003</v>
      </c>
      <c r="N476" s="6">
        <v>3</v>
      </c>
      <c r="O476" s="6">
        <v>93</v>
      </c>
      <c r="P476" s="7">
        <v>96</v>
      </c>
    </row>
    <row r="477" spans="1:16" x14ac:dyDescent="0.3">
      <c r="A477" s="8">
        <v>476</v>
      </c>
      <c r="B477" s="12">
        <v>40564</v>
      </c>
      <c r="C477" s="9">
        <v>1</v>
      </c>
      <c r="D477" s="9">
        <v>0</v>
      </c>
      <c r="E477" s="9">
        <v>1</v>
      </c>
      <c r="F477" s="9">
        <v>20</v>
      </c>
      <c r="G477" s="9" t="b">
        <v>0</v>
      </c>
      <c r="H477" s="9">
        <v>5</v>
      </c>
      <c r="I477" s="9">
        <v>1</v>
      </c>
      <c r="J477" s="9">
        <v>0.1</v>
      </c>
      <c r="K477" s="9">
        <v>7.5800000000000006E-2</v>
      </c>
      <c r="L477" s="9">
        <v>0.33</v>
      </c>
      <c r="M477" s="9">
        <v>0.41789999999999999</v>
      </c>
      <c r="N477" s="9">
        <v>1</v>
      </c>
      <c r="O477" s="9">
        <v>52</v>
      </c>
      <c r="P477" s="10">
        <v>53</v>
      </c>
    </row>
    <row r="478" spans="1:16" x14ac:dyDescent="0.3">
      <c r="A478" s="5">
        <v>477</v>
      </c>
      <c r="B478" s="11">
        <v>40564</v>
      </c>
      <c r="C478" s="6">
        <v>1</v>
      </c>
      <c r="D478" s="6">
        <v>0</v>
      </c>
      <c r="E478" s="6">
        <v>1</v>
      </c>
      <c r="F478" s="6">
        <v>21</v>
      </c>
      <c r="G478" s="6" t="b">
        <v>0</v>
      </c>
      <c r="H478" s="6">
        <v>5</v>
      </c>
      <c r="I478" s="6">
        <v>1</v>
      </c>
      <c r="J478" s="6">
        <v>0.08</v>
      </c>
      <c r="K478" s="6">
        <v>7.5800000000000006E-2</v>
      </c>
      <c r="L478" s="6">
        <v>0.38</v>
      </c>
      <c r="M478" s="6">
        <v>0.28360000000000002</v>
      </c>
      <c r="N478" s="6">
        <v>0</v>
      </c>
      <c r="O478" s="6">
        <v>41</v>
      </c>
      <c r="P478" s="7">
        <v>41</v>
      </c>
    </row>
    <row r="479" spans="1:16" x14ac:dyDescent="0.3">
      <c r="A479" s="8">
        <v>478</v>
      </c>
      <c r="B479" s="12">
        <v>40564</v>
      </c>
      <c r="C479" s="9">
        <v>1</v>
      </c>
      <c r="D479" s="9">
        <v>0</v>
      </c>
      <c r="E479" s="9">
        <v>1</v>
      </c>
      <c r="F479" s="9">
        <v>22</v>
      </c>
      <c r="G479" s="9" t="b">
        <v>0</v>
      </c>
      <c r="H479" s="9">
        <v>5</v>
      </c>
      <c r="I479" s="9">
        <v>1</v>
      </c>
      <c r="J479" s="9">
        <v>0.06</v>
      </c>
      <c r="K479" s="9">
        <v>3.0300000000000001E-2</v>
      </c>
      <c r="L479" s="9">
        <v>0.41</v>
      </c>
      <c r="M479" s="9">
        <v>0.3881</v>
      </c>
      <c r="N479" s="9">
        <v>1</v>
      </c>
      <c r="O479" s="9">
        <v>33</v>
      </c>
      <c r="P479" s="10">
        <v>34</v>
      </c>
    </row>
    <row r="480" spans="1:16" x14ac:dyDescent="0.3">
      <c r="A480" s="5">
        <v>479</v>
      </c>
      <c r="B480" s="11">
        <v>40564</v>
      </c>
      <c r="C480" s="6">
        <v>1</v>
      </c>
      <c r="D480" s="6">
        <v>0</v>
      </c>
      <c r="E480" s="6">
        <v>1</v>
      </c>
      <c r="F480" s="6">
        <v>23</v>
      </c>
      <c r="G480" s="6" t="b">
        <v>0</v>
      </c>
      <c r="H480" s="6">
        <v>5</v>
      </c>
      <c r="I480" s="6">
        <v>1</v>
      </c>
      <c r="J480" s="6">
        <v>0.06</v>
      </c>
      <c r="K480" s="6">
        <v>4.5499999999999999E-2</v>
      </c>
      <c r="L480" s="6">
        <v>0.38</v>
      </c>
      <c r="M480" s="6">
        <v>0.32840000000000003</v>
      </c>
      <c r="N480" s="6">
        <v>0</v>
      </c>
      <c r="O480" s="6">
        <v>27</v>
      </c>
      <c r="P480" s="7">
        <v>27</v>
      </c>
    </row>
    <row r="481" spans="1:16" x14ac:dyDescent="0.3">
      <c r="A481" s="8">
        <v>480</v>
      </c>
      <c r="B481" s="12">
        <v>40565</v>
      </c>
      <c r="C481" s="9">
        <v>1</v>
      </c>
      <c r="D481" s="9">
        <v>0</v>
      </c>
      <c r="E481" s="9">
        <v>1</v>
      </c>
      <c r="F481" s="9">
        <v>0</v>
      </c>
      <c r="G481" s="9" t="b">
        <v>0</v>
      </c>
      <c r="H481" s="9">
        <v>6</v>
      </c>
      <c r="I481" s="9">
        <v>1</v>
      </c>
      <c r="J481" s="9">
        <v>0.04</v>
      </c>
      <c r="K481" s="9">
        <v>3.0300000000000001E-2</v>
      </c>
      <c r="L481" s="9">
        <v>0.45</v>
      </c>
      <c r="M481" s="9">
        <v>0.25369999999999998</v>
      </c>
      <c r="N481" s="9">
        <v>0</v>
      </c>
      <c r="O481" s="9">
        <v>13</v>
      </c>
      <c r="P481" s="10">
        <v>13</v>
      </c>
    </row>
    <row r="482" spans="1:16" x14ac:dyDescent="0.3">
      <c r="A482" s="5">
        <v>481</v>
      </c>
      <c r="B482" s="11">
        <v>40565</v>
      </c>
      <c r="C482" s="6">
        <v>1</v>
      </c>
      <c r="D482" s="6">
        <v>0</v>
      </c>
      <c r="E482" s="6">
        <v>1</v>
      </c>
      <c r="F482" s="6">
        <v>1</v>
      </c>
      <c r="G482" s="6" t="b">
        <v>0</v>
      </c>
      <c r="H482" s="6">
        <v>6</v>
      </c>
      <c r="I482" s="6">
        <v>2</v>
      </c>
      <c r="J482" s="6">
        <v>0.04</v>
      </c>
      <c r="K482" s="6">
        <v>0</v>
      </c>
      <c r="L482" s="6">
        <v>0.41</v>
      </c>
      <c r="M482" s="6">
        <v>0.3881</v>
      </c>
      <c r="N482" s="6">
        <v>3</v>
      </c>
      <c r="O482" s="6">
        <v>9</v>
      </c>
      <c r="P482" s="7">
        <v>12</v>
      </c>
    </row>
    <row r="483" spans="1:16" x14ac:dyDescent="0.3">
      <c r="A483" s="8">
        <v>482</v>
      </c>
      <c r="B483" s="12">
        <v>40565</v>
      </c>
      <c r="C483" s="9">
        <v>1</v>
      </c>
      <c r="D483" s="9">
        <v>0</v>
      </c>
      <c r="E483" s="9">
        <v>1</v>
      </c>
      <c r="F483" s="9">
        <v>2</v>
      </c>
      <c r="G483" s="9" t="b">
        <v>0</v>
      </c>
      <c r="H483" s="9">
        <v>6</v>
      </c>
      <c r="I483" s="9">
        <v>2</v>
      </c>
      <c r="J483" s="9">
        <v>0.04</v>
      </c>
      <c r="K483" s="9">
        <v>3.0300000000000001E-2</v>
      </c>
      <c r="L483" s="9">
        <v>0.41</v>
      </c>
      <c r="M483" s="9">
        <v>0.25369999999999998</v>
      </c>
      <c r="N483" s="9">
        <v>0</v>
      </c>
      <c r="O483" s="9">
        <v>11</v>
      </c>
      <c r="P483" s="10">
        <v>11</v>
      </c>
    </row>
    <row r="484" spans="1:16" x14ac:dyDescent="0.3">
      <c r="A484" s="5">
        <v>483</v>
      </c>
      <c r="B484" s="11">
        <v>40565</v>
      </c>
      <c r="C484" s="6">
        <v>1</v>
      </c>
      <c r="D484" s="6">
        <v>0</v>
      </c>
      <c r="E484" s="6">
        <v>1</v>
      </c>
      <c r="F484" s="6">
        <v>3</v>
      </c>
      <c r="G484" s="6" t="b">
        <v>0</v>
      </c>
      <c r="H484" s="6">
        <v>6</v>
      </c>
      <c r="I484" s="6">
        <v>2</v>
      </c>
      <c r="J484" s="6">
        <v>0.04</v>
      </c>
      <c r="K484" s="6">
        <v>3.0300000000000001E-2</v>
      </c>
      <c r="L484" s="6">
        <v>0.41</v>
      </c>
      <c r="M484" s="6">
        <v>0.28360000000000002</v>
      </c>
      <c r="N484" s="6">
        <v>1</v>
      </c>
      <c r="O484" s="6">
        <v>6</v>
      </c>
      <c r="P484" s="7">
        <v>7</v>
      </c>
    </row>
    <row r="485" spans="1:16" x14ac:dyDescent="0.3">
      <c r="A485" s="8">
        <v>484</v>
      </c>
      <c r="B485" s="12">
        <v>40565</v>
      </c>
      <c r="C485" s="9">
        <v>1</v>
      </c>
      <c r="D485" s="9">
        <v>0</v>
      </c>
      <c r="E485" s="9">
        <v>1</v>
      </c>
      <c r="F485" s="9">
        <v>4</v>
      </c>
      <c r="G485" s="9" t="b">
        <v>0</v>
      </c>
      <c r="H485" s="9">
        <v>6</v>
      </c>
      <c r="I485" s="9">
        <v>2</v>
      </c>
      <c r="J485" s="9">
        <v>0.02</v>
      </c>
      <c r="K485" s="9">
        <v>1.52E-2</v>
      </c>
      <c r="L485" s="9">
        <v>0.48</v>
      </c>
      <c r="M485" s="9">
        <v>0.29849999999999999</v>
      </c>
      <c r="N485" s="9">
        <v>0</v>
      </c>
      <c r="O485" s="9">
        <v>3</v>
      </c>
      <c r="P485" s="10">
        <v>3</v>
      </c>
    </row>
    <row r="486" spans="1:16" x14ac:dyDescent="0.3">
      <c r="A486" s="5">
        <v>485</v>
      </c>
      <c r="B486" s="11">
        <v>40565</v>
      </c>
      <c r="C486" s="6">
        <v>1</v>
      </c>
      <c r="D486" s="6">
        <v>0</v>
      </c>
      <c r="E486" s="6">
        <v>1</v>
      </c>
      <c r="F486" s="6">
        <v>6</v>
      </c>
      <c r="G486" s="6" t="b">
        <v>0</v>
      </c>
      <c r="H486" s="6">
        <v>6</v>
      </c>
      <c r="I486" s="6">
        <v>2</v>
      </c>
      <c r="J486" s="6">
        <v>0.02</v>
      </c>
      <c r="K486" s="6">
        <v>3.0300000000000001E-2</v>
      </c>
      <c r="L486" s="6">
        <v>0.44</v>
      </c>
      <c r="M486" s="6">
        <v>0.22389999999999999</v>
      </c>
      <c r="N486" s="6">
        <v>0</v>
      </c>
      <c r="O486" s="6">
        <v>2</v>
      </c>
      <c r="P486" s="7">
        <v>2</v>
      </c>
    </row>
    <row r="487" spans="1:16" x14ac:dyDescent="0.3">
      <c r="A487" s="8">
        <v>486</v>
      </c>
      <c r="B487" s="12">
        <v>40565</v>
      </c>
      <c r="C487" s="9">
        <v>1</v>
      </c>
      <c r="D487" s="9">
        <v>0</v>
      </c>
      <c r="E487" s="9">
        <v>1</v>
      </c>
      <c r="F487" s="9">
        <v>7</v>
      </c>
      <c r="G487" s="9" t="b">
        <v>0</v>
      </c>
      <c r="H487" s="9">
        <v>6</v>
      </c>
      <c r="I487" s="9">
        <v>1</v>
      </c>
      <c r="J487" s="9">
        <v>0.02</v>
      </c>
      <c r="K487" s="9">
        <v>1.52E-2</v>
      </c>
      <c r="L487" s="9">
        <v>0.44</v>
      </c>
      <c r="M487" s="9">
        <v>0.28360000000000002</v>
      </c>
      <c r="N487" s="9">
        <v>0</v>
      </c>
      <c r="O487" s="9">
        <v>8</v>
      </c>
      <c r="P487" s="10">
        <v>8</v>
      </c>
    </row>
    <row r="488" spans="1:16" x14ac:dyDescent="0.3">
      <c r="A488" s="5">
        <v>487</v>
      </c>
      <c r="B488" s="11">
        <v>40565</v>
      </c>
      <c r="C488" s="6">
        <v>1</v>
      </c>
      <c r="D488" s="6">
        <v>0</v>
      </c>
      <c r="E488" s="6">
        <v>1</v>
      </c>
      <c r="F488" s="6">
        <v>8</v>
      </c>
      <c r="G488" s="6" t="b">
        <v>0</v>
      </c>
      <c r="H488" s="6">
        <v>6</v>
      </c>
      <c r="I488" s="6">
        <v>1</v>
      </c>
      <c r="J488" s="6">
        <v>0.02</v>
      </c>
      <c r="K488" s="6">
        <v>0</v>
      </c>
      <c r="L488" s="6">
        <v>0.44</v>
      </c>
      <c r="M488" s="6">
        <v>0.32840000000000003</v>
      </c>
      <c r="N488" s="6">
        <v>1</v>
      </c>
      <c r="O488" s="6">
        <v>26</v>
      </c>
      <c r="P488" s="7">
        <v>27</v>
      </c>
    </row>
    <row r="489" spans="1:16" x14ac:dyDescent="0.3">
      <c r="A489" s="8">
        <v>488</v>
      </c>
      <c r="B489" s="12">
        <v>40565</v>
      </c>
      <c r="C489" s="9">
        <v>1</v>
      </c>
      <c r="D489" s="9">
        <v>0</v>
      </c>
      <c r="E489" s="9">
        <v>1</v>
      </c>
      <c r="F489" s="9">
        <v>9</v>
      </c>
      <c r="G489" s="9" t="b">
        <v>0</v>
      </c>
      <c r="H489" s="9">
        <v>6</v>
      </c>
      <c r="I489" s="9">
        <v>1</v>
      </c>
      <c r="J489" s="9">
        <v>0.04</v>
      </c>
      <c r="K489" s="9">
        <v>3.0300000000000001E-2</v>
      </c>
      <c r="L489" s="9">
        <v>0.41</v>
      </c>
      <c r="M489" s="9">
        <v>0.25369999999999998</v>
      </c>
      <c r="N489" s="9">
        <v>3</v>
      </c>
      <c r="O489" s="9">
        <v>37</v>
      </c>
      <c r="P489" s="10">
        <v>40</v>
      </c>
    </row>
    <row r="490" spans="1:16" x14ac:dyDescent="0.3">
      <c r="A490" s="5">
        <v>489</v>
      </c>
      <c r="B490" s="11">
        <v>40565</v>
      </c>
      <c r="C490" s="6">
        <v>1</v>
      </c>
      <c r="D490" s="6">
        <v>0</v>
      </c>
      <c r="E490" s="6">
        <v>1</v>
      </c>
      <c r="F490" s="6">
        <v>10</v>
      </c>
      <c r="G490" s="6" t="b">
        <v>0</v>
      </c>
      <c r="H490" s="6">
        <v>6</v>
      </c>
      <c r="I490" s="6">
        <v>2</v>
      </c>
      <c r="J490" s="6">
        <v>0.04</v>
      </c>
      <c r="K490" s="6">
        <v>6.0600000000000001E-2</v>
      </c>
      <c r="L490" s="6">
        <v>0.41</v>
      </c>
      <c r="M490" s="6">
        <v>0.16420000000000001</v>
      </c>
      <c r="N490" s="6">
        <v>3</v>
      </c>
      <c r="O490" s="6">
        <v>50</v>
      </c>
      <c r="P490" s="7">
        <v>53</v>
      </c>
    </row>
    <row r="491" spans="1:16" x14ac:dyDescent="0.3">
      <c r="A491" s="8">
        <v>490</v>
      </c>
      <c r="B491" s="12">
        <v>40565</v>
      </c>
      <c r="C491" s="9">
        <v>1</v>
      </c>
      <c r="D491" s="9">
        <v>0</v>
      </c>
      <c r="E491" s="9">
        <v>1</v>
      </c>
      <c r="F491" s="9">
        <v>11</v>
      </c>
      <c r="G491" s="9" t="b">
        <v>0</v>
      </c>
      <c r="H491" s="9">
        <v>6</v>
      </c>
      <c r="I491" s="9">
        <v>2</v>
      </c>
      <c r="J491" s="9">
        <v>0.06</v>
      </c>
      <c r="K491" s="9">
        <v>7.5800000000000006E-2</v>
      </c>
      <c r="L491" s="9">
        <v>0.38</v>
      </c>
      <c r="M491" s="9">
        <v>0.1343</v>
      </c>
      <c r="N491" s="9">
        <v>4</v>
      </c>
      <c r="O491" s="9">
        <v>59</v>
      </c>
      <c r="P491" s="10">
        <v>63</v>
      </c>
    </row>
    <row r="492" spans="1:16" x14ac:dyDescent="0.3">
      <c r="A492" s="5">
        <v>491</v>
      </c>
      <c r="B492" s="11">
        <v>40565</v>
      </c>
      <c r="C492" s="6">
        <v>1</v>
      </c>
      <c r="D492" s="6">
        <v>0</v>
      </c>
      <c r="E492" s="6">
        <v>1</v>
      </c>
      <c r="F492" s="6">
        <v>12</v>
      </c>
      <c r="G492" s="6" t="b">
        <v>0</v>
      </c>
      <c r="H492" s="6">
        <v>6</v>
      </c>
      <c r="I492" s="6">
        <v>2</v>
      </c>
      <c r="J492" s="6">
        <v>0.06</v>
      </c>
      <c r="K492" s="6">
        <v>0.1061</v>
      </c>
      <c r="L492" s="6">
        <v>0.38</v>
      </c>
      <c r="M492" s="6">
        <v>0.1045</v>
      </c>
      <c r="N492" s="6">
        <v>10</v>
      </c>
      <c r="O492" s="6">
        <v>60</v>
      </c>
      <c r="P492" s="7">
        <v>70</v>
      </c>
    </row>
    <row r="493" spans="1:16" x14ac:dyDescent="0.3">
      <c r="A493" s="8">
        <v>492</v>
      </c>
      <c r="B493" s="12">
        <v>40565</v>
      </c>
      <c r="C493" s="9">
        <v>1</v>
      </c>
      <c r="D493" s="9">
        <v>0</v>
      </c>
      <c r="E493" s="9">
        <v>1</v>
      </c>
      <c r="F493" s="9">
        <v>13</v>
      </c>
      <c r="G493" s="9" t="b">
        <v>0</v>
      </c>
      <c r="H493" s="9">
        <v>6</v>
      </c>
      <c r="I493" s="9">
        <v>1</v>
      </c>
      <c r="J493" s="9">
        <v>0.08</v>
      </c>
      <c r="K493" s="9">
        <v>0.16669999999999999</v>
      </c>
      <c r="L493" s="9">
        <v>0.35</v>
      </c>
      <c r="M493" s="9">
        <v>0</v>
      </c>
      <c r="N493" s="9">
        <v>12</v>
      </c>
      <c r="O493" s="9">
        <v>72</v>
      </c>
      <c r="P493" s="10">
        <v>84</v>
      </c>
    </row>
    <row r="494" spans="1:16" x14ac:dyDescent="0.3">
      <c r="A494" s="5">
        <v>493</v>
      </c>
      <c r="B494" s="11">
        <v>40565</v>
      </c>
      <c r="C494" s="6">
        <v>1</v>
      </c>
      <c r="D494" s="6">
        <v>0</v>
      </c>
      <c r="E494" s="6">
        <v>1</v>
      </c>
      <c r="F494" s="6">
        <v>14</v>
      </c>
      <c r="G494" s="6" t="b">
        <v>0</v>
      </c>
      <c r="H494" s="6">
        <v>6</v>
      </c>
      <c r="I494" s="6">
        <v>1</v>
      </c>
      <c r="J494" s="6">
        <v>0.1</v>
      </c>
      <c r="K494" s="6">
        <v>0.13639999999999999</v>
      </c>
      <c r="L494" s="6">
        <v>0.33</v>
      </c>
      <c r="M494" s="6">
        <v>0.1045</v>
      </c>
      <c r="N494" s="6">
        <v>11</v>
      </c>
      <c r="O494" s="6">
        <v>64</v>
      </c>
      <c r="P494" s="7">
        <v>75</v>
      </c>
    </row>
    <row r="495" spans="1:16" x14ac:dyDescent="0.3">
      <c r="A495" s="8">
        <v>494</v>
      </c>
      <c r="B495" s="12">
        <v>40565</v>
      </c>
      <c r="C495" s="9">
        <v>1</v>
      </c>
      <c r="D495" s="9">
        <v>0</v>
      </c>
      <c r="E495" s="9">
        <v>1</v>
      </c>
      <c r="F495" s="9">
        <v>15</v>
      </c>
      <c r="G495" s="9" t="b">
        <v>0</v>
      </c>
      <c r="H495" s="9">
        <v>6</v>
      </c>
      <c r="I495" s="9">
        <v>1</v>
      </c>
      <c r="J495" s="9">
        <v>0.12</v>
      </c>
      <c r="K495" s="9">
        <v>0.1515</v>
      </c>
      <c r="L495" s="9">
        <v>0.28000000000000003</v>
      </c>
      <c r="M495" s="9">
        <v>0</v>
      </c>
      <c r="N495" s="9">
        <v>10</v>
      </c>
      <c r="O495" s="9">
        <v>93</v>
      </c>
      <c r="P495" s="10">
        <v>103</v>
      </c>
    </row>
    <row r="496" spans="1:16" x14ac:dyDescent="0.3">
      <c r="A496" s="5">
        <v>495</v>
      </c>
      <c r="B496" s="11">
        <v>40565</v>
      </c>
      <c r="C496" s="6">
        <v>1</v>
      </c>
      <c r="D496" s="6">
        <v>0</v>
      </c>
      <c r="E496" s="6">
        <v>1</v>
      </c>
      <c r="F496" s="6">
        <v>16</v>
      </c>
      <c r="G496" s="6" t="b">
        <v>0</v>
      </c>
      <c r="H496" s="6">
        <v>6</v>
      </c>
      <c r="I496" s="6">
        <v>1</v>
      </c>
      <c r="J496" s="6">
        <v>0.12</v>
      </c>
      <c r="K496" s="6">
        <v>0.13639999999999999</v>
      </c>
      <c r="L496" s="6">
        <v>0.28000000000000003</v>
      </c>
      <c r="M496" s="6">
        <v>0.19400000000000001</v>
      </c>
      <c r="N496" s="6">
        <v>11</v>
      </c>
      <c r="O496" s="6">
        <v>72</v>
      </c>
      <c r="P496" s="7">
        <v>83</v>
      </c>
    </row>
    <row r="497" spans="1:16" x14ac:dyDescent="0.3">
      <c r="A497" s="8">
        <v>496</v>
      </c>
      <c r="B497" s="12">
        <v>40565</v>
      </c>
      <c r="C497" s="9">
        <v>1</v>
      </c>
      <c r="D497" s="9">
        <v>0</v>
      </c>
      <c r="E497" s="9">
        <v>1</v>
      </c>
      <c r="F497" s="9">
        <v>17</v>
      </c>
      <c r="G497" s="9" t="b">
        <v>0</v>
      </c>
      <c r="H497" s="9">
        <v>6</v>
      </c>
      <c r="I497" s="9">
        <v>1</v>
      </c>
      <c r="J497" s="9">
        <v>0.12</v>
      </c>
      <c r="K497" s="9">
        <v>0.19700000000000001</v>
      </c>
      <c r="L497" s="9">
        <v>0.28000000000000003</v>
      </c>
      <c r="M497" s="9">
        <v>0</v>
      </c>
      <c r="N497" s="9">
        <v>8</v>
      </c>
      <c r="O497" s="9">
        <v>59</v>
      </c>
      <c r="P497" s="10">
        <v>67</v>
      </c>
    </row>
    <row r="498" spans="1:16" x14ac:dyDescent="0.3">
      <c r="A498" s="5">
        <v>497</v>
      </c>
      <c r="B498" s="11">
        <v>40565</v>
      </c>
      <c r="C498" s="6">
        <v>1</v>
      </c>
      <c r="D498" s="6">
        <v>0</v>
      </c>
      <c r="E498" s="6">
        <v>1</v>
      </c>
      <c r="F498" s="6">
        <v>18</v>
      </c>
      <c r="G498" s="6" t="b">
        <v>0</v>
      </c>
      <c r="H498" s="6">
        <v>6</v>
      </c>
      <c r="I498" s="6">
        <v>1</v>
      </c>
      <c r="J498" s="6">
        <v>0.08</v>
      </c>
      <c r="K498" s="6">
        <v>9.0899999999999995E-2</v>
      </c>
      <c r="L498" s="6">
        <v>0.35</v>
      </c>
      <c r="M498" s="6">
        <v>0.19400000000000001</v>
      </c>
      <c r="N498" s="6">
        <v>0</v>
      </c>
      <c r="O498" s="6">
        <v>54</v>
      </c>
      <c r="P498" s="7">
        <v>54</v>
      </c>
    </row>
    <row r="499" spans="1:16" x14ac:dyDescent="0.3">
      <c r="A499" s="8">
        <v>498</v>
      </c>
      <c r="B499" s="12">
        <v>40565</v>
      </c>
      <c r="C499" s="9">
        <v>1</v>
      </c>
      <c r="D499" s="9">
        <v>0</v>
      </c>
      <c r="E499" s="9">
        <v>1</v>
      </c>
      <c r="F499" s="9">
        <v>19</v>
      </c>
      <c r="G499" s="9" t="b">
        <v>0</v>
      </c>
      <c r="H499" s="9">
        <v>6</v>
      </c>
      <c r="I499" s="9">
        <v>1</v>
      </c>
      <c r="J499" s="9">
        <v>0.08</v>
      </c>
      <c r="K499" s="9">
        <v>0.1061</v>
      </c>
      <c r="L499" s="9">
        <v>0.35</v>
      </c>
      <c r="M499" s="9">
        <v>0.1343</v>
      </c>
      <c r="N499" s="9">
        <v>6</v>
      </c>
      <c r="O499" s="9">
        <v>53</v>
      </c>
      <c r="P499" s="10">
        <v>59</v>
      </c>
    </row>
    <row r="500" spans="1:16" x14ac:dyDescent="0.3">
      <c r="A500" s="5">
        <v>499</v>
      </c>
      <c r="B500" s="11">
        <v>40565</v>
      </c>
      <c r="C500" s="6">
        <v>1</v>
      </c>
      <c r="D500" s="6">
        <v>0</v>
      </c>
      <c r="E500" s="6">
        <v>1</v>
      </c>
      <c r="F500" s="6">
        <v>20</v>
      </c>
      <c r="G500" s="6" t="b">
        <v>0</v>
      </c>
      <c r="H500" s="6">
        <v>6</v>
      </c>
      <c r="I500" s="6">
        <v>1</v>
      </c>
      <c r="J500" s="6">
        <v>0.06</v>
      </c>
      <c r="K500" s="6">
        <v>7.5800000000000006E-2</v>
      </c>
      <c r="L500" s="6">
        <v>0.45</v>
      </c>
      <c r="M500" s="6">
        <v>0.16420000000000001</v>
      </c>
      <c r="N500" s="6">
        <v>1</v>
      </c>
      <c r="O500" s="6">
        <v>44</v>
      </c>
      <c r="P500" s="7">
        <v>45</v>
      </c>
    </row>
    <row r="501" spans="1:16" x14ac:dyDescent="0.3">
      <c r="A501" s="8">
        <v>500</v>
      </c>
      <c r="B501" s="12">
        <v>40565</v>
      </c>
      <c r="C501" s="9">
        <v>1</v>
      </c>
      <c r="D501" s="9">
        <v>0</v>
      </c>
      <c r="E501" s="9">
        <v>1</v>
      </c>
      <c r="F501" s="9">
        <v>21</v>
      </c>
      <c r="G501" s="9" t="b">
        <v>0</v>
      </c>
      <c r="H501" s="9">
        <v>6</v>
      </c>
      <c r="I501" s="9">
        <v>1</v>
      </c>
      <c r="J501" s="9">
        <v>0.06</v>
      </c>
      <c r="K501" s="9">
        <v>0.1061</v>
      </c>
      <c r="L501" s="9">
        <v>0.41</v>
      </c>
      <c r="M501" s="9">
        <v>8.9599999999999999E-2</v>
      </c>
      <c r="N501" s="9">
        <v>0</v>
      </c>
      <c r="O501" s="9">
        <v>39</v>
      </c>
      <c r="P501" s="10">
        <v>39</v>
      </c>
    </row>
    <row r="502" spans="1:16" x14ac:dyDescent="0.3">
      <c r="A502" s="5">
        <v>501</v>
      </c>
      <c r="B502" s="11">
        <v>40565</v>
      </c>
      <c r="C502" s="6">
        <v>1</v>
      </c>
      <c r="D502" s="6">
        <v>0</v>
      </c>
      <c r="E502" s="6">
        <v>1</v>
      </c>
      <c r="F502" s="6">
        <v>22</v>
      </c>
      <c r="G502" s="6" t="b">
        <v>0</v>
      </c>
      <c r="H502" s="6">
        <v>6</v>
      </c>
      <c r="I502" s="6">
        <v>1</v>
      </c>
      <c r="J502" s="6">
        <v>0.06</v>
      </c>
      <c r="K502" s="6">
        <v>0.1515</v>
      </c>
      <c r="L502" s="6">
        <v>0.49</v>
      </c>
      <c r="M502" s="6">
        <v>0</v>
      </c>
      <c r="N502" s="6">
        <v>7</v>
      </c>
      <c r="O502" s="6">
        <v>23</v>
      </c>
      <c r="P502" s="7">
        <v>30</v>
      </c>
    </row>
    <row r="503" spans="1:16" x14ac:dyDescent="0.3">
      <c r="A503" s="8">
        <v>502</v>
      </c>
      <c r="B503" s="12">
        <v>40565</v>
      </c>
      <c r="C503" s="9">
        <v>1</v>
      </c>
      <c r="D503" s="9">
        <v>0</v>
      </c>
      <c r="E503" s="9">
        <v>1</v>
      </c>
      <c r="F503" s="9">
        <v>23</v>
      </c>
      <c r="G503" s="9" t="b">
        <v>0</v>
      </c>
      <c r="H503" s="9">
        <v>6</v>
      </c>
      <c r="I503" s="9">
        <v>1</v>
      </c>
      <c r="J503" s="9">
        <v>0.04</v>
      </c>
      <c r="K503" s="9">
        <v>7.5800000000000006E-2</v>
      </c>
      <c r="L503" s="9">
        <v>0.56999999999999995</v>
      </c>
      <c r="M503" s="9">
        <v>0.1045</v>
      </c>
      <c r="N503" s="9">
        <v>2</v>
      </c>
      <c r="O503" s="9">
        <v>31</v>
      </c>
      <c r="P503" s="10">
        <v>33</v>
      </c>
    </row>
    <row r="504" spans="1:16" x14ac:dyDescent="0.3">
      <c r="A504" s="5">
        <v>503</v>
      </c>
      <c r="B504" s="11">
        <v>40566</v>
      </c>
      <c r="C504" s="6">
        <v>1</v>
      </c>
      <c r="D504" s="6">
        <v>0</v>
      </c>
      <c r="E504" s="6">
        <v>1</v>
      </c>
      <c r="F504" s="6">
        <v>0</v>
      </c>
      <c r="G504" s="6" t="b">
        <v>0</v>
      </c>
      <c r="H504" s="6">
        <v>0</v>
      </c>
      <c r="I504" s="6">
        <v>1</v>
      </c>
      <c r="J504" s="6">
        <v>0.04</v>
      </c>
      <c r="K504" s="6">
        <v>7.5800000000000006E-2</v>
      </c>
      <c r="L504" s="6">
        <v>0.56999999999999995</v>
      </c>
      <c r="M504" s="6">
        <v>0.1045</v>
      </c>
      <c r="N504" s="6">
        <v>2</v>
      </c>
      <c r="O504" s="6">
        <v>20</v>
      </c>
      <c r="P504" s="7">
        <v>22</v>
      </c>
    </row>
    <row r="505" spans="1:16" x14ac:dyDescent="0.3">
      <c r="A505" s="8">
        <v>504</v>
      </c>
      <c r="B505" s="12">
        <v>40566</v>
      </c>
      <c r="C505" s="9">
        <v>1</v>
      </c>
      <c r="D505" s="9">
        <v>0</v>
      </c>
      <c r="E505" s="9">
        <v>1</v>
      </c>
      <c r="F505" s="9">
        <v>1</v>
      </c>
      <c r="G505" s="9" t="b">
        <v>0</v>
      </c>
      <c r="H505" s="9">
        <v>0</v>
      </c>
      <c r="I505" s="9">
        <v>1</v>
      </c>
      <c r="J505" s="9">
        <v>0.04</v>
      </c>
      <c r="K505" s="9">
        <v>7.5800000000000006E-2</v>
      </c>
      <c r="L505" s="9">
        <v>0.56999999999999995</v>
      </c>
      <c r="M505" s="9">
        <v>0.1045</v>
      </c>
      <c r="N505" s="9">
        <v>1</v>
      </c>
      <c r="O505" s="9">
        <v>12</v>
      </c>
      <c r="P505" s="10">
        <v>13</v>
      </c>
    </row>
    <row r="506" spans="1:16" x14ac:dyDescent="0.3">
      <c r="A506" s="5">
        <v>505</v>
      </c>
      <c r="B506" s="11">
        <v>40566</v>
      </c>
      <c r="C506" s="6">
        <v>1</v>
      </c>
      <c r="D506" s="6">
        <v>0</v>
      </c>
      <c r="E506" s="6">
        <v>1</v>
      </c>
      <c r="F506" s="6">
        <v>2</v>
      </c>
      <c r="G506" s="6" t="b">
        <v>0</v>
      </c>
      <c r="H506" s="6">
        <v>0</v>
      </c>
      <c r="I506" s="6">
        <v>1</v>
      </c>
      <c r="J506" s="6">
        <v>0.02</v>
      </c>
      <c r="K506" s="6">
        <v>6.0600000000000001E-2</v>
      </c>
      <c r="L506" s="6">
        <v>0.62</v>
      </c>
      <c r="M506" s="6">
        <v>0.1343</v>
      </c>
      <c r="N506" s="6">
        <v>3</v>
      </c>
      <c r="O506" s="6">
        <v>15</v>
      </c>
      <c r="P506" s="7">
        <v>18</v>
      </c>
    </row>
    <row r="507" spans="1:16" x14ac:dyDescent="0.3">
      <c r="A507" s="8">
        <v>506</v>
      </c>
      <c r="B507" s="12">
        <v>40566</v>
      </c>
      <c r="C507" s="9">
        <v>1</v>
      </c>
      <c r="D507" s="9">
        <v>0</v>
      </c>
      <c r="E507" s="9">
        <v>1</v>
      </c>
      <c r="F507" s="9">
        <v>3</v>
      </c>
      <c r="G507" s="9" t="b">
        <v>0</v>
      </c>
      <c r="H507" s="9">
        <v>0</v>
      </c>
      <c r="I507" s="9">
        <v>1</v>
      </c>
      <c r="J507" s="9">
        <v>0.02</v>
      </c>
      <c r="K507" s="9">
        <v>6.0600000000000001E-2</v>
      </c>
      <c r="L507" s="9">
        <v>0.62</v>
      </c>
      <c r="M507" s="9">
        <v>0.1343</v>
      </c>
      <c r="N507" s="9">
        <v>1</v>
      </c>
      <c r="O507" s="9">
        <v>4</v>
      </c>
      <c r="P507" s="10">
        <v>5</v>
      </c>
    </row>
    <row r="508" spans="1:16" x14ac:dyDescent="0.3">
      <c r="A508" s="5">
        <v>507</v>
      </c>
      <c r="B508" s="11">
        <v>40566</v>
      </c>
      <c r="C508" s="6">
        <v>1</v>
      </c>
      <c r="D508" s="6">
        <v>0</v>
      </c>
      <c r="E508" s="6">
        <v>1</v>
      </c>
      <c r="F508" s="6">
        <v>5</v>
      </c>
      <c r="G508" s="6" t="b">
        <v>0</v>
      </c>
      <c r="H508" s="6">
        <v>0</v>
      </c>
      <c r="I508" s="6">
        <v>2</v>
      </c>
      <c r="J508" s="6">
        <v>0.04</v>
      </c>
      <c r="K508" s="6">
        <v>7.5800000000000006E-2</v>
      </c>
      <c r="L508" s="6">
        <v>0.56999999999999995</v>
      </c>
      <c r="M508" s="6">
        <v>0.1045</v>
      </c>
      <c r="N508" s="6">
        <v>0</v>
      </c>
      <c r="O508" s="6">
        <v>3</v>
      </c>
      <c r="P508" s="7">
        <v>3</v>
      </c>
    </row>
    <row r="509" spans="1:16" x14ac:dyDescent="0.3">
      <c r="A509" s="8">
        <v>508</v>
      </c>
      <c r="B509" s="12">
        <v>40566</v>
      </c>
      <c r="C509" s="9">
        <v>1</v>
      </c>
      <c r="D509" s="9">
        <v>0</v>
      </c>
      <c r="E509" s="9">
        <v>1</v>
      </c>
      <c r="F509" s="9">
        <v>6</v>
      </c>
      <c r="G509" s="9" t="b">
        <v>0</v>
      </c>
      <c r="H509" s="9">
        <v>0</v>
      </c>
      <c r="I509" s="9">
        <v>2</v>
      </c>
      <c r="J509" s="9">
        <v>0.04</v>
      </c>
      <c r="K509" s="9">
        <v>7.5800000000000006E-2</v>
      </c>
      <c r="L509" s="9">
        <v>0.56999999999999995</v>
      </c>
      <c r="M509" s="9">
        <v>0.1045</v>
      </c>
      <c r="N509" s="9">
        <v>0</v>
      </c>
      <c r="O509" s="9">
        <v>1</v>
      </c>
      <c r="P509" s="10">
        <v>1</v>
      </c>
    </row>
    <row r="510" spans="1:16" x14ac:dyDescent="0.3">
      <c r="A510" s="5">
        <v>509</v>
      </c>
      <c r="B510" s="11">
        <v>40566</v>
      </c>
      <c r="C510" s="6">
        <v>1</v>
      </c>
      <c r="D510" s="6">
        <v>0</v>
      </c>
      <c r="E510" s="6">
        <v>1</v>
      </c>
      <c r="F510" s="6">
        <v>7</v>
      </c>
      <c r="G510" s="6" t="b">
        <v>0</v>
      </c>
      <c r="H510" s="6">
        <v>0</v>
      </c>
      <c r="I510" s="6">
        <v>1</v>
      </c>
      <c r="J510" s="6">
        <v>0.08</v>
      </c>
      <c r="K510" s="6">
        <v>0.1061</v>
      </c>
      <c r="L510" s="6">
        <v>0.57999999999999996</v>
      </c>
      <c r="M510" s="6">
        <v>0.16420000000000001</v>
      </c>
      <c r="N510" s="6">
        <v>1</v>
      </c>
      <c r="O510" s="6">
        <v>1</v>
      </c>
      <c r="P510" s="7">
        <v>2</v>
      </c>
    </row>
    <row r="511" spans="1:16" x14ac:dyDescent="0.3">
      <c r="A511" s="8">
        <v>510</v>
      </c>
      <c r="B511" s="12">
        <v>40566</v>
      </c>
      <c r="C511" s="9">
        <v>1</v>
      </c>
      <c r="D511" s="9">
        <v>0</v>
      </c>
      <c r="E511" s="9">
        <v>1</v>
      </c>
      <c r="F511" s="9">
        <v>8</v>
      </c>
      <c r="G511" s="9" t="b">
        <v>0</v>
      </c>
      <c r="H511" s="9">
        <v>0</v>
      </c>
      <c r="I511" s="9">
        <v>1</v>
      </c>
      <c r="J511" s="9">
        <v>0.06</v>
      </c>
      <c r="K511" s="9">
        <v>7.5800000000000006E-2</v>
      </c>
      <c r="L511" s="9">
        <v>0.62</v>
      </c>
      <c r="M511" s="9">
        <v>0.16420000000000001</v>
      </c>
      <c r="N511" s="9">
        <v>2</v>
      </c>
      <c r="O511" s="9">
        <v>17</v>
      </c>
      <c r="P511" s="10">
        <v>19</v>
      </c>
    </row>
    <row r="512" spans="1:16" x14ac:dyDescent="0.3">
      <c r="A512" s="5">
        <v>511</v>
      </c>
      <c r="B512" s="11">
        <v>40566</v>
      </c>
      <c r="C512" s="6">
        <v>1</v>
      </c>
      <c r="D512" s="6">
        <v>0</v>
      </c>
      <c r="E512" s="6">
        <v>1</v>
      </c>
      <c r="F512" s="6">
        <v>9</v>
      </c>
      <c r="G512" s="6" t="b">
        <v>0</v>
      </c>
      <c r="H512" s="6">
        <v>0</v>
      </c>
      <c r="I512" s="6">
        <v>1</v>
      </c>
      <c r="J512" s="6">
        <v>0.1</v>
      </c>
      <c r="K512" s="6">
        <v>7.5800000000000006E-2</v>
      </c>
      <c r="L512" s="6">
        <v>0.54</v>
      </c>
      <c r="M512" s="6">
        <v>0.35820000000000002</v>
      </c>
      <c r="N512" s="6">
        <v>3</v>
      </c>
      <c r="O512" s="6">
        <v>25</v>
      </c>
      <c r="P512" s="7">
        <v>28</v>
      </c>
    </row>
    <row r="513" spans="1:16" x14ac:dyDescent="0.3">
      <c r="A513" s="8">
        <v>512</v>
      </c>
      <c r="B513" s="12">
        <v>40566</v>
      </c>
      <c r="C513" s="9">
        <v>1</v>
      </c>
      <c r="D513" s="9">
        <v>0</v>
      </c>
      <c r="E513" s="9">
        <v>1</v>
      </c>
      <c r="F513" s="9">
        <v>10</v>
      </c>
      <c r="G513" s="9" t="b">
        <v>0</v>
      </c>
      <c r="H513" s="9">
        <v>0</v>
      </c>
      <c r="I513" s="9">
        <v>1</v>
      </c>
      <c r="J513" s="9">
        <v>0.14000000000000001</v>
      </c>
      <c r="K513" s="9">
        <v>0.1061</v>
      </c>
      <c r="L513" s="9">
        <v>0.46</v>
      </c>
      <c r="M513" s="9">
        <v>0.3881</v>
      </c>
      <c r="N513" s="9">
        <v>7</v>
      </c>
      <c r="O513" s="9">
        <v>51</v>
      </c>
      <c r="P513" s="10">
        <v>58</v>
      </c>
    </row>
    <row r="514" spans="1:16" x14ac:dyDescent="0.3">
      <c r="A514" s="5">
        <v>513</v>
      </c>
      <c r="B514" s="11">
        <v>40566</v>
      </c>
      <c r="C514" s="6">
        <v>1</v>
      </c>
      <c r="D514" s="6">
        <v>0</v>
      </c>
      <c r="E514" s="6">
        <v>1</v>
      </c>
      <c r="F514" s="6">
        <v>11</v>
      </c>
      <c r="G514" s="6" t="b">
        <v>0</v>
      </c>
      <c r="H514" s="6">
        <v>0</v>
      </c>
      <c r="I514" s="6">
        <v>1</v>
      </c>
      <c r="J514" s="6">
        <v>0.14000000000000001</v>
      </c>
      <c r="K514" s="6">
        <v>0.13639999999999999</v>
      </c>
      <c r="L514" s="6">
        <v>0.43</v>
      </c>
      <c r="M514" s="6">
        <v>0.22389999999999999</v>
      </c>
      <c r="N514" s="6">
        <v>22</v>
      </c>
      <c r="O514" s="6">
        <v>77</v>
      </c>
      <c r="P514" s="7">
        <v>99</v>
      </c>
    </row>
    <row r="515" spans="1:16" x14ac:dyDescent="0.3">
      <c r="A515" s="8">
        <v>514</v>
      </c>
      <c r="B515" s="12">
        <v>40566</v>
      </c>
      <c r="C515" s="9">
        <v>1</v>
      </c>
      <c r="D515" s="9">
        <v>0</v>
      </c>
      <c r="E515" s="9">
        <v>1</v>
      </c>
      <c r="F515" s="9">
        <v>12</v>
      </c>
      <c r="G515" s="9" t="b">
        <v>0</v>
      </c>
      <c r="H515" s="9">
        <v>0</v>
      </c>
      <c r="I515" s="9">
        <v>1</v>
      </c>
      <c r="J515" s="9">
        <v>0.16</v>
      </c>
      <c r="K515" s="9">
        <v>0.1212</v>
      </c>
      <c r="L515" s="9">
        <v>0.37</v>
      </c>
      <c r="M515" s="9">
        <v>0.4627</v>
      </c>
      <c r="N515" s="9">
        <v>24</v>
      </c>
      <c r="O515" s="9">
        <v>92</v>
      </c>
      <c r="P515" s="10">
        <v>116</v>
      </c>
    </row>
    <row r="516" spans="1:16" x14ac:dyDescent="0.3">
      <c r="A516" s="5">
        <v>515</v>
      </c>
      <c r="B516" s="11">
        <v>40566</v>
      </c>
      <c r="C516" s="6">
        <v>1</v>
      </c>
      <c r="D516" s="6">
        <v>0</v>
      </c>
      <c r="E516" s="6">
        <v>1</v>
      </c>
      <c r="F516" s="6">
        <v>13</v>
      </c>
      <c r="G516" s="6" t="b">
        <v>0</v>
      </c>
      <c r="H516" s="6">
        <v>0</v>
      </c>
      <c r="I516" s="6">
        <v>1</v>
      </c>
      <c r="J516" s="6">
        <v>0.14000000000000001</v>
      </c>
      <c r="K516" s="6">
        <v>0.1061</v>
      </c>
      <c r="L516" s="6">
        <v>0.33</v>
      </c>
      <c r="M516" s="6">
        <v>0.3881</v>
      </c>
      <c r="N516" s="6">
        <v>12</v>
      </c>
      <c r="O516" s="6">
        <v>75</v>
      </c>
      <c r="P516" s="7">
        <v>87</v>
      </c>
    </row>
    <row r="517" spans="1:16" x14ac:dyDescent="0.3">
      <c r="A517" s="8">
        <v>516</v>
      </c>
      <c r="B517" s="12">
        <v>40566</v>
      </c>
      <c r="C517" s="9">
        <v>1</v>
      </c>
      <c r="D517" s="9">
        <v>0</v>
      </c>
      <c r="E517" s="9">
        <v>1</v>
      </c>
      <c r="F517" s="9">
        <v>14</v>
      </c>
      <c r="G517" s="9" t="b">
        <v>0</v>
      </c>
      <c r="H517" s="9">
        <v>0</v>
      </c>
      <c r="I517" s="9">
        <v>1</v>
      </c>
      <c r="J517" s="9">
        <v>0.16</v>
      </c>
      <c r="K517" s="9">
        <v>0.13639999999999999</v>
      </c>
      <c r="L517" s="9">
        <v>0.28000000000000003</v>
      </c>
      <c r="M517" s="9">
        <v>0.35820000000000002</v>
      </c>
      <c r="N517" s="9">
        <v>17</v>
      </c>
      <c r="O517" s="9">
        <v>93</v>
      </c>
      <c r="P517" s="10">
        <v>110</v>
      </c>
    </row>
    <row r="518" spans="1:16" x14ac:dyDescent="0.3">
      <c r="A518" s="5">
        <v>517</v>
      </c>
      <c r="B518" s="11">
        <v>40566</v>
      </c>
      <c r="C518" s="6">
        <v>1</v>
      </c>
      <c r="D518" s="6">
        <v>0</v>
      </c>
      <c r="E518" s="6">
        <v>1</v>
      </c>
      <c r="F518" s="6">
        <v>15</v>
      </c>
      <c r="G518" s="6" t="b">
        <v>0</v>
      </c>
      <c r="H518" s="6">
        <v>0</v>
      </c>
      <c r="I518" s="6">
        <v>1</v>
      </c>
      <c r="J518" s="6">
        <v>0.16</v>
      </c>
      <c r="K518" s="6">
        <v>0.13639999999999999</v>
      </c>
      <c r="L518" s="6">
        <v>0.28000000000000003</v>
      </c>
      <c r="M518" s="6">
        <v>0.35820000000000002</v>
      </c>
      <c r="N518" s="6">
        <v>13</v>
      </c>
      <c r="O518" s="6">
        <v>64</v>
      </c>
      <c r="P518" s="7">
        <v>77</v>
      </c>
    </row>
    <row r="519" spans="1:16" x14ac:dyDescent="0.3">
      <c r="A519" s="8">
        <v>518</v>
      </c>
      <c r="B519" s="12">
        <v>40566</v>
      </c>
      <c r="C519" s="9">
        <v>1</v>
      </c>
      <c r="D519" s="9">
        <v>0</v>
      </c>
      <c r="E519" s="9">
        <v>1</v>
      </c>
      <c r="F519" s="9">
        <v>16</v>
      </c>
      <c r="G519" s="9" t="b">
        <v>0</v>
      </c>
      <c r="H519" s="9">
        <v>0</v>
      </c>
      <c r="I519" s="9">
        <v>1</v>
      </c>
      <c r="J519" s="9">
        <v>0.16</v>
      </c>
      <c r="K519" s="9">
        <v>0.13639999999999999</v>
      </c>
      <c r="L519" s="9">
        <v>0.26</v>
      </c>
      <c r="M519" s="9">
        <v>0.32840000000000003</v>
      </c>
      <c r="N519" s="9">
        <v>9</v>
      </c>
      <c r="O519" s="9">
        <v>56</v>
      </c>
      <c r="P519" s="10">
        <v>65</v>
      </c>
    </row>
    <row r="520" spans="1:16" x14ac:dyDescent="0.3">
      <c r="A520" s="5">
        <v>519</v>
      </c>
      <c r="B520" s="11">
        <v>40566</v>
      </c>
      <c r="C520" s="6">
        <v>1</v>
      </c>
      <c r="D520" s="6">
        <v>0</v>
      </c>
      <c r="E520" s="6">
        <v>1</v>
      </c>
      <c r="F520" s="6">
        <v>17</v>
      </c>
      <c r="G520" s="6" t="b">
        <v>0</v>
      </c>
      <c r="H520" s="6">
        <v>0</v>
      </c>
      <c r="I520" s="6">
        <v>1</v>
      </c>
      <c r="J520" s="6">
        <v>0.14000000000000001</v>
      </c>
      <c r="K520" s="6">
        <v>0.1061</v>
      </c>
      <c r="L520" s="6">
        <v>0.26</v>
      </c>
      <c r="M520" s="6">
        <v>0.3881</v>
      </c>
      <c r="N520" s="6">
        <v>5</v>
      </c>
      <c r="O520" s="6">
        <v>50</v>
      </c>
      <c r="P520" s="7">
        <v>55</v>
      </c>
    </row>
    <row r="521" spans="1:16" x14ac:dyDescent="0.3">
      <c r="A521" s="8">
        <v>520</v>
      </c>
      <c r="B521" s="12">
        <v>40566</v>
      </c>
      <c r="C521" s="9">
        <v>1</v>
      </c>
      <c r="D521" s="9">
        <v>0</v>
      </c>
      <c r="E521" s="9">
        <v>1</v>
      </c>
      <c r="F521" s="9">
        <v>18</v>
      </c>
      <c r="G521" s="9" t="b">
        <v>0</v>
      </c>
      <c r="H521" s="9">
        <v>0</v>
      </c>
      <c r="I521" s="9">
        <v>1</v>
      </c>
      <c r="J521" s="9">
        <v>0.12</v>
      </c>
      <c r="K521" s="9">
        <v>0.1212</v>
      </c>
      <c r="L521" s="9">
        <v>0.3</v>
      </c>
      <c r="M521" s="9">
        <v>0.25369999999999998</v>
      </c>
      <c r="N521" s="9">
        <v>5</v>
      </c>
      <c r="O521" s="9">
        <v>44</v>
      </c>
      <c r="P521" s="10">
        <v>49</v>
      </c>
    </row>
    <row r="522" spans="1:16" x14ac:dyDescent="0.3">
      <c r="A522" s="5">
        <v>521</v>
      </c>
      <c r="B522" s="11">
        <v>40566</v>
      </c>
      <c r="C522" s="6">
        <v>1</v>
      </c>
      <c r="D522" s="6">
        <v>0</v>
      </c>
      <c r="E522" s="6">
        <v>1</v>
      </c>
      <c r="F522" s="6">
        <v>19</v>
      </c>
      <c r="G522" s="6" t="b">
        <v>0</v>
      </c>
      <c r="H522" s="6">
        <v>0</v>
      </c>
      <c r="I522" s="6">
        <v>1</v>
      </c>
      <c r="J522" s="6">
        <v>0.12</v>
      </c>
      <c r="K522" s="6">
        <v>0.1212</v>
      </c>
      <c r="L522" s="6">
        <v>0.3</v>
      </c>
      <c r="M522" s="6">
        <v>0.28360000000000002</v>
      </c>
      <c r="N522" s="6">
        <v>5</v>
      </c>
      <c r="O522" s="6">
        <v>45</v>
      </c>
      <c r="P522" s="7">
        <v>50</v>
      </c>
    </row>
    <row r="523" spans="1:16" x14ac:dyDescent="0.3">
      <c r="A523" s="8">
        <v>522</v>
      </c>
      <c r="B523" s="12">
        <v>40566</v>
      </c>
      <c r="C523" s="9">
        <v>1</v>
      </c>
      <c r="D523" s="9">
        <v>0</v>
      </c>
      <c r="E523" s="9">
        <v>1</v>
      </c>
      <c r="F523" s="9">
        <v>20</v>
      </c>
      <c r="G523" s="9" t="b">
        <v>0</v>
      </c>
      <c r="H523" s="9">
        <v>0</v>
      </c>
      <c r="I523" s="9">
        <v>1</v>
      </c>
      <c r="J523" s="9">
        <v>0.1</v>
      </c>
      <c r="K523" s="9">
        <v>0.1061</v>
      </c>
      <c r="L523" s="9">
        <v>0.36</v>
      </c>
      <c r="M523" s="9">
        <v>0.25369999999999998</v>
      </c>
      <c r="N523" s="9">
        <v>4</v>
      </c>
      <c r="O523" s="9">
        <v>31</v>
      </c>
      <c r="P523" s="10">
        <v>35</v>
      </c>
    </row>
    <row r="524" spans="1:16" x14ac:dyDescent="0.3">
      <c r="A524" s="5">
        <v>523</v>
      </c>
      <c r="B524" s="11">
        <v>40566</v>
      </c>
      <c r="C524" s="6">
        <v>1</v>
      </c>
      <c r="D524" s="6">
        <v>0</v>
      </c>
      <c r="E524" s="6">
        <v>1</v>
      </c>
      <c r="F524" s="6">
        <v>21</v>
      </c>
      <c r="G524" s="6" t="b">
        <v>0</v>
      </c>
      <c r="H524" s="6">
        <v>0</v>
      </c>
      <c r="I524" s="6">
        <v>1</v>
      </c>
      <c r="J524" s="6">
        <v>0.1</v>
      </c>
      <c r="K524" s="6">
        <v>0.1061</v>
      </c>
      <c r="L524" s="6">
        <v>0.36</v>
      </c>
      <c r="M524" s="6">
        <v>0.19400000000000001</v>
      </c>
      <c r="N524" s="6">
        <v>5</v>
      </c>
      <c r="O524" s="6">
        <v>20</v>
      </c>
      <c r="P524" s="7">
        <v>25</v>
      </c>
    </row>
    <row r="525" spans="1:16" x14ac:dyDescent="0.3">
      <c r="A525" s="8">
        <v>524</v>
      </c>
      <c r="B525" s="12">
        <v>40566</v>
      </c>
      <c r="C525" s="9">
        <v>1</v>
      </c>
      <c r="D525" s="9">
        <v>0</v>
      </c>
      <c r="E525" s="9">
        <v>1</v>
      </c>
      <c r="F525" s="9">
        <v>22</v>
      </c>
      <c r="G525" s="9" t="b">
        <v>0</v>
      </c>
      <c r="H525" s="9">
        <v>0</v>
      </c>
      <c r="I525" s="9">
        <v>1</v>
      </c>
      <c r="J525" s="9">
        <v>0.08</v>
      </c>
      <c r="K525" s="9">
        <v>9.0899999999999995E-2</v>
      </c>
      <c r="L525" s="9">
        <v>0.38</v>
      </c>
      <c r="M525" s="9">
        <v>0.19400000000000001</v>
      </c>
      <c r="N525" s="9">
        <v>5</v>
      </c>
      <c r="O525" s="9">
        <v>23</v>
      </c>
      <c r="P525" s="10">
        <v>28</v>
      </c>
    </row>
    <row r="526" spans="1:16" x14ac:dyDescent="0.3">
      <c r="A526" s="5">
        <v>525</v>
      </c>
      <c r="B526" s="11">
        <v>40566</v>
      </c>
      <c r="C526" s="6">
        <v>1</v>
      </c>
      <c r="D526" s="6">
        <v>0</v>
      </c>
      <c r="E526" s="6">
        <v>1</v>
      </c>
      <c r="F526" s="6">
        <v>23</v>
      </c>
      <c r="G526" s="6" t="b">
        <v>0</v>
      </c>
      <c r="H526" s="6">
        <v>0</v>
      </c>
      <c r="I526" s="6">
        <v>1</v>
      </c>
      <c r="J526" s="6">
        <v>0.06</v>
      </c>
      <c r="K526" s="6">
        <v>6.0600000000000001E-2</v>
      </c>
      <c r="L526" s="6">
        <v>0.41</v>
      </c>
      <c r="M526" s="6">
        <v>0.22389999999999999</v>
      </c>
      <c r="N526" s="6">
        <v>4</v>
      </c>
      <c r="O526" s="6">
        <v>17</v>
      </c>
      <c r="P526" s="7">
        <v>21</v>
      </c>
    </row>
    <row r="527" spans="1:16" x14ac:dyDescent="0.3">
      <c r="A527" s="8">
        <v>526</v>
      </c>
      <c r="B527" s="12">
        <v>40567</v>
      </c>
      <c r="C527" s="9">
        <v>1</v>
      </c>
      <c r="D527" s="9">
        <v>0</v>
      </c>
      <c r="E527" s="9">
        <v>1</v>
      </c>
      <c r="F527" s="9">
        <v>0</v>
      </c>
      <c r="G527" s="9" t="b">
        <v>0</v>
      </c>
      <c r="H527" s="9">
        <v>1</v>
      </c>
      <c r="I527" s="9">
        <v>1</v>
      </c>
      <c r="J527" s="9">
        <v>0.06</v>
      </c>
      <c r="K527" s="9">
        <v>6.0600000000000001E-2</v>
      </c>
      <c r="L527" s="9">
        <v>0.41</v>
      </c>
      <c r="M527" s="9">
        <v>0.19400000000000001</v>
      </c>
      <c r="N527" s="9">
        <v>0</v>
      </c>
      <c r="O527" s="9">
        <v>7</v>
      </c>
      <c r="P527" s="10">
        <v>7</v>
      </c>
    </row>
    <row r="528" spans="1:16" x14ac:dyDescent="0.3">
      <c r="A528" s="5">
        <v>527</v>
      </c>
      <c r="B528" s="11">
        <v>40567</v>
      </c>
      <c r="C528" s="6">
        <v>1</v>
      </c>
      <c r="D528" s="6">
        <v>0</v>
      </c>
      <c r="E528" s="6">
        <v>1</v>
      </c>
      <c r="F528" s="6">
        <v>1</v>
      </c>
      <c r="G528" s="6" t="b">
        <v>0</v>
      </c>
      <c r="H528" s="6">
        <v>1</v>
      </c>
      <c r="I528" s="6">
        <v>1</v>
      </c>
      <c r="J528" s="6">
        <v>0.04</v>
      </c>
      <c r="K528" s="6">
        <v>4.5499999999999999E-2</v>
      </c>
      <c r="L528" s="6">
        <v>0.45</v>
      </c>
      <c r="M528" s="6">
        <v>0.19400000000000001</v>
      </c>
      <c r="N528" s="6">
        <v>0</v>
      </c>
      <c r="O528" s="6">
        <v>1</v>
      </c>
      <c r="P528" s="7">
        <v>1</v>
      </c>
    </row>
    <row r="529" spans="1:16" x14ac:dyDescent="0.3">
      <c r="A529" s="8">
        <v>528</v>
      </c>
      <c r="B529" s="12">
        <v>40567</v>
      </c>
      <c r="C529" s="9">
        <v>1</v>
      </c>
      <c r="D529" s="9">
        <v>0</v>
      </c>
      <c r="E529" s="9">
        <v>1</v>
      </c>
      <c r="F529" s="9">
        <v>3</v>
      </c>
      <c r="G529" s="9" t="b">
        <v>0</v>
      </c>
      <c r="H529" s="9">
        <v>1</v>
      </c>
      <c r="I529" s="9">
        <v>1</v>
      </c>
      <c r="J529" s="9">
        <v>0.04</v>
      </c>
      <c r="K529" s="9">
        <v>3.0300000000000001E-2</v>
      </c>
      <c r="L529" s="9">
        <v>0.45</v>
      </c>
      <c r="M529" s="9">
        <v>0.25369999999999998</v>
      </c>
      <c r="N529" s="9">
        <v>0</v>
      </c>
      <c r="O529" s="9">
        <v>1</v>
      </c>
      <c r="P529" s="10">
        <v>1</v>
      </c>
    </row>
    <row r="530" spans="1:16" x14ac:dyDescent="0.3">
      <c r="A530" s="5">
        <v>529</v>
      </c>
      <c r="B530" s="11">
        <v>40567</v>
      </c>
      <c r="C530" s="6">
        <v>1</v>
      </c>
      <c r="D530" s="6">
        <v>0</v>
      </c>
      <c r="E530" s="6">
        <v>1</v>
      </c>
      <c r="F530" s="6">
        <v>4</v>
      </c>
      <c r="G530" s="6" t="b">
        <v>0</v>
      </c>
      <c r="H530" s="6">
        <v>1</v>
      </c>
      <c r="I530" s="6">
        <v>1</v>
      </c>
      <c r="J530" s="6">
        <v>0.02</v>
      </c>
      <c r="K530" s="6">
        <v>6.0600000000000001E-2</v>
      </c>
      <c r="L530" s="6">
        <v>0.48</v>
      </c>
      <c r="M530" s="6">
        <v>0.1343</v>
      </c>
      <c r="N530" s="6">
        <v>0</v>
      </c>
      <c r="O530" s="6">
        <v>1</v>
      </c>
      <c r="P530" s="7">
        <v>1</v>
      </c>
    </row>
    <row r="531" spans="1:16" x14ac:dyDescent="0.3">
      <c r="A531" s="8">
        <v>530</v>
      </c>
      <c r="B531" s="12">
        <v>40567</v>
      </c>
      <c r="C531" s="9">
        <v>1</v>
      </c>
      <c r="D531" s="9">
        <v>0</v>
      </c>
      <c r="E531" s="9">
        <v>1</v>
      </c>
      <c r="F531" s="9">
        <v>5</v>
      </c>
      <c r="G531" s="9" t="b">
        <v>0</v>
      </c>
      <c r="H531" s="9">
        <v>1</v>
      </c>
      <c r="I531" s="9">
        <v>1</v>
      </c>
      <c r="J531" s="9">
        <v>0.02</v>
      </c>
      <c r="K531" s="9">
        <v>6.0600000000000001E-2</v>
      </c>
      <c r="L531" s="9">
        <v>0.48</v>
      </c>
      <c r="M531" s="9">
        <v>0.1343</v>
      </c>
      <c r="N531" s="9">
        <v>0</v>
      </c>
      <c r="O531" s="9">
        <v>5</v>
      </c>
      <c r="P531" s="10">
        <v>5</v>
      </c>
    </row>
    <row r="532" spans="1:16" x14ac:dyDescent="0.3">
      <c r="A532" s="5">
        <v>531</v>
      </c>
      <c r="B532" s="11">
        <v>40567</v>
      </c>
      <c r="C532" s="6">
        <v>1</v>
      </c>
      <c r="D532" s="6">
        <v>0</v>
      </c>
      <c r="E532" s="6">
        <v>1</v>
      </c>
      <c r="F532" s="6">
        <v>6</v>
      </c>
      <c r="G532" s="6" t="b">
        <v>0</v>
      </c>
      <c r="H532" s="6">
        <v>1</v>
      </c>
      <c r="I532" s="6">
        <v>1</v>
      </c>
      <c r="J532" s="6">
        <v>0.02</v>
      </c>
      <c r="K532" s="6">
        <v>7.5800000000000006E-2</v>
      </c>
      <c r="L532" s="6">
        <v>0.48</v>
      </c>
      <c r="M532" s="6">
        <v>8.9599999999999999E-2</v>
      </c>
      <c r="N532" s="6">
        <v>0</v>
      </c>
      <c r="O532" s="6">
        <v>15</v>
      </c>
      <c r="P532" s="7">
        <v>15</v>
      </c>
    </row>
    <row r="533" spans="1:16" x14ac:dyDescent="0.3">
      <c r="A533" s="8">
        <v>532</v>
      </c>
      <c r="B533" s="12">
        <v>40567</v>
      </c>
      <c r="C533" s="9">
        <v>1</v>
      </c>
      <c r="D533" s="9">
        <v>0</v>
      </c>
      <c r="E533" s="9">
        <v>1</v>
      </c>
      <c r="F533" s="9">
        <v>7</v>
      </c>
      <c r="G533" s="9" t="b">
        <v>0</v>
      </c>
      <c r="H533" s="9">
        <v>1</v>
      </c>
      <c r="I533" s="9">
        <v>1</v>
      </c>
      <c r="J533" s="9">
        <v>0.02</v>
      </c>
      <c r="K533" s="9">
        <v>0.1212</v>
      </c>
      <c r="L533" s="9">
        <v>0.48</v>
      </c>
      <c r="M533" s="9">
        <v>0</v>
      </c>
      <c r="N533" s="9">
        <v>5</v>
      </c>
      <c r="O533" s="9">
        <v>79</v>
      </c>
      <c r="P533" s="10">
        <v>84</v>
      </c>
    </row>
    <row r="534" spans="1:16" x14ac:dyDescent="0.3">
      <c r="A534" s="5">
        <v>533</v>
      </c>
      <c r="B534" s="11">
        <v>40567</v>
      </c>
      <c r="C534" s="6">
        <v>1</v>
      </c>
      <c r="D534" s="6">
        <v>0</v>
      </c>
      <c r="E534" s="6">
        <v>1</v>
      </c>
      <c r="F534" s="6">
        <v>8</v>
      </c>
      <c r="G534" s="6" t="b">
        <v>0</v>
      </c>
      <c r="H534" s="6">
        <v>1</v>
      </c>
      <c r="I534" s="6">
        <v>1</v>
      </c>
      <c r="J534" s="6">
        <v>0.04</v>
      </c>
      <c r="K534" s="6">
        <v>0.13639999999999999</v>
      </c>
      <c r="L534" s="6">
        <v>0.49</v>
      </c>
      <c r="M534" s="6">
        <v>0</v>
      </c>
      <c r="N534" s="6">
        <v>6</v>
      </c>
      <c r="O534" s="6">
        <v>171</v>
      </c>
      <c r="P534" s="7">
        <v>177</v>
      </c>
    </row>
    <row r="535" spans="1:16" x14ac:dyDescent="0.3">
      <c r="A535" s="8">
        <v>534</v>
      </c>
      <c r="B535" s="12">
        <v>40567</v>
      </c>
      <c r="C535" s="9">
        <v>1</v>
      </c>
      <c r="D535" s="9">
        <v>0</v>
      </c>
      <c r="E535" s="9">
        <v>1</v>
      </c>
      <c r="F535" s="9">
        <v>9</v>
      </c>
      <c r="G535" s="9" t="b">
        <v>0</v>
      </c>
      <c r="H535" s="9">
        <v>1</v>
      </c>
      <c r="I535" s="9">
        <v>1</v>
      </c>
      <c r="J535" s="9">
        <v>0.06</v>
      </c>
      <c r="K535" s="9">
        <v>0.1515</v>
      </c>
      <c r="L535" s="9">
        <v>0.41</v>
      </c>
      <c r="M535" s="9">
        <v>0</v>
      </c>
      <c r="N535" s="9">
        <v>4</v>
      </c>
      <c r="O535" s="9">
        <v>98</v>
      </c>
      <c r="P535" s="10">
        <v>102</v>
      </c>
    </row>
    <row r="536" spans="1:16" x14ac:dyDescent="0.3">
      <c r="A536" s="5">
        <v>535</v>
      </c>
      <c r="B536" s="11">
        <v>40567</v>
      </c>
      <c r="C536" s="6">
        <v>1</v>
      </c>
      <c r="D536" s="6">
        <v>0</v>
      </c>
      <c r="E536" s="6">
        <v>1</v>
      </c>
      <c r="F536" s="6">
        <v>10</v>
      </c>
      <c r="G536" s="6" t="b">
        <v>0</v>
      </c>
      <c r="H536" s="6">
        <v>1</v>
      </c>
      <c r="I536" s="6">
        <v>1</v>
      </c>
      <c r="J536" s="6">
        <v>0.1</v>
      </c>
      <c r="K536" s="6">
        <v>0.13639999999999999</v>
      </c>
      <c r="L536" s="6">
        <v>0.42</v>
      </c>
      <c r="M536" s="6">
        <v>0</v>
      </c>
      <c r="N536" s="6">
        <v>6</v>
      </c>
      <c r="O536" s="6">
        <v>34</v>
      </c>
      <c r="P536" s="7">
        <v>40</v>
      </c>
    </row>
    <row r="537" spans="1:16" x14ac:dyDescent="0.3">
      <c r="A537" s="8">
        <v>536</v>
      </c>
      <c r="B537" s="12">
        <v>40567</v>
      </c>
      <c r="C537" s="9">
        <v>1</v>
      </c>
      <c r="D537" s="9">
        <v>0</v>
      </c>
      <c r="E537" s="9">
        <v>1</v>
      </c>
      <c r="F537" s="9">
        <v>11</v>
      </c>
      <c r="G537" s="9" t="b">
        <v>0</v>
      </c>
      <c r="H537" s="9">
        <v>1</v>
      </c>
      <c r="I537" s="9">
        <v>1</v>
      </c>
      <c r="J537" s="9">
        <v>0.1</v>
      </c>
      <c r="K537" s="9">
        <v>0.1212</v>
      </c>
      <c r="L537" s="9">
        <v>0.46</v>
      </c>
      <c r="M537" s="9">
        <v>0.1343</v>
      </c>
      <c r="N537" s="9">
        <v>3</v>
      </c>
      <c r="O537" s="9">
        <v>43</v>
      </c>
      <c r="P537" s="10">
        <v>46</v>
      </c>
    </row>
    <row r="538" spans="1:16" x14ac:dyDescent="0.3">
      <c r="A538" s="5">
        <v>537</v>
      </c>
      <c r="B538" s="11">
        <v>40567</v>
      </c>
      <c r="C538" s="6">
        <v>1</v>
      </c>
      <c r="D538" s="6">
        <v>0</v>
      </c>
      <c r="E538" s="6">
        <v>1</v>
      </c>
      <c r="F538" s="6">
        <v>12</v>
      </c>
      <c r="G538" s="6" t="b">
        <v>0</v>
      </c>
      <c r="H538" s="6">
        <v>1</v>
      </c>
      <c r="I538" s="6">
        <v>2</v>
      </c>
      <c r="J538" s="6">
        <v>0.12</v>
      </c>
      <c r="K538" s="6">
        <v>0.13639999999999999</v>
      </c>
      <c r="L538" s="6">
        <v>0.42</v>
      </c>
      <c r="M538" s="6">
        <v>0.19400000000000001</v>
      </c>
      <c r="N538" s="6">
        <v>11</v>
      </c>
      <c r="O538" s="6">
        <v>52</v>
      </c>
      <c r="P538" s="7">
        <v>63</v>
      </c>
    </row>
    <row r="539" spans="1:16" x14ac:dyDescent="0.3">
      <c r="A539" s="8">
        <v>538</v>
      </c>
      <c r="B539" s="12">
        <v>40567</v>
      </c>
      <c r="C539" s="9">
        <v>1</v>
      </c>
      <c r="D539" s="9">
        <v>0</v>
      </c>
      <c r="E539" s="9">
        <v>1</v>
      </c>
      <c r="F539" s="9">
        <v>13</v>
      </c>
      <c r="G539" s="9" t="b">
        <v>0</v>
      </c>
      <c r="H539" s="9">
        <v>1</v>
      </c>
      <c r="I539" s="9">
        <v>2</v>
      </c>
      <c r="J539" s="9">
        <v>0.14000000000000001</v>
      </c>
      <c r="K539" s="9">
        <v>0.13639999999999999</v>
      </c>
      <c r="L539" s="9">
        <v>0.43</v>
      </c>
      <c r="M539" s="9">
        <v>0.22389999999999999</v>
      </c>
      <c r="N539" s="9">
        <v>6</v>
      </c>
      <c r="O539" s="9">
        <v>54</v>
      </c>
      <c r="P539" s="10">
        <v>60</v>
      </c>
    </row>
    <row r="540" spans="1:16" x14ac:dyDescent="0.3">
      <c r="A540" s="5">
        <v>539</v>
      </c>
      <c r="B540" s="11">
        <v>40567</v>
      </c>
      <c r="C540" s="6">
        <v>1</v>
      </c>
      <c r="D540" s="6">
        <v>0</v>
      </c>
      <c r="E540" s="6">
        <v>1</v>
      </c>
      <c r="F540" s="6">
        <v>14</v>
      </c>
      <c r="G540" s="6" t="b">
        <v>0</v>
      </c>
      <c r="H540" s="6">
        <v>1</v>
      </c>
      <c r="I540" s="6">
        <v>2</v>
      </c>
      <c r="J540" s="6">
        <v>0.14000000000000001</v>
      </c>
      <c r="K540" s="6">
        <v>0.13639999999999999</v>
      </c>
      <c r="L540" s="6">
        <v>0.46</v>
      </c>
      <c r="M540" s="6">
        <v>0.22389999999999999</v>
      </c>
      <c r="N540" s="6">
        <v>2</v>
      </c>
      <c r="O540" s="6">
        <v>43</v>
      </c>
      <c r="P540" s="7">
        <v>45</v>
      </c>
    </row>
    <row r="541" spans="1:16" x14ac:dyDescent="0.3">
      <c r="A541" s="8">
        <v>540</v>
      </c>
      <c r="B541" s="12">
        <v>40567</v>
      </c>
      <c r="C541" s="9">
        <v>1</v>
      </c>
      <c r="D541" s="9">
        <v>0</v>
      </c>
      <c r="E541" s="9">
        <v>1</v>
      </c>
      <c r="F541" s="9">
        <v>15</v>
      </c>
      <c r="G541" s="9" t="b">
        <v>0</v>
      </c>
      <c r="H541" s="9">
        <v>1</v>
      </c>
      <c r="I541" s="9">
        <v>1</v>
      </c>
      <c r="J541" s="9">
        <v>0.16</v>
      </c>
      <c r="K541" s="9">
        <v>0.16669999999999999</v>
      </c>
      <c r="L541" s="9">
        <v>0.4</v>
      </c>
      <c r="M541" s="9">
        <v>0.16420000000000001</v>
      </c>
      <c r="N541" s="9">
        <v>7</v>
      </c>
      <c r="O541" s="9">
        <v>50</v>
      </c>
      <c r="P541" s="10">
        <v>57</v>
      </c>
    </row>
    <row r="542" spans="1:16" x14ac:dyDescent="0.3">
      <c r="A542" s="5">
        <v>541</v>
      </c>
      <c r="B542" s="11">
        <v>40567</v>
      </c>
      <c r="C542" s="6">
        <v>1</v>
      </c>
      <c r="D542" s="6">
        <v>0</v>
      </c>
      <c r="E542" s="6">
        <v>1</v>
      </c>
      <c r="F542" s="6">
        <v>16</v>
      </c>
      <c r="G542" s="6" t="b">
        <v>0</v>
      </c>
      <c r="H542" s="6">
        <v>1</v>
      </c>
      <c r="I542" s="6">
        <v>1</v>
      </c>
      <c r="J542" s="6">
        <v>0.16</v>
      </c>
      <c r="K542" s="6">
        <v>0.1515</v>
      </c>
      <c r="L542" s="6">
        <v>0.47</v>
      </c>
      <c r="M542" s="6">
        <v>0.25369999999999998</v>
      </c>
      <c r="N542" s="6">
        <v>4</v>
      </c>
      <c r="O542" s="6">
        <v>66</v>
      </c>
      <c r="P542" s="7">
        <v>70</v>
      </c>
    </row>
    <row r="543" spans="1:16" x14ac:dyDescent="0.3">
      <c r="A543" s="8">
        <v>542</v>
      </c>
      <c r="B543" s="12">
        <v>40567</v>
      </c>
      <c r="C543" s="9">
        <v>1</v>
      </c>
      <c r="D543" s="9">
        <v>0</v>
      </c>
      <c r="E543" s="9">
        <v>1</v>
      </c>
      <c r="F543" s="9">
        <v>17</v>
      </c>
      <c r="G543" s="9" t="b">
        <v>0</v>
      </c>
      <c r="H543" s="9">
        <v>1</v>
      </c>
      <c r="I543" s="9">
        <v>1</v>
      </c>
      <c r="J543" s="9">
        <v>0.14000000000000001</v>
      </c>
      <c r="K543" s="9">
        <v>0.1212</v>
      </c>
      <c r="L543" s="9">
        <v>0.5</v>
      </c>
      <c r="M543" s="9">
        <v>0.25369999999999998</v>
      </c>
      <c r="N543" s="9">
        <v>6</v>
      </c>
      <c r="O543" s="9">
        <v>178</v>
      </c>
      <c r="P543" s="10">
        <v>184</v>
      </c>
    </row>
    <row r="544" spans="1:16" x14ac:dyDescent="0.3">
      <c r="A544" s="5">
        <v>543</v>
      </c>
      <c r="B544" s="11">
        <v>40567</v>
      </c>
      <c r="C544" s="6">
        <v>1</v>
      </c>
      <c r="D544" s="6">
        <v>0</v>
      </c>
      <c r="E544" s="6">
        <v>1</v>
      </c>
      <c r="F544" s="6">
        <v>18</v>
      </c>
      <c r="G544" s="6" t="b">
        <v>0</v>
      </c>
      <c r="H544" s="6">
        <v>1</v>
      </c>
      <c r="I544" s="6">
        <v>1</v>
      </c>
      <c r="J544" s="6">
        <v>0.14000000000000001</v>
      </c>
      <c r="K544" s="6">
        <v>0.13639999999999999</v>
      </c>
      <c r="L544" s="6">
        <v>0.59</v>
      </c>
      <c r="M544" s="6">
        <v>0.19400000000000001</v>
      </c>
      <c r="N544" s="6">
        <v>8</v>
      </c>
      <c r="O544" s="6">
        <v>145</v>
      </c>
      <c r="P544" s="7">
        <v>153</v>
      </c>
    </row>
    <row r="545" spans="1:16" x14ac:dyDescent="0.3">
      <c r="A545" s="8">
        <v>544</v>
      </c>
      <c r="B545" s="12">
        <v>40567</v>
      </c>
      <c r="C545" s="9">
        <v>1</v>
      </c>
      <c r="D545" s="9">
        <v>0</v>
      </c>
      <c r="E545" s="9">
        <v>1</v>
      </c>
      <c r="F545" s="9">
        <v>19</v>
      </c>
      <c r="G545" s="9" t="b">
        <v>0</v>
      </c>
      <c r="H545" s="9">
        <v>1</v>
      </c>
      <c r="I545" s="9">
        <v>1</v>
      </c>
      <c r="J545" s="9">
        <v>0.14000000000000001</v>
      </c>
      <c r="K545" s="9">
        <v>0.1515</v>
      </c>
      <c r="L545" s="9">
        <v>0.54</v>
      </c>
      <c r="M545" s="9">
        <v>0.16420000000000001</v>
      </c>
      <c r="N545" s="9">
        <v>5</v>
      </c>
      <c r="O545" s="9">
        <v>101</v>
      </c>
      <c r="P545" s="10">
        <v>106</v>
      </c>
    </row>
    <row r="546" spans="1:16" x14ac:dyDescent="0.3">
      <c r="A546" s="5">
        <v>545</v>
      </c>
      <c r="B546" s="11">
        <v>40567</v>
      </c>
      <c r="C546" s="6">
        <v>1</v>
      </c>
      <c r="D546" s="6">
        <v>0</v>
      </c>
      <c r="E546" s="6">
        <v>1</v>
      </c>
      <c r="F546" s="6">
        <v>20</v>
      </c>
      <c r="G546" s="6" t="b">
        <v>0</v>
      </c>
      <c r="H546" s="6">
        <v>1</v>
      </c>
      <c r="I546" s="6">
        <v>1</v>
      </c>
      <c r="J546" s="6">
        <v>0.14000000000000001</v>
      </c>
      <c r="K546" s="6">
        <v>0.13639999999999999</v>
      </c>
      <c r="L546" s="6">
        <v>0.59</v>
      </c>
      <c r="M546" s="6">
        <v>0.19400000000000001</v>
      </c>
      <c r="N546" s="6">
        <v>1</v>
      </c>
      <c r="O546" s="6">
        <v>80</v>
      </c>
      <c r="P546" s="7">
        <v>81</v>
      </c>
    </row>
    <row r="547" spans="1:16" x14ac:dyDescent="0.3">
      <c r="A547" s="8">
        <v>546</v>
      </c>
      <c r="B547" s="12">
        <v>40567</v>
      </c>
      <c r="C547" s="9">
        <v>1</v>
      </c>
      <c r="D547" s="9">
        <v>0</v>
      </c>
      <c r="E547" s="9">
        <v>1</v>
      </c>
      <c r="F547" s="9">
        <v>21</v>
      </c>
      <c r="G547" s="9" t="b">
        <v>0</v>
      </c>
      <c r="H547" s="9">
        <v>1</v>
      </c>
      <c r="I547" s="9">
        <v>1</v>
      </c>
      <c r="J547" s="9">
        <v>0.14000000000000001</v>
      </c>
      <c r="K547" s="9">
        <v>0.1515</v>
      </c>
      <c r="L547" s="9">
        <v>0.63</v>
      </c>
      <c r="M547" s="9">
        <v>0.16420000000000001</v>
      </c>
      <c r="N547" s="9">
        <v>6</v>
      </c>
      <c r="O547" s="9">
        <v>53</v>
      </c>
      <c r="P547" s="10">
        <v>59</v>
      </c>
    </row>
    <row r="548" spans="1:16" x14ac:dyDescent="0.3">
      <c r="A548" s="5">
        <v>547</v>
      </c>
      <c r="B548" s="11">
        <v>40567</v>
      </c>
      <c r="C548" s="6">
        <v>1</v>
      </c>
      <c r="D548" s="6">
        <v>0</v>
      </c>
      <c r="E548" s="6">
        <v>1</v>
      </c>
      <c r="F548" s="6">
        <v>22</v>
      </c>
      <c r="G548" s="6" t="b">
        <v>0</v>
      </c>
      <c r="H548" s="6">
        <v>1</v>
      </c>
      <c r="I548" s="6">
        <v>2</v>
      </c>
      <c r="J548" s="6">
        <v>0.14000000000000001</v>
      </c>
      <c r="K548" s="6">
        <v>0.13639999999999999</v>
      </c>
      <c r="L548" s="6">
        <v>0.63</v>
      </c>
      <c r="M548" s="6">
        <v>0.22389999999999999</v>
      </c>
      <c r="N548" s="6">
        <v>3</v>
      </c>
      <c r="O548" s="6">
        <v>32</v>
      </c>
      <c r="P548" s="7">
        <v>35</v>
      </c>
    </row>
    <row r="549" spans="1:16" x14ac:dyDescent="0.3">
      <c r="A549" s="8">
        <v>548</v>
      </c>
      <c r="B549" s="12">
        <v>40567</v>
      </c>
      <c r="C549" s="9">
        <v>1</v>
      </c>
      <c r="D549" s="9">
        <v>0</v>
      </c>
      <c r="E549" s="9">
        <v>1</v>
      </c>
      <c r="F549" s="9">
        <v>23</v>
      </c>
      <c r="G549" s="9" t="b">
        <v>0</v>
      </c>
      <c r="H549" s="9">
        <v>1</v>
      </c>
      <c r="I549" s="9">
        <v>2</v>
      </c>
      <c r="J549" s="9">
        <v>0.16</v>
      </c>
      <c r="K549" s="9">
        <v>0.1515</v>
      </c>
      <c r="L549" s="9">
        <v>0.64</v>
      </c>
      <c r="M549" s="9">
        <v>0.25369999999999998</v>
      </c>
      <c r="N549" s="9">
        <v>3</v>
      </c>
      <c r="O549" s="9">
        <v>21</v>
      </c>
      <c r="P549" s="10">
        <v>24</v>
      </c>
    </row>
    <row r="550" spans="1:16" x14ac:dyDescent="0.3">
      <c r="A550" s="5">
        <v>549</v>
      </c>
      <c r="B550" s="11">
        <v>40568</v>
      </c>
      <c r="C550" s="6">
        <v>1</v>
      </c>
      <c r="D550" s="6">
        <v>0</v>
      </c>
      <c r="E550" s="6">
        <v>1</v>
      </c>
      <c r="F550" s="6">
        <v>0</v>
      </c>
      <c r="G550" s="6" t="b">
        <v>0</v>
      </c>
      <c r="H550" s="6">
        <v>2</v>
      </c>
      <c r="I550" s="6">
        <v>2</v>
      </c>
      <c r="J550" s="6">
        <v>0.16</v>
      </c>
      <c r="K550" s="6">
        <v>0.13639999999999999</v>
      </c>
      <c r="L550" s="6">
        <v>0.69</v>
      </c>
      <c r="M550" s="6">
        <v>0.28360000000000002</v>
      </c>
      <c r="N550" s="6">
        <v>3</v>
      </c>
      <c r="O550" s="6">
        <v>6</v>
      </c>
      <c r="P550" s="7">
        <v>9</v>
      </c>
    </row>
    <row r="551" spans="1:16" x14ac:dyDescent="0.3">
      <c r="A551" s="8">
        <v>550</v>
      </c>
      <c r="B551" s="12">
        <v>40568</v>
      </c>
      <c r="C551" s="9">
        <v>1</v>
      </c>
      <c r="D551" s="9">
        <v>0</v>
      </c>
      <c r="E551" s="9">
        <v>1</v>
      </c>
      <c r="F551" s="9">
        <v>1</v>
      </c>
      <c r="G551" s="9" t="b">
        <v>0</v>
      </c>
      <c r="H551" s="9">
        <v>2</v>
      </c>
      <c r="I551" s="9">
        <v>2</v>
      </c>
      <c r="J551" s="9">
        <v>0.16</v>
      </c>
      <c r="K551" s="9">
        <v>0.16669999999999999</v>
      </c>
      <c r="L551" s="9">
        <v>0.69</v>
      </c>
      <c r="M551" s="9">
        <v>0.16420000000000001</v>
      </c>
      <c r="N551" s="9">
        <v>0</v>
      </c>
      <c r="O551" s="9">
        <v>5</v>
      </c>
      <c r="P551" s="10">
        <v>5</v>
      </c>
    </row>
    <row r="552" spans="1:16" x14ac:dyDescent="0.3">
      <c r="A552" s="5">
        <v>551</v>
      </c>
      <c r="B552" s="11">
        <v>40568</v>
      </c>
      <c r="C552" s="6">
        <v>1</v>
      </c>
      <c r="D552" s="6">
        <v>0</v>
      </c>
      <c r="E552" s="6">
        <v>1</v>
      </c>
      <c r="F552" s="6">
        <v>2</v>
      </c>
      <c r="G552" s="6" t="b">
        <v>0</v>
      </c>
      <c r="H552" s="6">
        <v>2</v>
      </c>
      <c r="I552" s="6">
        <v>1</v>
      </c>
      <c r="J552" s="6">
        <v>0.16</v>
      </c>
      <c r="K552" s="6">
        <v>0.1515</v>
      </c>
      <c r="L552" s="6">
        <v>0.69</v>
      </c>
      <c r="M552" s="6">
        <v>0.22389999999999999</v>
      </c>
      <c r="N552" s="6">
        <v>0</v>
      </c>
      <c r="O552" s="6">
        <v>2</v>
      </c>
      <c r="P552" s="7">
        <v>2</v>
      </c>
    </row>
    <row r="553" spans="1:16" x14ac:dyDescent="0.3">
      <c r="A553" s="8">
        <v>552</v>
      </c>
      <c r="B553" s="12">
        <v>40568</v>
      </c>
      <c r="C553" s="9">
        <v>1</v>
      </c>
      <c r="D553" s="9">
        <v>0</v>
      </c>
      <c r="E553" s="9">
        <v>1</v>
      </c>
      <c r="F553" s="9">
        <v>4</v>
      </c>
      <c r="G553" s="9" t="b">
        <v>0</v>
      </c>
      <c r="H553" s="9">
        <v>2</v>
      </c>
      <c r="I553" s="9">
        <v>1</v>
      </c>
      <c r="J553" s="9">
        <v>0.14000000000000001</v>
      </c>
      <c r="K553" s="9">
        <v>0.16669999999999999</v>
      </c>
      <c r="L553" s="9">
        <v>0.74</v>
      </c>
      <c r="M553" s="9">
        <v>0.1045</v>
      </c>
      <c r="N553" s="9">
        <v>0</v>
      </c>
      <c r="O553" s="9">
        <v>1</v>
      </c>
      <c r="P553" s="10">
        <v>1</v>
      </c>
    </row>
    <row r="554" spans="1:16" x14ac:dyDescent="0.3">
      <c r="A554" s="5">
        <v>553</v>
      </c>
      <c r="B554" s="11">
        <v>40568</v>
      </c>
      <c r="C554" s="6">
        <v>1</v>
      </c>
      <c r="D554" s="6">
        <v>0</v>
      </c>
      <c r="E554" s="6">
        <v>1</v>
      </c>
      <c r="F554" s="6">
        <v>5</v>
      </c>
      <c r="G554" s="6" t="b">
        <v>0</v>
      </c>
      <c r="H554" s="6">
        <v>2</v>
      </c>
      <c r="I554" s="6">
        <v>1</v>
      </c>
      <c r="J554" s="6">
        <v>0.14000000000000001</v>
      </c>
      <c r="K554" s="6">
        <v>0.13639999999999999</v>
      </c>
      <c r="L554" s="6">
        <v>0.74</v>
      </c>
      <c r="M554" s="6">
        <v>0.22389999999999999</v>
      </c>
      <c r="N554" s="6">
        <v>0</v>
      </c>
      <c r="O554" s="6">
        <v>9</v>
      </c>
      <c r="P554" s="7">
        <v>9</v>
      </c>
    </row>
    <row r="555" spans="1:16" x14ac:dyDescent="0.3">
      <c r="A555" s="8">
        <v>554</v>
      </c>
      <c r="B555" s="12">
        <v>40568</v>
      </c>
      <c r="C555" s="9">
        <v>1</v>
      </c>
      <c r="D555" s="9">
        <v>0</v>
      </c>
      <c r="E555" s="9">
        <v>1</v>
      </c>
      <c r="F555" s="9">
        <v>6</v>
      </c>
      <c r="G555" s="9" t="b">
        <v>0</v>
      </c>
      <c r="H555" s="9">
        <v>2</v>
      </c>
      <c r="I555" s="9">
        <v>1</v>
      </c>
      <c r="J555" s="9">
        <v>0.16</v>
      </c>
      <c r="K555" s="9">
        <v>0.18179999999999999</v>
      </c>
      <c r="L555" s="9">
        <v>0.74</v>
      </c>
      <c r="M555" s="9">
        <v>0.1045</v>
      </c>
      <c r="N555" s="9">
        <v>1</v>
      </c>
      <c r="O555" s="9">
        <v>35</v>
      </c>
      <c r="P555" s="10">
        <v>36</v>
      </c>
    </row>
    <row r="556" spans="1:16" x14ac:dyDescent="0.3">
      <c r="A556" s="5">
        <v>555</v>
      </c>
      <c r="B556" s="11">
        <v>40568</v>
      </c>
      <c r="C556" s="6">
        <v>1</v>
      </c>
      <c r="D556" s="6">
        <v>0</v>
      </c>
      <c r="E556" s="6">
        <v>1</v>
      </c>
      <c r="F556" s="6">
        <v>7</v>
      </c>
      <c r="G556" s="6" t="b">
        <v>0</v>
      </c>
      <c r="H556" s="6">
        <v>2</v>
      </c>
      <c r="I556" s="6">
        <v>1</v>
      </c>
      <c r="J556" s="6">
        <v>0.16</v>
      </c>
      <c r="K556" s="6">
        <v>0.1515</v>
      </c>
      <c r="L556" s="6">
        <v>0.74</v>
      </c>
      <c r="M556" s="6">
        <v>0.22389999999999999</v>
      </c>
      <c r="N556" s="6">
        <v>5</v>
      </c>
      <c r="O556" s="6">
        <v>103</v>
      </c>
      <c r="P556" s="7">
        <v>108</v>
      </c>
    </row>
    <row r="557" spans="1:16" x14ac:dyDescent="0.3">
      <c r="A557" s="8">
        <v>556</v>
      </c>
      <c r="B557" s="12">
        <v>40568</v>
      </c>
      <c r="C557" s="9">
        <v>1</v>
      </c>
      <c r="D557" s="9">
        <v>0</v>
      </c>
      <c r="E557" s="9">
        <v>1</v>
      </c>
      <c r="F557" s="9">
        <v>8</v>
      </c>
      <c r="G557" s="9" t="b">
        <v>0</v>
      </c>
      <c r="H557" s="9">
        <v>2</v>
      </c>
      <c r="I557" s="9">
        <v>2</v>
      </c>
      <c r="J557" s="9">
        <v>0.16</v>
      </c>
      <c r="K557" s="9">
        <v>0.18179999999999999</v>
      </c>
      <c r="L557" s="9">
        <v>0.74</v>
      </c>
      <c r="M557" s="9">
        <v>0.1343</v>
      </c>
      <c r="N557" s="9">
        <v>5</v>
      </c>
      <c r="O557" s="9">
        <v>233</v>
      </c>
      <c r="P557" s="10">
        <v>238</v>
      </c>
    </row>
    <row r="558" spans="1:16" x14ac:dyDescent="0.3">
      <c r="A558" s="5">
        <v>557</v>
      </c>
      <c r="B558" s="11">
        <v>40568</v>
      </c>
      <c r="C558" s="6">
        <v>1</v>
      </c>
      <c r="D558" s="6">
        <v>0</v>
      </c>
      <c r="E558" s="6">
        <v>1</v>
      </c>
      <c r="F558" s="6">
        <v>9</v>
      </c>
      <c r="G558" s="6" t="b">
        <v>0</v>
      </c>
      <c r="H558" s="6">
        <v>2</v>
      </c>
      <c r="I558" s="6">
        <v>2</v>
      </c>
      <c r="J558" s="6">
        <v>0.2</v>
      </c>
      <c r="K558" s="6">
        <v>0.2273</v>
      </c>
      <c r="L558" s="6">
        <v>0.64</v>
      </c>
      <c r="M558" s="6">
        <v>8.9599999999999999E-2</v>
      </c>
      <c r="N558" s="6">
        <v>10</v>
      </c>
      <c r="O558" s="6">
        <v>134</v>
      </c>
      <c r="P558" s="7">
        <v>144</v>
      </c>
    </row>
    <row r="559" spans="1:16" x14ac:dyDescent="0.3">
      <c r="A559" s="8">
        <v>558</v>
      </c>
      <c r="B559" s="12">
        <v>40568</v>
      </c>
      <c r="C559" s="9">
        <v>1</v>
      </c>
      <c r="D559" s="9">
        <v>0</v>
      </c>
      <c r="E559" s="9">
        <v>1</v>
      </c>
      <c r="F559" s="9">
        <v>10</v>
      </c>
      <c r="G559" s="9" t="b">
        <v>0</v>
      </c>
      <c r="H559" s="9">
        <v>2</v>
      </c>
      <c r="I559" s="9">
        <v>2</v>
      </c>
      <c r="J559" s="9">
        <v>0.22</v>
      </c>
      <c r="K559" s="9">
        <v>0.2424</v>
      </c>
      <c r="L559" s="9">
        <v>0.6</v>
      </c>
      <c r="M559" s="9">
        <v>0.1045</v>
      </c>
      <c r="N559" s="9">
        <v>6</v>
      </c>
      <c r="O559" s="9">
        <v>49</v>
      </c>
      <c r="P559" s="10">
        <v>55</v>
      </c>
    </row>
    <row r="560" spans="1:16" x14ac:dyDescent="0.3">
      <c r="A560" s="5">
        <v>559</v>
      </c>
      <c r="B560" s="11">
        <v>40568</v>
      </c>
      <c r="C560" s="6">
        <v>1</v>
      </c>
      <c r="D560" s="6">
        <v>0</v>
      </c>
      <c r="E560" s="6">
        <v>1</v>
      </c>
      <c r="F560" s="6">
        <v>11</v>
      </c>
      <c r="G560" s="6" t="b">
        <v>0</v>
      </c>
      <c r="H560" s="6">
        <v>2</v>
      </c>
      <c r="I560" s="6">
        <v>2</v>
      </c>
      <c r="J560" s="6">
        <v>0.24</v>
      </c>
      <c r="K560" s="6">
        <v>0.2424</v>
      </c>
      <c r="L560" s="6">
        <v>0.6</v>
      </c>
      <c r="M560" s="6">
        <v>0.1343</v>
      </c>
      <c r="N560" s="6">
        <v>6</v>
      </c>
      <c r="O560" s="6">
        <v>55</v>
      </c>
      <c r="P560" s="7">
        <v>61</v>
      </c>
    </row>
    <row r="561" spans="1:16" x14ac:dyDescent="0.3">
      <c r="A561" s="8">
        <v>560</v>
      </c>
      <c r="B561" s="12">
        <v>40568</v>
      </c>
      <c r="C561" s="9">
        <v>1</v>
      </c>
      <c r="D561" s="9">
        <v>0</v>
      </c>
      <c r="E561" s="9">
        <v>1</v>
      </c>
      <c r="F561" s="9">
        <v>12</v>
      </c>
      <c r="G561" s="9" t="b">
        <v>0</v>
      </c>
      <c r="H561" s="9">
        <v>2</v>
      </c>
      <c r="I561" s="9">
        <v>2</v>
      </c>
      <c r="J561" s="9">
        <v>0.26</v>
      </c>
      <c r="K561" s="9">
        <v>0.28789999999999999</v>
      </c>
      <c r="L561" s="9">
        <v>0.56000000000000005</v>
      </c>
      <c r="M561" s="9">
        <v>8.9599999999999999E-2</v>
      </c>
      <c r="N561" s="9">
        <v>21</v>
      </c>
      <c r="O561" s="9">
        <v>85</v>
      </c>
      <c r="P561" s="10">
        <v>106</v>
      </c>
    </row>
    <row r="562" spans="1:16" x14ac:dyDescent="0.3">
      <c r="A562" s="5">
        <v>561</v>
      </c>
      <c r="B562" s="11">
        <v>40568</v>
      </c>
      <c r="C562" s="6">
        <v>1</v>
      </c>
      <c r="D562" s="6">
        <v>0</v>
      </c>
      <c r="E562" s="6">
        <v>1</v>
      </c>
      <c r="F562" s="6">
        <v>13</v>
      </c>
      <c r="G562" s="6" t="b">
        <v>0</v>
      </c>
      <c r="H562" s="6">
        <v>2</v>
      </c>
      <c r="I562" s="6">
        <v>2</v>
      </c>
      <c r="J562" s="6">
        <v>0.26</v>
      </c>
      <c r="K562" s="6">
        <v>0.2727</v>
      </c>
      <c r="L562" s="6">
        <v>0.56000000000000005</v>
      </c>
      <c r="M562" s="6">
        <v>0.1343</v>
      </c>
      <c r="N562" s="6">
        <v>21</v>
      </c>
      <c r="O562" s="6">
        <v>72</v>
      </c>
      <c r="P562" s="7">
        <v>93</v>
      </c>
    </row>
    <row r="563" spans="1:16" x14ac:dyDescent="0.3">
      <c r="A563" s="8">
        <v>562</v>
      </c>
      <c r="B563" s="12">
        <v>40568</v>
      </c>
      <c r="C563" s="9">
        <v>1</v>
      </c>
      <c r="D563" s="9">
        <v>0</v>
      </c>
      <c r="E563" s="9">
        <v>1</v>
      </c>
      <c r="F563" s="9">
        <v>14</v>
      </c>
      <c r="G563" s="9" t="b">
        <v>0</v>
      </c>
      <c r="H563" s="9">
        <v>2</v>
      </c>
      <c r="I563" s="9">
        <v>2</v>
      </c>
      <c r="J563" s="9">
        <v>0.3</v>
      </c>
      <c r="K563" s="9">
        <v>0.33329999999999999</v>
      </c>
      <c r="L563" s="9">
        <v>0.45</v>
      </c>
      <c r="M563" s="9">
        <v>0</v>
      </c>
      <c r="N563" s="9">
        <v>11</v>
      </c>
      <c r="O563" s="9">
        <v>57</v>
      </c>
      <c r="P563" s="10">
        <v>68</v>
      </c>
    </row>
    <row r="564" spans="1:16" x14ac:dyDescent="0.3">
      <c r="A564" s="5">
        <v>563</v>
      </c>
      <c r="B564" s="11">
        <v>40568</v>
      </c>
      <c r="C564" s="6">
        <v>1</v>
      </c>
      <c r="D564" s="6">
        <v>0</v>
      </c>
      <c r="E564" s="6">
        <v>1</v>
      </c>
      <c r="F564" s="6">
        <v>15</v>
      </c>
      <c r="G564" s="6" t="b">
        <v>0</v>
      </c>
      <c r="H564" s="6">
        <v>2</v>
      </c>
      <c r="I564" s="6">
        <v>2</v>
      </c>
      <c r="J564" s="6">
        <v>0.32</v>
      </c>
      <c r="K564" s="6">
        <v>0.34849999999999998</v>
      </c>
      <c r="L564" s="6">
        <v>0.42</v>
      </c>
      <c r="M564" s="6">
        <v>0</v>
      </c>
      <c r="N564" s="6">
        <v>21</v>
      </c>
      <c r="O564" s="6">
        <v>63</v>
      </c>
      <c r="P564" s="7">
        <v>84</v>
      </c>
    </row>
    <row r="565" spans="1:16" x14ac:dyDescent="0.3">
      <c r="A565" s="8">
        <v>564</v>
      </c>
      <c r="B565" s="12">
        <v>40568</v>
      </c>
      <c r="C565" s="9">
        <v>1</v>
      </c>
      <c r="D565" s="9">
        <v>0</v>
      </c>
      <c r="E565" s="9">
        <v>1</v>
      </c>
      <c r="F565" s="9">
        <v>16</v>
      </c>
      <c r="G565" s="9" t="b">
        <v>0</v>
      </c>
      <c r="H565" s="9">
        <v>2</v>
      </c>
      <c r="I565" s="9">
        <v>2</v>
      </c>
      <c r="J565" s="9">
        <v>0.32</v>
      </c>
      <c r="K565" s="9">
        <v>0.34849999999999998</v>
      </c>
      <c r="L565" s="9">
        <v>0.42</v>
      </c>
      <c r="M565" s="9">
        <v>0</v>
      </c>
      <c r="N565" s="9">
        <v>14</v>
      </c>
      <c r="O565" s="9">
        <v>102</v>
      </c>
      <c r="P565" s="10">
        <v>116</v>
      </c>
    </row>
    <row r="566" spans="1:16" x14ac:dyDescent="0.3">
      <c r="A566" s="5">
        <v>565</v>
      </c>
      <c r="B566" s="11">
        <v>40568</v>
      </c>
      <c r="C566" s="6">
        <v>1</v>
      </c>
      <c r="D566" s="6">
        <v>0</v>
      </c>
      <c r="E566" s="6">
        <v>1</v>
      </c>
      <c r="F566" s="6">
        <v>17</v>
      </c>
      <c r="G566" s="6" t="b">
        <v>0</v>
      </c>
      <c r="H566" s="6">
        <v>2</v>
      </c>
      <c r="I566" s="6">
        <v>1</v>
      </c>
      <c r="J566" s="6">
        <v>0.3</v>
      </c>
      <c r="K566" s="6">
        <v>0.33329999999999999</v>
      </c>
      <c r="L566" s="6">
        <v>0.45</v>
      </c>
      <c r="M566" s="6">
        <v>0</v>
      </c>
      <c r="N566" s="6">
        <v>14</v>
      </c>
      <c r="O566" s="6">
        <v>208</v>
      </c>
      <c r="P566" s="7">
        <v>222</v>
      </c>
    </row>
    <row r="567" spans="1:16" x14ac:dyDescent="0.3">
      <c r="A567" s="8">
        <v>566</v>
      </c>
      <c r="B567" s="12">
        <v>40568</v>
      </c>
      <c r="C567" s="9">
        <v>1</v>
      </c>
      <c r="D567" s="9">
        <v>0</v>
      </c>
      <c r="E567" s="9">
        <v>1</v>
      </c>
      <c r="F567" s="9">
        <v>18</v>
      </c>
      <c r="G567" s="9" t="b">
        <v>0</v>
      </c>
      <c r="H567" s="9">
        <v>2</v>
      </c>
      <c r="I567" s="9">
        <v>2</v>
      </c>
      <c r="J567" s="9">
        <v>0.3</v>
      </c>
      <c r="K567" s="9">
        <v>0.31819999999999998</v>
      </c>
      <c r="L567" s="9">
        <v>0.49</v>
      </c>
      <c r="M567" s="9">
        <v>8.9599999999999999E-2</v>
      </c>
      <c r="N567" s="9">
        <v>7</v>
      </c>
      <c r="O567" s="9">
        <v>218</v>
      </c>
      <c r="P567" s="10">
        <v>225</v>
      </c>
    </row>
    <row r="568" spans="1:16" x14ac:dyDescent="0.3">
      <c r="A568" s="5">
        <v>567</v>
      </c>
      <c r="B568" s="11">
        <v>40568</v>
      </c>
      <c r="C568" s="6">
        <v>1</v>
      </c>
      <c r="D568" s="6">
        <v>0</v>
      </c>
      <c r="E568" s="6">
        <v>1</v>
      </c>
      <c r="F568" s="6">
        <v>19</v>
      </c>
      <c r="G568" s="6" t="b">
        <v>0</v>
      </c>
      <c r="H568" s="6">
        <v>2</v>
      </c>
      <c r="I568" s="6">
        <v>2</v>
      </c>
      <c r="J568" s="6">
        <v>0.26</v>
      </c>
      <c r="K568" s="6">
        <v>0.2576</v>
      </c>
      <c r="L568" s="6">
        <v>0.65</v>
      </c>
      <c r="M568" s="6">
        <v>0.16420000000000001</v>
      </c>
      <c r="N568" s="6">
        <v>13</v>
      </c>
      <c r="O568" s="6">
        <v>133</v>
      </c>
      <c r="P568" s="7">
        <v>146</v>
      </c>
    </row>
    <row r="569" spans="1:16" x14ac:dyDescent="0.3">
      <c r="A569" s="8">
        <v>568</v>
      </c>
      <c r="B569" s="12">
        <v>40568</v>
      </c>
      <c r="C569" s="9">
        <v>1</v>
      </c>
      <c r="D569" s="9">
        <v>0</v>
      </c>
      <c r="E569" s="9">
        <v>1</v>
      </c>
      <c r="F569" s="9">
        <v>20</v>
      </c>
      <c r="G569" s="9" t="b">
        <v>0</v>
      </c>
      <c r="H569" s="9">
        <v>2</v>
      </c>
      <c r="I569" s="9">
        <v>1</v>
      </c>
      <c r="J569" s="9">
        <v>0.24</v>
      </c>
      <c r="K569" s="9">
        <v>0.2273</v>
      </c>
      <c r="L569" s="9">
        <v>0.65</v>
      </c>
      <c r="M569" s="9">
        <v>0.19400000000000001</v>
      </c>
      <c r="N569" s="9">
        <v>16</v>
      </c>
      <c r="O569" s="9">
        <v>103</v>
      </c>
      <c r="P569" s="10">
        <v>119</v>
      </c>
    </row>
    <row r="570" spans="1:16" x14ac:dyDescent="0.3">
      <c r="A570" s="5">
        <v>569</v>
      </c>
      <c r="B570" s="11">
        <v>40568</v>
      </c>
      <c r="C570" s="6">
        <v>1</v>
      </c>
      <c r="D570" s="6">
        <v>0</v>
      </c>
      <c r="E570" s="6">
        <v>1</v>
      </c>
      <c r="F570" s="6">
        <v>21</v>
      </c>
      <c r="G570" s="6" t="b">
        <v>0</v>
      </c>
      <c r="H570" s="6">
        <v>2</v>
      </c>
      <c r="I570" s="6">
        <v>1</v>
      </c>
      <c r="J570" s="6">
        <v>0.24</v>
      </c>
      <c r="K570" s="6">
        <v>0.2273</v>
      </c>
      <c r="L570" s="6">
        <v>0.65</v>
      </c>
      <c r="M570" s="6">
        <v>0.19400000000000001</v>
      </c>
      <c r="N570" s="6">
        <v>5</v>
      </c>
      <c r="O570" s="6">
        <v>40</v>
      </c>
      <c r="P570" s="7">
        <v>45</v>
      </c>
    </row>
    <row r="571" spans="1:16" x14ac:dyDescent="0.3">
      <c r="A571" s="8">
        <v>570</v>
      </c>
      <c r="B571" s="12">
        <v>40568</v>
      </c>
      <c r="C571" s="9">
        <v>1</v>
      </c>
      <c r="D571" s="9">
        <v>0</v>
      </c>
      <c r="E571" s="9">
        <v>1</v>
      </c>
      <c r="F571" s="9">
        <v>22</v>
      </c>
      <c r="G571" s="9" t="b">
        <v>0</v>
      </c>
      <c r="H571" s="9">
        <v>2</v>
      </c>
      <c r="I571" s="9">
        <v>1</v>
      </c>
      <c r="J571" s="9">
        <v>0.22</v>
      </c>
      <c r="K571" s="9">
        <v>0.2273</v>
      </c>
      <c r="L571" s="9">
        <v>0.64</v>
      </c>
      <c r="M571" s="9">
        <v>0.16420000000000001</v>
      </c>
      <c r="N571" s="9">
        <v>4</v>
      </c>
      <c r="O571" s="9">
        <v>49</v>
      </c>
      <c r="P571" s="10">
        <v>53</v>
      </c>
    </row>
    <row r="572" spans="1:16" x14ac:dyDescent="0.3">
      <c r="A572" s="5">
        <v>571</v>
      </c>
      <c r="B572" s="11">
        <v>40568</v>
      </c>
      <c r="C572" s="6">
        <v>1</v>
      </c>
      <c r="D572" s="6">
        <v>0</v>
      </c>
      <c r="E572" s="6">
        <v>1</v>
      </c>
      <c r="F572" s="6">
        <v>23</v>
      </c>
      <c r="G572" s="6" t="b">
        <v>0</v>
      </c>
      <c r="H572" s="6">
        <v>2</v>
      </c>
      <c r="I572" s="6">
        <v>2</v>
      </c>
      <c r="J572" s="6">
        <v>0.22</v>
      </c>
      <c r="K572" s="6">
        <v>0.2273</v>
      </c>
      <c r="L572" s="6">
        <v>0.64</v>
      </c>
      <c r="M572" s="6">
        <v>0.16420000000000001</v>
      </c>
      <c r="N572" s="6">
        <v>3</v>
      </c>
      <c r="O572" s="6">
        <v>37</v>
      </c>
      <c r="P572" s="7">
        <v>40</v>
      </c>
    </row>
    <row r="573" spans="1:16" x14ac:dyDescent="0.3">
      <c r="A573" s="8">
        <v>572</v>
      </c>
      <c r="B573" s="12">
        <v>40569</v>
      </c>
      <c r="C573" s="9">
        <v>1</v>
      </c>
      <c r="D573" s="9">
        <v>0</v>
      </c>
      <c r="E573" s="9">
        <v>1</v>
      </c>
      <c r="F573" s="9">
        <v>0</v>
      </c>
      <c r="G573" s="9" t="b">
        <v>0</v>
      </c>
      <c r="H573" s="9">
        <v>3</v>
      </c>
      <c r="I573" s="9">
        <v>2</v>
      </c>
      <c r="J573" s="9">
        <v>0.22</v>
      </c>
      <c r="K573" s="9">
        <v>0.2273</v>
      </c>
      <c r="L573" s="9">
        <v>0.69</v>
      </c>
      <c r="M573" s="9">
        <v>0.1343</v>
      </c>
      <c r="N573" s="9">
        <v>3</v>
      </c>
      <c r="O573" s="9">
        <v>14</v>
      </c>
      <c r="P573" s="10">
        <v>17</v>
      </c>
    </row>
    <row r="574" spans="1:16" x14ac:dyDescent="0.3">
      <c r="A574" s="5">
        <v>573</v>
      </c>
      <c r="B574" s="11">
        <v>40569</v>
      </c>
      <c r="C574" s="6">
        <v>1</v>
      </c>
      <c r="D574" s="6">
        <v>0</v>
      </c>
      <c r="E574" s="6">
        <v>1</v>
      </c>
      <c r="F574" s="6">
        <v>1</v>
      </c>
      <c r="G574" s="6" t="b">
        <v>0</v>
      </c>
      <c r="H574" s="6">
        <v>3</v>
      </c>
      <c r="I574" s="6">
        <v>2</v>
      </c>
      <c r="J574" s="6">
        <v>0.24</v>
      </c>
      <c r="K574" s="6">
        <v>0.2424</v>
      </c>
      <c r="L574" s="6">
        <v>0.65</v>
      </c>
      <c r="M574" s="6">
        <v>0.1343</v>
      </c>
      <c r="N574" s="6">
        <v>0</v>
      </c>
      <c r="O574" s="6">
        <v>5</v>
      </c>
      <c r="P574" s="7">
        <v>5</v>
      </c>
    </row>
    <row r="575" spans="1:16" x14ac:dyDescent="0.3">
      <c r="A575" s="8">
        <v>574</v>
      </c>
      <c r="B575" s="12">
        <v>40569</v>
      </c>
      <c r="C575" s="9">
        <v>1</v>
      </c>
      <c r="D575" s="9">
        <v>0</v>
      </c>
      <c r="E575" s="9">
        <v>1</v>
      </c>
      <c r="F575" s="9">
        <v>2</v>
      </c>
      <c r="G575" s="9" t="b">
        <v>0</v>
      </c>
      <c r="H575" s="9">
        <v>3</v>
      </c>
      <c r="I575" s="9">
        <v>3</v>
      </c>
      <c r="J575" s="9">
        <v>0.22</v>
      </c>
      <c r="K575" s="9">
        <v>0.2273</v>
      </c>
      <c r="L575" s="9">
        <v>0.69</v>
      </c>
      <c r="M575" s="9">
        <v>0.19400000000000001</v>
      </c>
      <c r="N575" s="9">
        <v>3</v>
      </c>
      <c r="O575" s="9">
        <v>7</v>
      </c>
      <c r="P575" s="10">
        <v>10</v>
      </c>
    </row>
    <row r="576" spans="1:16" x14ac:dyDescent="0.3">
      <c r="A576" s="5">
        <v>575</v>
      </c>
      <c r="B576" s="11">
        <v>40569</v>
      </c>
      <c r="C576" s="6">
        <v>1</v>
      </c>
      <c r="D576" s="6">
        <v>0</v>
      </c>
      <c r="E576" s="6">
        <v>1</v>
      </c>
      <c r="F576" s="6">
        <v>5</v>
      </c>
      <c r="G576" s="6" t="b">
        <v>0</v>
      </c>
      <c r="H576" s="6">
        <v>3</v>
      </c>
      <c r="I576" s="6">
        <v>3</v>
      </c>
      <c r="J576" s="6">
        <v>0.2</v>
      </c>
      <c r="K576" s="6">
        <v>0.18179999999999999</v>
      </c>
      <c r="L576" s="6">
        <v>0.86</v>
      </c>
      <c r="M576" s="6">
        <v>0.28360000000000002</v>
      </c>
      <c r="N576" s="6">
        <v>0</v>
      </c>
      <c r="O576" s="6">
        <v>1</v>
      </c>
      <c r="P576" s="7">
        <v>1</v>
      </c>
    </row>
    <row r="577" spans="1:16" x14ac:dyDescent="0.3">
      <c r="A577" s="8">
        <v>576</v>
      </c>
      <c r="B577" s="12">
        <v>40569</v>
      </c>
      <c r="C577" s="9">
        <v>1</v>
      </c>
      <c r="D577" s="9">
        <v>0</v>
      </c>
      <c r="E577" s="9">
        <v>1</v>
      </c>
      <c r="F577" s="9">
        <v>6</v>
      </c>
      <c r="G577" s="9" t="b">
        <v>0</v>
      </c>
      <c r="H577" s="9">
        <v>3</v>
      </c>
      <c r="I577" s="9">
        <v>3</v>
      </c>
      <c r="J577" s="9">
        <v>0.2</v>
      </c>
      <c r="K577" s="9">
        <v>0.18179999999999999</v>
      </c>
      <c r="L577" s="9">
        <v>0.86</v>
      </c>
      <c r="M577" s="9">
        <v>0.28360000000000002</v>
      </c>
      <c r="N577" s="9">
        <v>0</v>
      </c>
      <c r="O577" s="9">
        <v>8</v>
      </c>
      <c r="P577" s="10">
        <v>8</v>
      </c>
    </row>
    <row r="578" spans="1:16" x14ac:dyDescent="0.3">
      <c r="A578" s="5">
        <v>577</v>
      </c>
      <c r="B578" s="11">
        <v>40569</v>
      </c>
      <c r="C578" s="6">
        <v>1</v>
      </c>
      <c r="D578" s="6">
        <v>0</v>
      </c>
      <c r="E578" s="6">
        <v>1</v>
      </c>
      <c r="F578" s="6">
        <v>7</v>
      </c>
      <c r="G578" s="6" t="b">
        <v>0</v>
      </c>
      <c r="H578" s="6">
        <v>3</v>
      </c>
      <c r="I578" s="6">
        <v>3</v>
      </c>
      <c r="J578" s="6">
        <v>0.22</v>
      </c>
      <c r="K578" s="6">
        <v>0.21210000000000001</v>
      </c>
      <c r="L578" s="6">
        <v>0.87</v>
      </c>
      <c r="M578" s="6">
        <v>0.29849999999999999</v>
      </c>
      <c r="N578" s="6">
        <v>1</v>
      </c>
      <c r="O578" s="6">
        <v>29</v>
      </c>
      <c r="P578" s="7">
        <v>30</v>
      </c>
    </row>
    <row r="579" spans="1:16" x14ac:dyDescent="0.3">
      <c r="A579" s="8">
        <v>578</v>
      </c>
      <c r="B579" s="12">
        <v>40569</v>
      </c>
      <c r="C579" s="9">
        <v>1</v>
      </c>
      <c r="D579" s="9">
        <v>0</v>
      </c>
      <c r="E579" s="9">
        <v>1</v>
      </c>
      <c r="F579" s="9">
        <v>8</v>
      </c>
      <c r="G579" s="9" t="b">
        <v>0</v>
      </c>
      <c r="H579" s="9">
        <v>3</v>
      </c>
      <c r="I579" s="9">
        <v>3</v>
      </c>
      <c r="J579" s="9">
        <v>0.22</v>
      </c>
      <c r="K579" s="9">
        <v>0.21210000000000001</v>
      </c>
      <c r="L579" s="9">
        <v>0.87</v>
      </c>
      <c r="M579" s="9">
        <v>0.29849999999999999</v>
      </c>
      <c r="N579" s="9">
        <v>3</v>
      </c>
      <c r="O579" s="9">
        <v>69</v>
      </c>
      <c r="P579" s="10">
        <v>72</v>
      </c>
    </row>
    <row r="580" spans="1:16" x14ac:dyDescent="0.3">
      <c r="A580" s="5">
        <v>579</v>
      </c>
      <c r="B580" s="11">
        <v>40569</v>
      </c>
      <c r="C580" s="6">
        <v>1</v>
      </c>
      <c r="D580" s="6">
        <v>0</v>
      </c>
      <c r="E580" s="6">
        <v>1</v>
      </c>
      <c r="F580" s="6">
        <v>9</v>
      </c>
      <c r="G580" s="6" t="b">
        <v>0</v>
      </c>
      <c r="H580" s="6">
        <v>3</v>
      </c>
      <c r="I580" s="6">
        <v>3</v>
      </c>
      <c r="J580" s="6">
        <v>0.22</v>
      </c>
      <c r="K580" s="6">
        <v>0.21210000000000001</v>
      </c>
      <c r="L580" s="6">
        <v>0.87</v>
      </c>
      <c r="M580" s="6">
        <v>0.29849999999999999</v>
      </c>
      <c r="N580" s="6">
        <v>3</v>
      </c>
      <c r="O580" s="6">
        <v>55</v>
      </c>
      <c r="P580" s="7">
        <v>58</v>
      </c>
    </row>
    <row r="581" spans="1:16" x14ac:dyDescent="0.3">
      <c r="A581" s="8">
        <v>580</v>
      </c>
      <c r="B581" s="12">
        <v>40569</v>
      </c>
      <c r="C581" s="9">
        <v>1</v>
      </c>
      <c r="D581" s="9">
        <v>0</v>
      </c>
      <c r="E581" s="9">
        <v>1</v>
      </c>
      <c r="F581" s="9">
        <v>10</v>
      </c>
      <c r="G581" s="9" t="b">
        <v>0</v>
      </c>
      <c r="H581" s="9">
        <v>3</v>
      </c>
      <c r="I581" s="9">
        <v>3</v>
      </c>
      <c r="J581" s="9">
        <v>0.22</v>
      </c>
      <c r="K581" s="9">
        <v>0.21210000000000001</v>
      </c>
      <c r="L581" s="9">
        <v>0.93</v>
      </c>
      <c r="M581" s="9">
        <v>0.28360000000000002</v>
      </c>
      <c r="N581" s="9">
        <v>2</v>
      </c>
      <c r="O581" s="9">
        <v>26</v>
      </c>
      <c r="P581" s="10">
        <v>28</v>
      </c>
    </row>
    <row r="582" spans="1:16" x14ac:dyDescent="0.3">
      <c r="A582" s="5">
        <v>581</v>
      </c>
      <c r="B582" s="11">
        <v>40569</v>
      </c>
      <c r="C582" s="6">
        <v>1</v>
      </c>
      <c r="D582" s="6">
        <v>0</v>
      </c>
      <c r="E582" s="6">
        <v>1</v>
      </c>
      <c r="F582" s="6">
        <v>11</v>
      </c>
      <c r="G582" s="6" t="b">
        <v>0</v>
      </c>
      <c r="H582" s="6">
        <v>3</v>
      </c>
      <c r="I582" s="6">
        <v>3</v>
      </c>
      <c r="J582" s="6">
        <v>0.22</v>
      </c>
      <c r="K582" s="6">
        <v>0.19700000000000001</v>
      </c>
      <c r="L582" s="6">
        <v>0.93</v>
      </c>
      <c r="M582" s="6">
        <v>0.32840000000000003</v>
      </c>
      <c r="N582" s="6">
        <v>6</v>
      </c>
      <c r="O582" s="6">
        <v>35</v>
      </c>
      <c r="P582" s="7">
        <v>41</v>
      </c>
    </row>
    <row r="583" spans="1:16" x14ac:dyDescent="0.3">
      <c r="A583" s="8">
        <v>582</v>
      </c>
      <c r="B583" s="12">
        <v>40569</v>
      </c>
      <c r="C583" s="9">
        <v>1</v>
      </c>
      <c r="D583" s="9">
        <v>0</v>
      </c>
      <c r="E583" s="9">
        <v>1</v>
      </c>
      <c r="F583" s="9">
        <v>12</v>
      </c>
      <c r="G583" s="9" t="b">
        <v>0</v>
      </c>
      <c r="H583" s="9">
        <v>3</v>
      </c>
      <c r="I583" s="9">
        <v>3</v>
      </c>
      <c r="J583" s="9">
        <v>0.22</v>
      </c>
      <c r="K583" s="9">
        <v>0.19700000000000001</v>
      </c>
      <c r="L583" s="9">
        <v>0.93</v>
      </c>
      <c r="M583" s="9">
        <v>0.32840000000000003</v>
      </c>
      <c r="N583" s="9">
        <v>7</v>
      </c>
      <c r="O583" s="9">
        <v>41</v>
      </c>
      <c r="P583" s="10">
        <v>48</v>
      </c>
    </row>
    <row r="584" spans="1:16" x14ac:dyDescent="0.3">
      <c r="A584" s="5">
        <v>583</v>
      </c>
      <c r="B584" s="11">
        <v>40569</v>
      </c>
      <c r="C584" s="6">
        <v>1</v>
      </c>
      <c r="D584" s="6">
        <v>0</v>
      </c>
      <c r="E584" s="6">
        <v>1</v>
      </c>
      <c r="F584" s="6">
        <v>13</v>
      </c>
      <c r="G584" s="6" t="b">
        <v>0</v>
      </c>
      <c r="H584" s="6">
        <v>3</v>
      </c>
      <c r="I584" s="6">
        <v>3</v>
      </c>
      <c r="J584" s="6">
        <v>0.22</v>
      </c>
      <c r="K584" s="6">
        <v>0.19700000000000001</v>
      </c>
      <c r="L584" s="6">
        <v>0.93</v>
      </c>
      <c r="M584" s="6">
        <v>0.32840000000000003</v>
      </c>
      <c r="N584" s="6">
        <v>4</v>
      </c>
      <c r="O584" s="6">
        <v>43</v>
      </c>
      <c r="P584" s="7">
        <v>47</v>
      </c>
    </row>
    <row r="585" spans="1:16" x14ac:dyDescent="0.3">
      <c r="A585" s="8">
        <v>584</v>
      </c>
      <c r="B585" s="12">
        <v>40569</v>
      </c>
      <c r="C585" s="9">
        <v>1</v>
      </c>
      <c r="D585" s="9">
        <v>0</v>
      </c>
      <c r="E585" s="9">
        <v>1</v>
      </c>
      <c r="F585" s="9">
        <v>14</v>
      </c>
      <c r="G585" s="9" t="b">
        <v>0</v>
      </c>
      <c r="H585" s="9">
        <v>3</v>
      </c>
      <c r="I585" s="9">
        <v>3</v>
      </c>
      <c r="J585" s="9">
        <v>0.22</v>
      </c>
      <c r="K585" s="9">
        <v>0.19700000000000001</v>
      </c>
      <c r="L585" s="9">
        <v>0.93</v>
      </c>
      <c r="M585" s="9">
        <v>0.35820000000000002</v>
      </c>
      <c r="N585" s="9">
        <v>0</v>
      </c>
      <c r="O585" s="9">
        <v>36</v>
      </c>
      <c r="P585" s="10">
        <v>36</v>
      </c>
    </row>
    <row r="586" spans="1:16" x14ac:dyDescent="0.3">
      <c r="A586" s="5">
        <v>585</v>
      </c>
      <c r="B586" s="11">
        <v>40569</v>
      </c>
      <c r="C586" s="6">
        <v>1</v>
      </c>
      <c r="D586" s="6">
        <v>0</v>
      </c>
      <c r="E586" s="6">
        <v>1</v>
      </c>
      <c r="F586" s="6">
        <v>15</v>
      </c>
      <c r="G586" s="6" t="b">
        <v>0</v>
      </c>
      <c r="H586" s="6">
        <v>3</v>
      </c>
      <c r="I586" s="6">
        <v>3</v>
      </c>
      <c r="J586" s="6">
        <v>0.22</v>
      </c>
      <c r="K586" s="6">
        <v>0.18179999999999999</v>
      </c>
      <c r="L586" s="6">
        <v>0.93</v>
      </c>
      <c r="M586" s="6">
        <v>0.4627</v>
      </c>
      <c r="N586" s="6">
        <v>1</v>
      </c>
      <c r="O586" s="6">
        <v>42</v>
      </c>
      <c r="P586" s="7">
        <v>43</v>
      </c>
    </row>
    <row r="587" spans="1:16" x14ac:dyDescent="0.3">
      <c r="A587" s="8">
        <v>586</v>
      </c>
      <c r="B587" s="12">
        <v>40569</v>
      </c>
      <c r="C587" s="9">
        <v>1</v>
      </c>
      <c r="D587" s="9">
        <v>0</v>
      </c>
      <c r="E587" s="9">
        <v>1</v>
      </c>
      <c r="F587" s="9">
        <v>16</v>
      </c>
      <c r="G587" s="9" t="b">
        <v>0</v>
      </c>
      <c r="H587" s="9">
        <v>3</v>
      </c>
      <c r="I587" s="9">
        <v>4</v>
      </c>
      <c r="J587" s="9">
        <v>0.22</v>
      </c>
      <c r="K587" s="9">
        <v>0.19700000000000001</v>
      </c>
      <c r="L587" s="9">
        <v>0.93</v>
      </c>
      <c r="M587" s="9">
        <v>0.32840000000000003</v>
      </c>
      <c r="N587" s="9">
        <v>1</v>
      </c>
      <c r="O587" s="9">
        <v>35</v>
      </c>
      <c r="P587" s="10">
        <v>36</v>
      </c>
    </row>
    <row r="588" spans="1:16" x14ac:dyDescent="0.3">
      <c r="A588" s="5">
        <v>587</v>
      </c>
      <c r="B588" s="11">
        <v>40569</v>
      </c>
      <c r="C588" s="6">
        <v>1</v>
      </c>
      <c r="D588" s="6">
        <v>0</v>
      </c>
      <c r="E588" s="6">
        <v>1</v>
      </c>
      <c r="F588" s="6">
        <v>17</v>
      </c>
      <c r="G588" s="6" t="b">
        <v>0</v>
      </c>
      <c r="H588" s="6">
        <v>3</v>
      </c>
      <c r="I588" s="6">
        <v>3</v>
      </c>
      <c r="J588" s="6">
        <v>0.2</v>
      </c>
      <c r="K588" s="6">
        <v>0.18179999999999999</v>
      </c>
      <c r="L588" s="6">
        <v>0.93</v>
      </c>
      <c r="M588" s="6">
        <v>0.35820000000000002</v>
      </c>
      <c r="N588" s="6">
        <v>0</v>
      </c>
      <c r="O588" s="6">
        <v>26</v>
      </c>
      <c r="P588" s="7">
        <v>26</v>
      </c>
    </row>
    <row r="589" spans="1:16" x14ac:dyDescent="0.3">
      <c r="A589" s="8">
        <v>588</v>
      </c>
      <c r="B589" s="12">
        <v>40570</v>
      </c>
      <c r="C589" s="9">
        <v>1</v>
      </c>
      <c r="D589" s="9">
        <v>0</v>
      </c>
      <c r="E589" s="9">
        <v>1</v>
      </c>
      <c r="F589" s="9">
        <v>16</v>
      </c>
      <c r="G589" s="9" t="b">
        <v>0</v>
      </c>
      <c r="H589" s="9">
        <v>4</v>
      </c>
      <c r="I589" s="9">
        <v>1</v>
      </c>
      <c r="J589" s="9">
        <v>0.22</v>
      </c>
      <c r="K589" s="9">
        <v>0.2273</v>
      </c>
      <c r="L589" s="9">
        <v>0.55000000000000004</v>
      </c>
      <c r="M589" s="9">
        <v>0.19400000000000001</v>
      </c>
      <c r="N589" s="9">
        <v>1</v>
      </c>
      <c r="O589" s="9">
        <v>23</v>
      </c>
      <c r="P589" s="10">
        <v>24</v>
      </c>
    </row>
    <row r="590" spans="1:16" x14ac:dyDescent="0.3">
      <c r="A590" s="5">
        <v>589</v>
      </c>
      <c r="B590" s="11">
        <v>40570</v>
      </c>
      <c r="C590" s="6">
        <v>1</v>
      </c>
      <c r="D590" s="6">
        <v>0</v>
      </c>
      <c r="E590" s="6">
        <v>1</v>
      </c>
      <c r="F590" s="6">
        <v>17</v>
      </c>
      <c r="G590" s="6" t="b">
        <v>0</v>
      </c>
      <c r="H590" s="6">
        <v>4</v>
      </c>
      <c r="I590" s="6">
        <v>1</v>
      </c>
      <c r="J590" s="6">
        <v>0.22</v>
      </c>
      <c r="K590" s="6">
        <v>0.2424</v>
      </c>
      <c r="L590" s="6">
        <v>0.55000000000000004</v>
      </c>
      <c r="M590" s="6">
        <v>0.1045</v>
      </c>
      <c r="N590" s="6">
        <v>2</v>
      </c>
      <c r="O590" s="6">
        <v>82</v>
      </c>
      <c r="P590" s="7">
        <v>84</v>
      </c>
    </row>
    <row r="591" spans="1:16" x14ac:dyDescent="0.3">
      <c r="A591" s="8">
        <v>590</v>
      </c>
      <c r="B591" s="12">
        <v>40570</v>
      </c>
      <c r="C591" s="9">
        <v>1</v>
      </c>
      <c r="D591" s="9">
        <v>0</v>
      </c>
      <c r="E591" s="9">
        <v>1</v>
      </c>
      <c r="F591" s="9">
        <v>18</v>
      </c>
      <c r="G591" s="9" t="b">
        <v>0</v>
      </c>
      <c r="H591" s="9">
        <v>4</v>
      </c>
      <c r="I591" s="9">
        <v>1</v>
      </c>
      <c r="J591" s="9">
        <v>0.2</v>
      </c>
      <c r="K591" s="9">
        <v>0.2273</v>
      </c>
      <c r="L591" s="9">
        <v>0.69</v>
      </c>
      <c r="M591" s="9">
        <v>8.9599999999999999E-2</v>
      </c>
      <c r="N591" s="9">
        <v>3</v>
      </c>
      <c r="O591" s="9">
        <v>101</v>
      </c>
      <c r="P591" s="10">
        <v>104</v>
      </c>
    </row>
    <row r="592" spans="1:16" x14ac:dyDescent="0.3">
      <c r="A592" s="5">
        <v>591</v>
      </c>
      <c r="B592" s="11">
        <v>40570</v>
      </c>
      <c r="C592" s="6">
        <v>1</v>
      </c>
      <c r="D592" s="6">
        <v>0</v>
      </c>
      <c r="E592" s="6">
        <v>1</v>
      </c>
      <c r="F592" s="6">
        <v>19</v>
      </c>
      <c r="G592" s="6" t="b">
        <v>0</v>
      </c>
      <c r="H592" s="6">
        <v>4</v>
      </c>
      <c r="I592" s="6">
        <v>1</v>
      </c>
      <c r="J592" s="6">
        <v>0.2</v>
      </c>
      <c r="K592" s="6">
        <v>0.2273</v>
      </c>
      <c r="L592" s="6">
        <v>0.69</v>
      </c>
      <c r="M592" s="6">
        <v>8.9599999999999999E-2</v>
      </c>
      <c r="N592" s="6">
        <v>3</v>
      </c>
      <c r="O592" s="6">
        <v>76</v>
      </c>
      <c r="P592" s="7">
        <v>79</v>
      </c>
    </row>
    <row r="593" spans="1:16" x14ac:dyDescent="0.3">
      <c r="A593" s="8">
        <v>592</v>
      </c>
      <c r="B593" s="12">
        <v>40570</v>
      </c>
      <c r="C593" s="9">
        <v>1</v>
      </c>
      <c r="D593" s="9">
        <v>0</v>
      </c>
      <c r="E593" s="9">
        <v>1</v>
      </c>
      <c r="F593" s="9">
        <v>20</v>
      </c>
      <c r="G593" s="9" t="b">
        <v>0</v>
      </c>
      <c r="H593" s="9">
        <v>4</v>
      </c>
      <c r="I593" s="9">
        <v>1</v>
      </c>
      <c r="J593" s="9">
        <v>0.18</v>
      </c>
      <c r="K593" s="9">
        <v>0.21210000000000001</v>
      </c>
      <c r="L593" s="9">
        <v>0.74</v>
      </c>
      <c r="M593" s="9">
        <v>8.9599999999999999E-2</v>
      </c>
      <c r="N593" s="9">
        <v>4</v>
      </c>
      <c r="O593" s="9">
        <v>55</v>
      </c>
      <c r="P593" s="10">
        <v>59</v>
      </c>
    </row>
    <row r="594" spans="1:16" x14ac:dyDescent="0.3">
      <c r="A594" s="5">
        <v>593</v>
      </c>
      <c r="B594" s="11">
        <v>40570</v>
      </c>
      <c r="C594" s="6">
        <v>1</v>
      </c>
      <c r="D594" s="6">
        <v>0</v>
      </c>
      <c r="E594" s="6">
        <v>1</v>
      </c>
      <c r="F594" s="6">
        <v>21</v>
      </c>
      <c r="G594" s="6" t="b">
        <v>0</v>
      </c>
      <c r="H594" s="6">
        <v>4</v>
      </c>
      <c r="I594" s="6">
        <v>1</v>
      </c>
      <c r="J594" s="6">
        <v>0.18</v>
      </c>
      <c r="K594" s="6">
        <v>0.21210000000000001</v>
      </c>
      <c r="L594" s="6">
        <v>0.74</v>
      </c>
      <c r="M594" s="6">
        <v>8.9599999999999999E-2</v>
      </c>
      <c r="N594" s="6">
        <v>2</v>
      </c>
      <c r="O594" s="6">
        <v>36</v>
      </c>
      <c r="P594" s="7">
        <v>38</v>
      </c>
    </row>
    <row r="595" spans="1:16" x14ac:dyDescent="0.3">
      <c r="A595" s="8">
        <v>594</v>
      </c>
      <c r="B595" s="12">
        <v>40570</v>
      </c>
      <c r="C595" s="9">
        <v>1</v>
      </c>
      <c r="D595" s="9">
        <v>0</v>
      </c>
      <c r="E595" s="9">
        <v>1</v>
      </c>
      <c r="F595" s="9">
        <v>22</v>
      </c>
      <c r="G595" s="9" t="b">
        <v>0</v>
      </c>
      <c r="H595" s="9">
        <v>4</v>
      </c>
      <c r="I595" s="9">
        <v>1</v>
      </c>
      <c r="J595" s="9">
        <v>0.18</v>
      </c>
      <c r="K595" s="9">
        <v>0.21210000000000001</v>
      </c>
      <c r="L595" s="9">
        <v>0.74</v>
      </c>
      <c r="M595" s="9">
        <v>8.9599999999999999E-2</v>
      </c>
      <c r="N595" s="9">
        <v>0</v>
      </c>
      <c r="O595" s="9">
        <v>27</v>
      </c>
      <c r="P595" s="10">
        <v>27</v>
      </c>
    </row>
    <row r="596" spans="1:16" x14ac:dyDescent="0.3">
      <c r="A596" s="5">
        <v>595</v>
      </c>
      <c r="B596" s="11">
        <v>40570</v>
      </c>
      <c r="C596" s="6">
        <v>1</v>
      </c>
      <c r="D596" s="6">
        <v>0</v>
      </c>
      <c r="E596" s="6">
        <v>1</v>
      </c>
      <c r="F596" s="6">
        <v>23</v>
      </c>
      <c r="G596" s="6" t="b">
        <v>0</v>
      </c>
      <c r="H596" s="6">
        <v>4</v>
      </c>
      <c r="I596" s="6">
        <v>1</v>
      </c>
      <c r="J596" s="6">
        <v>0.18</v>
      </c>
      <c r="K596" s="6">
        <v>0.19700000000000001</v>
      </c>
      <c r="L596" s="6">
        <v>0.8</v>
      </c>
      <c r="M596" s="6">
        <v>0.16420000000000001</v>
      </c>
      <c r="N596" s="6">
        <v>0</v>
      </c>
      <c r="O596" s="6">
        <v>16</v>
      </c>
      <c r="P596" s="7">
        <v>16</v>
      </c>
    </row>
    <row r="597" spans="1:16" x14ac:dyDescent="0.3">
      <c r="A597" s="8">
        <v>596</v>
      </c>
      <c r="B597" s="12">
        <v>40571</v>
      </c>
      <c r="C597" s="9">
        <v>1</v>
      </c>
      <c r="D597" s="9">
        <v>0</v>
      </c>
      <c r="E597" s="9">
        <v>1</v>
      </c>
      <c r="F597" s="9">
        <v>0</v>
      </c>
      <c r="G597" s="9" t="b">
        <v>0</v>
      </c>
      <c r="H597" s="9">
        <v>5</v>
      </c>
      <c r="I597" s="9">
        <v>2</v>
      </c>
      <c r="J597" s="9">
        <v>0.2</v>
      </c>
      <c r="K597" s="9">
        <v>0.21210000000000001</v>
      </c>
      <c r="L597" s="9">
        <v>0.75</v>
      </c>
      <c r="M597" s="9">
        <v>0.1343</v>
      </c>
      <c r="N597" s="9">
        <v>0</v>
      </c>
      <c r="O597" s="9">
        <v>9</v>
      </c>
      <c r="P597" s="10">
        <v>9</v>
      </c>
    </row>
    <row r="598" spans="1:16" x14ac:dyDescent="0.3">
      <c r="A598" s="5">
        <v>597</v>
      </c>
      <c r="B598" s="11">
        <v>40571</v>
      </c>
      <c r="C598" s="6">
        <v>1</v>
      </c>
      <c r="D598" s="6">
        <v>0</v>
      </c>
      <c r="E598" s="6">
        <v>1</v>
      </c>
      <c r="F598" s="6">
        <v>1</v>
      </c>
      <c r="G598" s="6" t="b">
        <v>0</v>
      </c>
      <c r="H598" s="6">
        <v>5</v>
      </c>
      <c r="I598" s="6">
        <v>2</v>
      </c>
      <c r="J598" s="6">
        <v>0.2</v>
      </c>
      <c r="K598" s="6">
        <v>0.21210000000000001</v>
      </c>
      <c r="L598" s="6">
        <v>0.75</v>
      </c>
      <c r="M598" s="6">
        <v>0.1343</v>
      </c>
      <c r="N598" s="6">
        <v>1</v>
      </c>
      <c r="O598" s="6">
        <v>2</v>
      </c>
      <c r="P598" s="7">
        <v>3</v>
      </c>
    </row>
    <row r="599" spans="1:16" x14ac:dyDescent="0.3">
      <c r="A599" s="8">
        <v>598</v>
      </c>
      <c r="B599" s="12">
        <v>40571</v>
      </c>
      <c r="C599" s="9">
        <v>1</v>
      </c>
      <c r="D599" s="9">
        <v>0</v>
      </c>
      <c r="E599" s="9">
        <v>1</v>
      </c>
      <c r="F599" s="9">
        <v>2</v>
      </c>
      <c r="G599" s="9" t="b">
        <v>0</v>
      </c>
      <c r="H599" s="9">
        <v>5</v>
      </c>
      <c r="I599" s="9">
        <v>2</v>
      </c>
      <c r="J599" s="9">
        <v>0.2</v>
      </c>
      <c r="K599" s="9">
        <v>0.21210000000000001</v>
      </c>
      <c r="L599" s="9">
        <v>0.75</v>
      </c>
      <c r="M599" s="9">
        <v>0.16420000000000001</v>
      </c>
      <c r="N599" s="9">
        <v>0</v>
      </c>
      <c r="O599" s="9">
        <v>2</v>
      </c>
      <c r="P599" s="10">
        <v>2</v>
      </c>
    </row>
    <row r="600" spans="1:16" x14ac:dyDescent="0.3">
      <c r="A600" s="5">
        <v>599</v>
      </c>
      <c r="B600" s="11">
        <v>40571</v>
      </c>
      <c r="C600" s="6">
        <v>1</v>
      </c>
      <c r="D600" s="6">
        <v>0</v>
      </c>
      <c r="E600" s="6">
        <v>1</v>
      </c>
      <c r="F600" s="6">
        <v>3</v>
      </c>
      <c r="G600" s="6" t="b">
        <v>0</v>
      </c>
      <c r="H600" s="6">
        <v>5</v>
      </c>
      <c r="I600" s="6">
        <v>2</v>
      </c>
      <c r="J600" s="6">
        <v>0.2</v>
      </c>
      <c r="K600" s="6">
        <v>0.2273</v>
      </c>
      <c r="L600" s="6">
        <v>0.75</v>
      </c>
      <c r="M600" s="6">
        <v>0.1045</v>
      </c>
      <c r="N600" s="6">
        <v>1</v>
      </c>
      <c r="O600" s="6">
        <v>0</v>
      </c>
      <c r="P600" s="7">
        <v>1</v>
      </c>
    </row>
    <row r="601" spans="1:16" x14ac:dyDescent="0.3">
      <c r="A601" s="8">
        <v>600</v>
      </c>
      <c r="B601" s="12">
        <v>40571</v>
      </c>
      <c r="C601" s="9">
        <v>1</v>
      </c>
      <c r="D601" s="9">
        <v>0</v>
      </c>
      <c r="E601" s="9">
        <v>1</v>
      </c>
      <c r="F601" s="9">
        <v>5</v>
      </c>
      <c r="G601" s="9" t="b">
        <v>0</v>
      </c>
      <c r="H601" s="9">
        <v>5</v>
      </c>
      <c r="I601" s="9">
        <v>2</v>
      </c>
      <c r="J601" s="9">
        <v>0.18</v>
      </c>
      <c r="K601" s="9">
        <v>0.21210000000000001</v>
      </c>
      <c r="L601" s="9">
        <v>0.8</v>
      </c>
      <c r="M601" s="9">
        <v>0.1045</v>
      </c>
      <c r="N601" s="9">
        <v>0</v>
      </c>
      <c r="O601" s="9">
        <v>4</v>
      </c>
      <c r="P601" s="10">
        <v>4</v>
      </c>
    </row>
    <row r="602" spans="1:16" x14ac:dyDescent="0.3">
      <c r="A602" s="5">
        <v>601</v>
      </c>
      <c r="B602" s="11">
        <v>40571</v>
      </c>
      <c r="C602" s="6">
        <v>1</v>
      </c>
      <c r="D602" s="6">
        <v>0</v>
      </c>
      <c r="E602" s="6">
        <v>1</v>
      </c>
      <c r="F602" s="6">
        <v>6</v>
      </c>
      <c r="G602" s="6" t="b">
        <v>0</v>
      </c>
      <c r="H602" s="6">
        <v>5</v>
      </c>
      <c r="I602" s="6">
        <v>2</v>
      </c>
      <c r="J602" s="6">
        <v>0.18</v>
      </c>
      <c r="K602" s="6">
        <v>0.19700000000000001</v>
      </c>
      <c r="L602" s="6">
        <v>0.8</v>
      </c>
      <c r="M602" s="6">
        <v>0.1343</v>
      </c>
      <c r="N602" s="6">
        <v>0</v>
      </c>
      <c r="O602" s="6">
        <v>16</v>
      </c>
      <c r="P602" s="7">
        <v>16</v>
      </c>
    </row>
    <row r="603" spans="1:16" x14ac:dyDescent="0.3">
      <c r="A603" s="8">
        <v>602</v>
      </c>
      <c r="B603" s="12">
        <v>40571</v>
      </c>
      <c r="C603" s="9">
        <v>1</v>
      </c>
      <c r="D603" s="9">
        <v>0</v>
      </c>
      <c r="E603" s="9">
        <v>1</v>
      </c>
      <c r="F603" s="9">
        <v>7</v>
      </c>
      <c r="G603" s="9" t="b">
        <v>0</v>
      </c>
      <c r="H603" s="9">
        <v>5</v>
      </c>
      <c r="I603" s="9">
        <v>2</v>
      </c>
      <c r="J603" s="9">
        <v>0.16</v>
      </c>
      <c r="K603" s="9">
        <v>0.19700000000000001</v>
      </c>
      <c r="L603" s="9">
        <v>0.86</v>
      </c>
      <c r="M603" s="9">
        <v>8.9599999999999999E-2</v>
      </c>
      <c r="N603" s="9">
        <v>2</v>
      </c>
      <c r="O603" s="9">
        <v>58</v>
      </c>
      <c r="P603" s="10">
        <v>60</v>
      </c>
    </row>
    <row r="604" spans="1:16" x14ac:dyDescent="0.3">
      <c r="A604" s="5">
        <v>603</v>
      </c>
      <c r="B604" s="11">
        <v>40571</v>
      </c>
      <c r="C604" s="6">
        <v>1</v>
      </c>
      <c r="D604" s="6">
        <v>0</v>
      </c>
      <c r="E604" s="6">
        <v>1</v>
      </c>
      <c r="F604" s="6">
        <v>8</v>
      </c>
      <c r="G604" s="6" t="b">
        <v>0</v>
      </c>
      <c r="H604" s="6">
        <v>5</v>
      </c>
      <c r="I604" s="6">
        <v>2</v>
      </c>
      <c r="J604" s="6">
        <v>0.16</v>
      </c>
      <c r="K604" s="6">
        <v>0.19700000000000001</v>
      </c>
      <c r="L604" s="6">
        <v>0.86</v>
      </c>
      <c r="M604" s="6">
        <v>8.9599999999999999E-2</v>
      </c>
      <c r="N604" s="6">
        <v>2</v>
      </c>
      <c r="O604" s="6">
        <v>155</v>
      </c>
      <c r="P604" s="7">
        <v>157</v>
      </c>
    </row>
    <row r="605" spans="1:16" x14ac:dyDescent="0.3">
      <c r="A605" s="8">
        <v>604</v>
      </c>
      <c r="B605" s="12">
        <v>40571</v>
      </c>
      <c r="C605" s="9">
        <v>1</v>
      </c>
      <c r="D605" s="9">
        <v>0</v>
      </c>
      <c r="E605" s="9">
        <v>1</v>
      </c>
      <c r="F605" s="9">
        <v>9</v>
      </c>
      <c r="G605" s="9" t="b">
        <v>0</v>
      </c>
      <c r="H605" s="9">
        <v>5</v>
      </c>
      <c r="I605" s="9">
        <v>3</v>
      </c>
      <c r="J605" s="9">
        <v>0.18</v>
      </c>
      <c r="K605" s="9">
        <v>0.21210000000000001</v>
      </c>
      <c r="L605" s="9">
        <v>0.86</v>
      </c>
      <c r="M605" s="9">
        <v>8.9599999999999999E-2</v>
      </c>
      <c r="N605" s="9">
        <v>6</v>
      </c>
      <c r="O605" s="9">
        <v>95</v>
      </c>
      <c r="P605" s="10">
        <v>101</v>
      </c>
    </row>
    <row r="606" spans="1:16" x14ac:dyDescent="0.3">
      <c r="A606" s="5">
        <v>605</v>
      </c>
      <c r="B606" s="11">
        <v>40571</v>
      </c>
      <c r="C606" s="6">
        <v>1</v>
      </c>
      <c r="D606" s="6">
        <v>0</v>
      </c>
      <c r="E606" s="6">
        <v>1</v>
      </c>
      <c r="F606" s="6">
        <v>10</v>
      </c>
      <c r="G606" s="6" t="b">
        <v>0</v>
      </c>
      <c r="H606" s="6">
        <v>5</v>
      </c>
      <c r="I606" s="6">
        <v>3</v>
      </c>
      <c r="J606" s="6">
        <v>0.18</v>
      </c>
      <c r="K606" s="6">
        <v>0.21210000000000001</v>
      </c>
      <c r="L606" s="6">
        <v>0.86</v>
      </c>
      <c r="M606" s="6">
        <v>0.1045</v>
      </c>
      <c r="N606" s="6">
        <v>0</v>
      </c>
      <c r="O606" s="6">
        <v>49</v>
      </c>
      <c r="P606" s="7">
        <v>49</v>
      </c>
    </row>
    <row r="607" spans="1:16" x14ac:dyDescent="0.3">
      <c r="A607" s="8">
        <v>606</v>
      </c>
      <c r="B607" s="12">
        <v>40571</v>
      </c>
      <c r="C607" s="9">
        <v>1</v>
      </c>
      <c r="D607" s="9">
        <v>0</v>
      </c>
      <c r="E607" s="9">
        <v>1</v>
      </c>
      <c r="F607" s="9">
        <v>11</v>
      </c>
      <c r="G607" s="9" t="b">
        <v>0</v>
      </c>
      <c r="H607" s="9">
        <v>5</v>
      </c>
      <c r="I607" s="9">
        <v>3</v>
      </c>
      <c r="J607" s="9">
        <v>0.18</v>
      </c>
      <c r="K607" s="9">
        <v>0.21210000000000001</v>
      </c>
      <c r="L607" s="9">
        <v>0.93</v>
      </c>
      <c r="M607" s="9">
        <v>0.1045</v>
      </c>
      <c r="N607" s="9">
        <v>0</v>
      </c>
      <c r="O607" s="9">
        <v>30</v>
      </c>
      <c r="P607" s="10">
        <v>30</v>
      </c>
    </row>
    <row r="608" spans="1:16" x14ac:dyDescent="0.3">
      <c r="A608" s="5">
        <v>607</v>
      </c>
      <c r="B608" s="11">
        <v>40571</v>
      </c>
      <c r="C608" s="6">
        <v>1</v>
      </c>
      <c r="D608" s="6">
        <v>0</v>
      </c>
      <c r="E608" s="6">
        <v>1</v>
      </c>
      <c r="F608" s="6">
        <v>12</v>
      </c>
      <c r="G608" s="6" t="b">
        <v>0</v>
      </c>
      <c r="H608" s="6">
        <v>5</v>
      </c>
      <c r="I608" s="6">
        <v>3</v>
      </c>
      <c r="J608" s="6">
        <v>0.18</v>
      </c>
      <c r="K608" s="6">
        <v>0.21210000000000001</v>
      </c>
      <c r="L608" s="6">
        <v>0.93</v>
      </c>
      <c r="M608" s="6">
        <v>0.1045</v>
      </c>
      <c r="N608" s="6">
        <v>1</v>
      </c>
      <c r="O608" s="6">
        <v>28</v>
      </c>
      <c r="P608" s="7">
        <v>29</v>
      </c>
    </row>
    <row r="609" spans="1:16" x14ac:dyDescent="0.3">
      <c r="A609" s="8">
        <v>608</v>
      </c>
      <c r="B609" s="12">
        <v>40571</v>
      </c>
      <c r="C609" s="9">
        <v>1</v>
      </c>
      <c r="D609" s="9">
        <v>0</v>
      </c>
      <c r="E609" s="9">
        <v>1</v>
      </c>
      <c r="F609" s="9">
        <v>13</v>
      </c>
      <c r="G609" s="9" t="b">
        <v>0</v>
      </c>
      <c r="H609" s="9">
        <v>5</v>
      </c>
      <c r="I609" s="9">
        <v>3</v>
      </c>
      <c r="J609" s="9">
        <v>0.18</v>
      </c>
      <c r="K609" s="9">
        <v>0.21210000000000001</v>
      </c>
      <c r="L609" s="9">
        <v>0.93</v>
      </c>
      <c r="M609" s="9">
        <v>0.1045</v>
      </c>
      <c r="N609" s="9">
        <v>0</v>
      </c>
      <c r="O609" s="9">
        <v>31</v>
      </c>
      <c r="P609" s="10">
        <v>31</v>
      </c>
    </row>
    <row r="610" spans="1:16" x14ac:dyDescent="0.3">
      <c r="A610" s="5">
        <v>609</v>
      </c>
      <c r="B610" s="11">
        <v>40571</v>
      </c>
      <c r="C610" s="6">
        <v>1</v>
      </c>
      <c r="D610" s="6">
        <v>0</v>
      </c>
      <c r="E610" s="6">
        <v>1</v>
      </c>
      <c r="F610" s="6">
        <v>14</v>
      </c>
      <c r="G610" s="6" t="b">
        <v>0</v>
      </c>
      <c r="H610" s="6">
        <v>5</v>
      </c>
      <c r="I610" s="6">
        <v>3</v>
      </c>
      <c r="J610" s="6">
        <v>0.22</v>
      </c>
      <c r="K610" s="6">
        <v>0.2727</v>
      </c>
      <c r="L610" s="6">
        <v>0.8</v>
      </c>
      <c r="M610" s="6">
        <v>0</v>
      </c>
      <c r="N610" s="6">
        <v>2</v>
      </c>
      <c r="O610" s="6">
        <v>36</v>
      </c>
      <c r="P610" s="7">
        <v>38</v>
      </c>
    </row>
    <row r="611" spans="1:16" x14ac:dyDescent="0.3">
      <c r="A611" s="8">
        <v>610</v>
      </c>
      <c r="B611" s="12">
        <v>40571</v>
      </c>
      <c r="C611" s="9">
        <v>1</v>
      </c>
      <c r="D611" s="9">
        <v>0</v>
      </c>
      <c r="E611" s="9">
        <v>1</v>
      </c>
      <c r="F611" s="9">
        <v>15</v>
      </c>
      <c r="G611" s="9" t="b">
        <v>0</v>
      </c>
      <c r="H611" s="9">
        <v>5</v>
      </c>
      <c r="I611" s="9">
        <v>2</v>
      </c>
      <c r="J611" s="9">
        <v>0.2</v>
      </c>
      <c r="K611" s="9">
        <v>0.2576</v>
      </c>
      <c r="L611" s="9">
        <v>0.86</v>
      </c>
      <c r="M611" s="9">
        <v>0</v>
      </c>
      <c r="N611" s="9">
        <v>1</v>
      </c>
      <c r="O611" s="9">
        <v>40</v>
      </c>
      <c r="P611" s="10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F472-7DC0-4763-8610-23F546D33585}">
  <dimension ref="A1:P391"/>
  <sheetViews>
    <sheetView topLeftCell="A370" workbookViewId="0">
      <selection activeCell="E12" sqref="E12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9" bestFit="1" customWidth="1"/>
    <col min="4" max="4" width="4.88671875" bestFit="1" customWidth="1"/>
    <col min="5" max="5" width="7.77734375" bestFit="1" customWidth="1"/>
    <col min="6" max="6" width="5" bestFit="1" customWidth="1"/>
    <col min="7" max="7" width="9.44140625" bestFit="1" customWidth="1"/>
    <col min="8" max="8" width="10.77734375" bestFit="1" customWidth="1"/>
    <col min="9" max="9" width="12" bestFit="1" customWidth="1"/>
    <col min="10" max="10" width="7.6640625" bestFit="1" customWidth="1"/>
    <col min="11" max="11" width="8.6640625" bestFit="1" customWidth="1"/>
    <col min="12" max="12" width="7.109375" bestFit="1" customWidth="1"/>
    <col min="13" max="13" width="12.33203125" bestFit="1" customWidth="1"/>
    <col min="14" max="14" width="8.44140625" bestFit="1" customWidth="1"/>
    <col min="15" max="15" width="11.5546875" bestFit="1" customWidth="1"/>
    <col min="16" max="16" width="5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3">
      <c r="A2">
        <v>611</v>
      </c>
      <c r="B2" s="1">
        <v>40571</v>
      </c>
      <c r="C2">
        <v>1</v>
      </c>
      <c r="D2">
        <v>0</v>
      </c>
      <c r="E2">
        <v>1</v>
      </c>
      <c r="F2">
        <v>16</v>
      </c>
      <c r="G2" t="b">
        <v>0</v>
      </c>
      <c r="H2">
        <v>5</v>
      </c>
      <c r="I2">
        <v>1</v>
      </c>
      <c r="J2">
        <v>0.22</v>
      </c>
      <c r="K2">
        <v>0.2727</v>
      </c>
      <c r="L2">
        <v>0.8</v>
      </c>
      <c r="M2">
        <v>0</v>
      </c>
      <c r="N2">
        <v>10</v>
      </c>
      <c r="O2">
        <v>70</v>
      </c>
      <c r="P2">
        <v>80</v>
      </c>
    </row>
    <row r="3" spans="1:16" x14ac:dyDescent="0.3">
      <c r="A3">
        <v>612</v>
      </c>
      <c r="B3" s="1">
        <v>40571</v>
      </c>
      <c r="C3">
        <v>1</v>
      </c>
      <c r="D3">
        <v>0</v>
      </c>
      <c r="E3">
        <v>1</v>
      </c>
      <c r="F3">
        <v>17</v>
      </c>
      <c r="G3" t="b">
        <v>0</v>
      </c>
      <c r="H3">
        <v>5</v>
      </c>
      <c r="I3">
        <v>1</v>
      </c>
      <c r="J3">
        <v>0.24</v>
      </c>
      <c r="K3">
        <v>0.2424</v>
      </c>
      <c r="L3">
        <v>0.75</v>
      </c>
      <c r="M3">
        <v>0.1343</v>
      </c>
      <c r="N3">
        <v>2</v>
      </c>
      <c r="O3">
        <v>147</v>
      </c>
      <c r="P3">
        <v>149</v>
      </c>
    </row>
    <row r="4" spans="1:16" x14ac:dyDescent="0.3">
      <c r="A4">
        <v>613</v>
      </c>
      <c r="B4" s="1">
        <v>40571</v>
      </c>
      <c r="C4">
        <v>1</v>
      </c>
      <c r="D4">
        <v>0</v>
      </c>
      <c r="E4">
        <v>1</v>
      </c>
      <c r="F4">
        <v>18</v>
      </c>
      <c r="G4" t="b">
        <v>0</v>
      </c>
      <c r="H4">
        <v>5</v>
      </c>
      <c r="I4">
        <v>1</v>
      </c>
      <c r="J4">
        <v>0.24</v>
      </c>
      <c r="K4">
        <v>0.2273</v>
      </c>
      <c r="L4">
        <v>0.75</v>
      </c>
      <c r="M4">
        <v>0.19400000000000001</v>
      </c>
      <c r="N4">
        <v>2</v>
      </c>
      <c r="O4">
        <v>107</v>
      </c>
      <c r="P4">
        <v>109</v>
      </c>
    </row>
    <row r="5" spans="1:16" x14ac:dyDescent="0.3">
      <c r="A5">
        <v>614</v>
      </c>
      <c r="B5" s="1">
        <v>40571</v>
      </c>
      <c r="C5">
        <v>1</v>
      </c>
      <c r="D5">
        <v>0</v>
      </c>
      <c r="E5">
        <v>1</v>
      </c>
      <c r="F5">
        <v>19</v>
      </c>
      <c r="G5" t="b">
        <v>0</v>
      </c>
      <c r="H5">
        <v>5</v>
      </c>
      <c r="I5">
        <v>2</v>
      </c>
      <c r="J5">
        <v>0.24</v>
      </c>
      <c r="K5">
        <v>0.2424</v>
      </c>
      <c r="L5">
        <v>0.75</v>
      </c>
      <c r="M5">
        <v>0.1343</v>
      </c>
      <c r="N5">
        <v>5</v>
      </c>
      <c r="O5">
        <v>84</v>
      </c>
      <c r="P5">
        <v>89</v>
      </c>
    </row>
    <row r="6" spans="1:16" x14ac:dyDescent="0.3">
      <c r="A6">
        <v>615</v>
      </c>
      <c r="B6" s="1">
        <v>40571</v>
      </c>
      <c r="C6">
        <v>1</v>
      </c>
      <c r="D6">
        <v>0</v>
      </c>
      <c r="E6">
        <v>1</v>
      </c>
      <c r="F6">
        <v>20</v>
      </c>
      <c r="G6" t="b">
        <v>0</v>
      </c>
      <c r="H6">
        <v>5</v>
      </c>
      <c r="I6">
        <v>2</v>
      </c>
      <c r="J6">
        <v>0.24</v>
      </c>
      <c r="K6">
        <v>0.2273</v>
      </c>
      <c r="L6">
        <v>0.7</v>
      </c>
      <c r="M6">
        <v>0.19400000000000001</v>
      </c>
      <c r="N6">
        <v>1</v>
      </c>
      <c r="O6">
        <v>61</v>
      </c>
      <c r="P6">
        <v>62</v>
      </c>
    </row>
    <row r="7" spans="1:16" x14ac:dyDescent="0.3">
      <c r="A7">
        <v>616</v>
      </c>
      <c r="B7" s="1">
        <v>40571</v>
      </c>
      <c r="C7">
        <v>1</v>
      </c>
      <c r="D7">
        <v>0</v>
      </c>
      <c r="E7">
        <v>1</v>
      </c>
      <c r="F7">
        <v>21</v>
      </c>
      <c r="G7" t="b">
        <v>0</v>
      </c>
      <c r="H7">
        <v>5</v>
      </c>
      <c r="I7">
        <v>2</v>
      </c>
      <c r="J7">
        <v>0.22</v>
      </c>
      <c r="K7">
        <v>0.2273</v>
      </c>
      <c r="L7">
        <v>0.75</v>
      </c>
      <c r="M7">
        <v>0.1343</v>
      </c>
      <c r="N7">
        <v>1</v>
      </c>
      <c r="O7">
        <v>57</v>
      </c>
      <c r="P7">
        <v>58</v>
      </c>
    </row>
    <row r="8" spans="1:16" x14ac:dyDescent="0.3">
      <c r="A8">
        <v>617</v>
      </c>
      <c r="B8" s="1">
        <v>40571</v>
      </c>
      <c r="C8">
        <v>1</v>
      </c>
      <c r="D8">
        <v>0</v>
      </c>
      <c r="E8">
        <v>1</v>
      </c>
      <c r="F8">
        <v>22</v>
      </c>
      <c r="G8" t="b">
        <v>0</v>
      </c>
      <c r="H8">
        <v>5</v>
      </c>
      <c r="I8">
        <v>1</v>
      </c>
      <c r="J8">
        <v>0.24</v>
      </c>
      <c r="K8">
        <v>0.21210000000000001</v>
      </c>
      <c r="L8">
        <v>0.65</v>
      </c>
      <c r="M8">
        <v>0.35820000000000002</v>
      </c>
      <c r="N8">
        <v>0</v>
      </c>
      <c r="O8">
        <v>26</v>
      </c>
      <c r="P8">
        <v>26</v>
      </c>
    </row>
    <row r="9" spans="1:16" x14ac:dyDescent="0.3">
      <c r="A9">
        <v>618</v>
      </c>
      <c r="B9" s="1">
        <v>40571</v>
      </c>
      <c r="C9">
        <v>1</v>
      </c>
      <c r="D9">
        <v>0</v>
      </c>
      <c r="E9">
        <v>1</v>
      </c>
      <c r="F9">
        <v>23</v>
      </c>
      <c r="G9" t="b">
        <v>0</v>
      </c>
      <c r="H9">
        <v>5</v>
      </c>
      <c r="I9">
        <v>1</v>
      </c>
      <c r="J9">
        <v>0.24</v>
      </c>
      <c r="K9">
        <v>0.2273</v>
      </c>
      <c r="L9">
        <v>0.6</v>
      </c>
      <c r="M9">
        <v>0.22389999999999999</v>
      </c>
      <c r="N9">
        <v>1</v>
      </c>
      <c r="O9">
        <v>22</v>
      </c>
      <c r="P9">
        <v>23</v>
      </c>
    </row>
    <row r="10" spans="1:16" x14ac:dyDescent="0.3">
      <c r="A10">
        <v>619</v>
      </c>
      <c r="B10" s="1">
        <v>40572</v>
      </c>
      <c r="C10">
        <v>1</v>
      </c>
      <c r="D10">
        <v>0</v>
      </c>
      <c r="E10">
        <v>1</v>
      </c>
      <c r="F10">
        <v>0</v>
      </c>
      <c r="G10" t="b">
        <v>0</v>
      </c>
      <c r="H10">
        <v>6</v>
      </c>
      <c r="I10">
        <v>1</v>
      </c>
      <c r="J10">
        <v>0.22</v>
      </c>
      <c r="K10">
        <v>0.19700000000000001</v>
      </c>
      <c r="L10">
        <v>0.64</v>
      </c>
      <c r="M10">
        <v>0.35820000000000002</v>
      </c>
      <c r="N10">
        <v>2</v>
      </c>
      <c r="O10">
        <v>26</v>
      </c>
      <c r="P10">
        <v>28</v>
      </c>
    </row>
    <row r="11" spans="1:16" x14ac:dyDescent="0.3">
      <c r="A11">
        <v>620</v>
      </c>
      <c r="B11" s="1">
        <v>40572</v>
      </c>
      <c r="C11">
        <v>1</v>
      </c>
      <c r="D11">
        <v>0</v>
      </c>
      <c r="E11">
        <v>1</v>
      </c>
      <c r="F11">
        <v>1</v>
      </c>
      <c r="G11" t="b">
        <v>0</v>
      </c>
      <c r="H11">
        <v>6</v>
      </c>
      <c r="I11">
        <v>1</v>
      </c>
      <c r="J11">
        <v>0.22</v>
      </c>
      <c r="K11">
        <v>0.2273</v>
      </c>
      <c r="L11">
        <v>0.64</v>
      </c>
      <c r="M11">
        <v>0.19400000000000001</v>
      </c>
      <c r="N11">
        <v>0</v>
      </c>
      <c r="O11">
        <v>20</v>
      </c>
      <c r="P11">
        <v>20</v>
      </c>
    </row>
    <row r="12" spans="1:16" x14ac:dyDescent="0.3">
      <c r="A12">
        <v>621</v>
      </c>
      <c r="B12" s="1">
        <v>40572</v>
      </c>
      <c r="C12">
        <v>1</v>
      </c>
      <c r="D12">
        <v>0</v>
      </c>
      <c r="E12">
        <v>1</v>
      </c>
      <c r="F12">
        <v>2</v>
      </c>
      <c r="G12" t="b">
        <v>0</v>
      </c>
      <c r="H12">
        <v>6</v>
      </c>
      <c r="I12">
        <v>1</v>
      </c>
      <c r="J12">
        <v>0.22</v>
      </c>
      <c r="K12">
        <v>0.2273</v>
      </c>
      <c r="L12">
        <v>0.64</v>
      </c>
      <c r="M12">
        <v>0.16420000000000001</v>
      </c>
      <c r="N12">
        <v>0</v>
      </c>
      <c r="O12">
        <v>15</v>
      </c>
      <c r="P12">
        <v>15</v>
      </c>
    </row>
    <row r="13" spans="1:16" x14ac:dyDescent="0.3">
      <c r="A13">
        <v>622</v>
      </c>
      <c r="B13" s="1">
        <v>40572</v>
      </c>
      <c r="C13">
        <v>1</v>
      </c>
      <c r="D13">
        <v>0</v>
      </c>
      <c r="E13">
        <v>1</v>
      </c>
      <c r="F13">
        <v>3</v>
      </c>
      <c r="G13" t="b">
        <v>0</v>
      </c>
      <c r="H13">
        <v>6</v>
      </c>
      <c r="I13">
        <v>1</v>
      </c>
      <c r="J13">
        <v>0.2</v>
      </c>
      <c r="K13">
        <v>0.21210000000000001</v>
      </c>
      <c r="L13">
        <v>0.64</v>
      </c>
      <c r="M13">
        <v>0.1343</v>
      </c>
      <c r="N13">
        <v>3</v>
      </c>
      <c r="O13">
        <v>5</v>
      </c>
      <c r="P13">
        <v>8</v>
      </c>
    </row>
    <row r="14" spans="1:16" x14ac:dyDescent="0.3">
      <c r="A14">
        <v>623</v>
      </c>
      <c r="B14" s="1">
        <v>40572</v>
      </c>
      <c r="C14">
        <v>1</v>
      </c>
      <c r="D14">
        <v>0</v>
      </c>
      <c r="E14">
        <v>1</v>
      </c>
      <c r="F14">
        <v>4</v>
      </c>
      <c r="G14" t="b">
        <v>0</v>
      </c>
      <c r="H14">
        <v>6</v>
      </c>
      <c r="I14">
        <v>1</v>
      </c>
      <c r="J14">
        <v>0.16</v>
      </c>
      <c r="K14">
        <v>0.18179999999999999</v>
      </c>
      <c r="L14">
        <v>0.69</v>
      </c>
      <c r="M14">
        <v>0.1045</v>
      </c>
      <c r="N14">
        <v>1</v>
      </c>
      <c r="O14">
        <v>2</v>
      </c>
      <c r="P14">
        <v>3</v>
      </c>
    </row>
    <row r="15" spans="1:16" x14ac:dyDescent="0.3">
      <c r="A15">
        <v>624</v>
      </c>
      <c r="B15" s="1">
        <v>40572</v>
      </c>
      <c r="C15">
        <v>1</v>
      </c>
      <c r="D15">
        <v>0</v>
      </c>
      <c r="E15">
        <v>1</v>
      </c>
      <c r="F15">
        <v>6</v>
      </c>
      <c r="G15" t="b">
        <v>0</v>
      </c>
      <c r="H15">
        <v>6</v>
      </c>
      <c r="I15">
        <v>1</v>
      </c>
      <c r="J15">
        <v>0.16</v>
      </c>
      <c r="K15">
        <v>0.18179999999999999</v>
      </c>
      <c r="L15">
        <v>0.64</v>
      </c>
      <c r="M15">
        <v>0.1343</v>
      </c>
      <c r="N15">
        <v>0</v>
      </c>
      <c r="O15">
        <v>2</v>
      </c>
      <c r="P15">
        <v>2</v>
      </c>
    </row>
    <row r="16" spans="1:16" x14ac:dyDescent="0.3">
      <c r="A16">
        <v>625</v>
      </c>
      <c r="B16" s="1">
        <v>40572</v>
      </c>
      <c r="C16">
        <v>1</v>
      </c>
      <c r="D16">
        <v>0</v>
      </c>
      <c r="E16">
        <v>1</v>
      </c>
      <c r="F16">
        <v>7</v>
      </c>
      <c r="G16" t="b">
        <v>0</v>
      </c>
      <c r="H16">
        <v>6</v>
      </c>
      <c r="I16">
        <v>1</v>
      </c>
      <c r="J16">
        <v>0.16</v>
      </c>
      <c r="K16">
        <v>0.18179999999999999</v>
      </c>
      <c r="L16">
        <v>0.59</v>
      </c>
      <c r="M16">
        <v>0.1045</v>
      </c>
      <c r="N16">
        <v>1</v>
      </c>
      <c r="O16">
        <v>4</v>
      </c>
      <c r="P16">
        <v>5</v>
      </c>
    </row>
    <row r="17" spans="1:16" x14ac:dyDescent="0.3">
      <c r="A17">
        <v>626</v>
      </c>
      <c r="B17" s="1">
        <v>40572</v>
      </c>
      <c r="C17">
        <v>1</v>
      </c>
      <c r="D17">
        <v>0</v>
      </c>
      <c r="E17">
        <v>1</v>
      </c>
      <c r="F17">
        <v>8</v>
      </c>
      <c r="G17" t="b">
        <v>0</v>
      </c>
      <c r="H17">
        <v>6</v>
      </c>
      <c r="I17">
        <v>1</v>
      </c>
      <c r="J17">
        <v>0.18</v>
      </c>
      <c r="K17">
        <v>0.19700000000000001</v>
      </c>
      <c r="L17">
        <v>0.55000000000000004</v>
      </c>
      <c r="M17">
        <v>0.16420000000000001</v>
      </c>
      <c r="N17">
        <v>3</v>
      </c>
      <c r="O17">
        <v>31</v>
      </c>
      <c r="P17">
        <v>34</v>
      </c>
    </row>
    <row r="18" spans="1:16" x14ac:dyDescent="0.3">
      <c r="A18">
        <v>627</v>
      </c>
      <c r="B18" s="1">
        <v>40572</v>
      </c>
      <c r="C18">
        <v>1</v>
      </c>
      <c r="D18">
        <v>0</v>
      </c>
      <c r="E18">
        <v>1</v>
      </c>
      <c r="F18">
        <v>9</v>
      </c>
      <c r="G18" t="b">
        <v>0</v>
      </c>
      <c r="H18">
        <v>6</v>
      </c>
      <c r="I18">
        <v>1</v>
      </c>
      <c r="J18">
        <v>0.18</v>
      </c>
      <c r="K18">
        <v>0.21210000000000001</v>
      </c>
      <c r="L18">
        <v>0.59</v>
      </c>
      <c r="M18">
        <v>8.9599999999999999E-2</v>
      </c>
      <c r="N18">
        <v>0</v>
      </c>
      <c r="O18">
        <v>34</v>
      </c>
      <c r="P18">
        <v>34</v>
      </c>
    </row>
    <row r="19" spans="1:16" x14ac:dyDescent="0.3">
      <c r="A19">
        <v>628</v>
      </c>
      <c r="B19" s="1">
        <v>40572</v>
      </c>
      <c r="C19">
        <v>1</v>
      </c>
      <c r="D19">
        <v>0</v>
      </c>
      <c r="E19">
        <v>1</v>
      </c>
      <c r="F19">
        <v>10</v>
      </c>
      <c r="G19" t="b">
        <v>0</v>
      </c>
      <c r="H19">
        <v>6</v>
      </c>
      <c r="I19">
        <v>2</v>
      </c>
      <c r="J19">
        <v>0.18</v>
      </c>
      <c r="K19">
        <v>0.21210000000000001</v>
      </c>
      <c r="L19">
        <v>0.64</v>
      </c>
      <c r="M19">
        <v>0.1045</v>
      </c>
      <c r="N19">
        <v>4</v>
      </c>
      <c r="O19">
        <v>51</v>
      </c>
      <c r="P19">
        <v>55</v>
      </c>
    </row>
    <row r="20" spans="1:16" x14ac:dyDescent="0.3">
      <c r="A20">
        <v>629</v>
      </c>
      <c r="B20" s="1">
        <v>40572</v>
      </c>
      <c r="C20">
        <v>1</v>
      </c>
      <c r="D20">
        <v>0</v>
      </c>
      <c r="E20">
        <v>1</v>
      </c>
      <c r="F20">
        <v>11</v>
      </c>
      <c r="G20" t="b">
        <v>0</v>
      </c>
      <c r="H20">
        <v>6</v>
      </c>
      <c r="I20">
        <v>2</v>
      </c>
      <c r="J20">
        <v>0.18</v>
      </c>
      <c r="K20">
        <v>0.19700000000000001</v>
      </c>
      <c r="L20">
        <v>0.64</v>
      </c>
      <c r="M20">
        <v>0.1343</v>
      </c>
      <c r="N20">
        <v>4</v>
      </c>
      <c r="O20">
        <v>60</v>
      </c>
      <c r="P20">
        <v>64</v>
      </c>
    </row>
    <row r="21" spans="1:16" x14ac:dyDescent="0.3">
      <c r="A21">
        <v>630</v>
      </c>
      <c r="B21" s="1">
        <v>40572</v>
      </c>
      <c r="C21">
        <v>1</v>
      </c>
      <c r="D21">
        <v>0</v>
      </c>
      <c r="E21">
        <v>1</v>
      </c>
      <c r="F21">
        <v>12</v>
      </c>
      <c r="G21" t="b">
        <v>0</v>
      </c>
      <c r="H21">
        <v>6</v>
      </c>
      <c r="I21">
        <v>2</v>
      </c>
      <c r="J21">
        <v>0.2</v>
      </c>
      <c r="K21">
        <v>0.19700000000000001</v>
      </c>
      <c r="L21">
        <v>0.59</v>
      </c>
      <c r="M21">
        <v>0.19400000000000001</v>
      </c>
      <c r="N21">
        <v>12</v>
      </c>
      <c r="O21">
        <v>66</v>
      </c>
      <c r="P21">
        <v>78</v>
      </c>
    </row>
    <row r="22" spans="1:16" x14ac:dyDescent="0.3">
      <c r="A22">
        <v>631</v>
      </c>
      <c r="B22" s="1">
        <v>40572</v>
      </c>
      <c r="C22">
        <v>1</v>
      </c>
      <c r="D22">
        <v>0</v>
      </c>
      <c r="E22">
        <v>1</v>
      </c>
      <c r="F22">
        <v>13</v>
      </c>
      <c r="G22" t="b">
        <v>0</v>
      </c>
      <c r="H22">
        <v>6</v>
      </c>
      <c r="I22">
        <v>2</v>
      </c>
      <c r="J22">
        <v>0.22</v>
      </c>
      <c r="K22">
        <v>0.2273</v>
      </c>
      <c r="L22">
        <v>0.55000000000000004</v>
      </c>
      <c r="M22">
        <v>0.16420000000000001</v>
      </c>
      <c r="N22">
        <v>9</v>
      </c>
      <c r="O22">
        <v>56</v>
      </c>
      <c r="P22">
        <v>65</v>
      </c>
    </row>
    <row r="23" spans="1:16" x14ac:dyDescent="0.3">
      <c r="A23">
        <v>632</v>
      </c>
      <c r="B23" s="1">
        <v>40572</v>
      </c>
      <c r="C23">
        <v>1</v>
      </c>
      <c r="D23">
        <v>0</v>
      </c>
      <c r="E23">
        <v>1</v>
      </c>
      <c r="F23">
        <v>14</v>
      </c>
      <c r="G23" t="b">
        <v>0</v>
      </c>
      <c r="H23">
        <v>6</v>
      </c>
      <c r="I23">
        <v>2</v>
      </c>
      <c r="J23">
        <v>0.22</v>
      </c>
      <c r="K23">
        <v>0.2273</v>
      </c>
      <c r="L23">
        <v>0.6</v>
      </c>
      <c r="M23">
        <v>0.1343</v>
      </c>
      <c r="N23">
        <v>10</v>
      </c>
      <c r="O23">
        <v>89</v>
      </c>
      <c r="P23">
        <v>99</v>
      </c>
    </row>
    <row r="24" spans="1:16" x14ac:dyDescent="0.3">
      <c r="A24">
        <v>633</v>
      </c>
      <c r="B24" s="1">
        <v>40572</v>
      </c>
      <c r="C24">
        <v>1</v>
      </c>
      <c r="D24">
        <v>0</v>
      </c>
      <c r="E24">
        <v>1</v>
      </c>
      <c r="F24">
        <v>15</v>
      </c>
      <c r="G24" t="b">
        <v>0</v>
      </c>
      <c r="H24">
        <v>6</v>
      </c>
      <c r="I24">
        <v>1</v>
      </c>
      <c r="J24">
        <v>0.22</v>
      </c>
      <c r="K24">
        <v>0.21210000000000001</v>
      </c>
      <c r="L24">
        <v>0.69</v>
      </c>
      <c r="M24">
        <v>0.25369999999999998</v>
      </c>
      <c r="N24">
        <v>22</v>
      </c>
      <c r="O24">
        <v>98</v>
      </c>
      <c r="P24">
        <v>120</v>
      </c>
    </row>
    <row r="25" spans="1:16" x14ac:dyDescent="0.3">
      <c r="A25">
        <v>634</v>
      </c>
      <c r="B25" s="1">
        <v>40572</v>
      </c>
      <c r="C25">
        <v>1</v>
      </c>
      <c r="D25">
        <v>0</v>
      </c>
      <c r="E25">
        <v>1</v>
      </c>
      <c r="F25">
        <v>16</v>
      </c>
      <c r="G25" t="b">
        <v>0</v>
      </c>
      <c r="H25">
        <v>6</v>
      </c>
      <c r="I25">
        <v>1</v>
      </c>
      <c r="J25">
        <v>0.24</v>
      </c>
      <c r="K25">
        <v>0.2424</v>
      </c>
      <c r="L25">
        <v>0.6</v>
      </c>
      <c r="M25">
        <v>0.16420000000000001</v>
      </c>
      <c r="N25">
        <v>19</v>
      </c>
      <c r="O25">
        <v>88</v>
      </c>
      <c r="P25">
        <v>107</v>
      </c>
    </row>
    <row r="26" spans="1:16" x14ac:dyDescent="0.3">
      <c r="A26">
        <v>635</v>
      </c>
      <c r="B26" s="1">
        <v>40572</v>
      </c>
      <c r="C26">
        <v>1</v>
      </c>
      <c r="D26">
        <v>0</v>
      </c>
      <c r="E26">
        <v>1</v>
      </c>
      <c r="F26">
        <v>17</v>
      </c>
      <c r="G26" t="b">
        <v>0</v>
      </c>
      <c r="H26">
        <v>6</v>
      </c>
      <c r="I26">
        <v>1</v>
      </c>
      <c r="J26">
        <v>0.24</v>
      </c>
      <c r="K26">
        <v>0.28789999999999999</v>
      </c>
      <c r="L26">
        <v>0.6</v>
      </c>
      <c r="M26">
        <v>0</v>
      </c>
      <c r="N26">
        <v>9</v>
      </c>
      <c r="O26">
        <v>82</v>
      </c>
      <c r="P26">
        <v>91</v>
      </c>
    </row>
    <row r="27" spans="1:16" x14ac:dyDescent="0.3">
      <c r="A27">
        <v>636</v>
      </c>
      <c r="B27" s="1">
        <v>40572</v>
      </c>
      <c r="C27">
        <v>1</v>
      </c>
      <c r="D27">
        <v>0</v>
      </c>
      <c r="E27">
        <v>1</v>
      </c>
      <c r="F27">
        <v>18</v>
      </c>
      <c r="G27" t="b">
        <v>0</v>
      </c>
      <c r="H27">
        <v>6</v>
      </c>
      <c r="I27">
        <v>1</v>
      </c>
      <c r="J27">
        <v>0.22</v>
      </c>
      <c r="K27">
        <v>0.2273</v>
      </c>
      <c r="L27">
        <v>0.69</v>
      </c>
      <c r="M27">
        <v>0.1343</v>
      </c>
      <c r="N27">
        <v>9</v>
      </c>
      <c r="O27">
        <v>59</v>
      </c>
      <c r="P27">
        <v>68</v>
      </c>
    </row>
    <row r="28" spans="1:16" x14ac:dyDescent="0.3">
      <c r="A28">
        <v>637</v>
      </c>
      <c r="B28" s="1">
        <v>40572</v>
      </c>
      <c r="C28">
        <v>1</v>
      </c>
      <c r="D28">
        <v>0</v>
      </c>
      <c r="E28">
        <v>1</v>
      </c>
      <c r="F28">
        <v>19</v>
      </c>
      <c r="G28" t="b">
        <v>0</v>
      </c>
      <c r="H28">
        <v>6</v>
      </c>
      <c r="I28">
        <v>2</v>
      </c>
      <c r="J28">
        <v>0.22</v>
      </c>
      <c r="K28">
        <v>0.21210000000000001</v>
      </c>
      <c r="L28">
        <v>0.69</v>
      </c>
      <c r="M28">
        <v>0.25369999999999998</v>
      </c>
      <c r="N28">
        <v>6</v>
      </c>
      <c r="O28">
        <v>52</v>
      </c>
      <c r="P28">
        <v>58</v>
      </c>
    </row>
    <row r="29" spans="1:16" x14ac:dyDescent="0.3">
      <c r="A29">
        <v>638</v>
      </c>
      <c r="B29" s="1">
        <v>40572</v>
      </c>
      <c r="C29">
        <v>1</v>
      </c>
      <c r="D29">
        <v>0</v>
      </c>
      <c r="E29">
        <v>1</v>
      </c>
      <c r="F29">
        <v>20</v>
      </c>
      <c r="G29" t="b">
        <v>0</v>
      </c>
      <c r="H29">
        <v>6</v>
      </c>
      <c r="I29">
        <v>1</v>
      </c>
      <c r="J29">
        <v>0.18</v>
      </c>
      <c r="K29">
        <v>0.21210000000000001</v>
      </c>
      <c r="L29">
        <v>0.74</v>
      </c>
      <c r="M29">
        <v>8.9599999999999999E-2</v>
      </c>
      <c r="N29">
        <v>1</v>
      </c>
      <c r="O29">
        <v>42</v>
      </c>
      <c r="P29">
        <v>43</v>
      </c>
    </row>
    <row r="30" spans="1:16" x14ac:dyDescent="0.3">
      <c r="A30">
        <v>639</v>
      </c>
      <c r="B30" s="1">
        <v>40572</v>
      </c>
      <c r="C30">
        <v>1</v>
      </c>
      <c r="D30">
        <v>0</v>
      </c>
      <c r="E30">
        <v>1</v>
      </c>
      <c r="F30">
        <v>21</v>
      </c>
      <c r="G30" t="b">
        <v>0</v>
      </c>
      <c r="H30">
        <v>6</v>
      </c>
      <c r="I30">
        <v>1</v>
      </c>
      <c r="J30">
        <v>0.18</v>
      </c>
      <c r="K30">
        <v>0.21210000000000001</v>
      </c>
      <c r="L30">
        <v>0.74</v>
      </c>
      <c r="M30">
        <v>8.9599999999999999E-2</v>
      </c>
      <c r="N30">
        <v>1</v>
      </c>
      <c r="O30">
        <v>35</v>
      </c>
      <c r="P30">
        <v>36</v>
      </c>
    </row>
    <row r="31" spans="1:16" x14ac:dyDescent="0.3">
      <c r="A31">
        <v>640</v>
      </c>
      <c r="B31" s="1">
        <v>40572</v>
      </c>
      <c r="C31">
        <v>1</v>
      </c>
      <c r="D31">
        <v>0</v>
      </c>
      <c r="E31">
        <v>1</v>
      </c>
      <c r="F31">
        <v>22</v>
      </c>
      <c r="G31" t="b">
        <v>0</v>
      </c>
      <c r="H31">
        <v>6</v>
      </c>
      <c r="I31">
        <v>1</v>
      </c>
      <c r="J31">
        <v>0.16</v>
      </c>
      <c r="K31">
        <v>0.19700000000000001</v>
      </c>
      <c r="L31">
        <v>0.8</v>
      </c>
      <c r="M31">
        <v>8.9599999999999999E-2</v>
      </c>
      <c r="N31">
        <v>4</v>
      </c>
      <c r="O31">
        <v>28</v>
      </c>
      <c r="P31">
        <v>32</v>
      </c>
    </row>
    <row r="32" spans="1:16" x14ac:dyDescent="0.3">
      <c r="A32">
        <v>641</v>
      </c>
      <c r="B32" s="1">
        <v>40572</v>
      </c>
      <c r="C32">
        <v>1</v>
      </c>
      <c r="D32">
        <v>0</v>
      </c>
      <c r="E32">
        <v>1</v>
      </c>
      <c r="F32">
        <v>23</v>
      </c>
      <c r="G32" t="b">
        <v>0</v>
      </c>
      <c r="H32">
        <v>6</v>
      </c>
      <c r="I32">
        <v>1</v>
      </c>
      <c r="J32">
        <v>0.16</v>
      </c>
      <c r="K32">
        <v>0.19700000000000001</v>
      </c>
      <c r="L32">
        <v>0.8</v>
      </c>
      <c r="M32">
        <v>8.9599999999999999E-2</v>
      </c>
      <c r="N32">
        <v>3</v>
      </c>
      <c r="O32">
        <v>30</v>
      </c>
      <c r="P32">
        <v>33</v>
      </c>
    </row>
    <row r="33" spans="1:16" x14ac:dyDescent="0.3">
      <c r="A33">
        <v>642</v>
      </c>
      <c r="B33" s="1">
        <v>40573</v>
      </c>
      <c r="C33">
        <v>1</v>
      </c>
      <c r="D33">
        <v>0</v>
      </c>
      <c r="E33">
        <v>1</v>
      </c>
      <c r="F33">
        <v>0</v>
      </c>
      <c r="G33" t="b">
        <v>0</v>
      </c>
      <c r="H33">
        <v>0</v>
      </c>
      <c r="I33">
        <v>1</v>
      </c>
      <c r="J33">
        <v>0.16</v>
      </c>
      <c r="K33">
        <v>0.18179999999999999</v>
      </c>
      <c r="L33">
        <v>0.8</v>
      </c>
      <c r="M33">
        <v>0.1045</v>
      </c>
      <c r="N33">
        <v>0</v>
      </c>
      <c r="O33">
        <v>33</v>
      </c>
      <c r="P33">
        <v>33</v>
      </c>
    </row>
    <row r="34" spans="1:16" x14ac:dyDescent="0.3">
      <c r="A34">
        <v>643</v>
      </c>
      <c r="B34" s="1">
        <v>40573</v>
      </c>
      <c r="C34">
        <v>1</v>
      </c>
      <c r="D34">
        <v>0</v>
      </c>
      <c r="E34">
        <v>1</v>
      </c>
      <c r="F34">
        <v>1</v>
      </c>
      <c r="G34" t="b">
        <v>0</v>
      </c>
      <c r="H34">
        <v>0</v>
      </c>
      <c r="I34">
        <v>1</v>
      </c>
      <c r="J34">
        <v>0.14000000000000001</v>
      </c>
      <c r="K34">
        <v>0.21210000000000001</v>
      </c>
      <c r="L34">
        <v>0.8</v>
      </c>
      <c r="M34">
        <v>0</v>
      </c>
      <c r="N34">
        <v>7</v>
      </c>
      <c r="O34">
        <v>22</v>
      </c>
      <c r="P34">
        <v>29</v>
      </c>
    </row>
    <row r="35" spans="1:16" x14ac:dyDescent="0.3">
      <c r="A35">
        <v>644</v>
      </c>
      <c r="B35" s="1">
        <v>40573</v>
      </c>
      <c r="C35">
        <v>1</v>
      </c>
      <c r="D35">
        <v>0</v>
      </c>
      <c r="E35">
        <v>1</v>
      </c>
      <c r="F35">
        <v>2</v>
      </c>
      <c r="G35" t="b">
        <v>0</v>
      </c>
      <c r="H35">
        <v>0</v>
      </c>
      <c r="I35">
        <v>1</v>
      </c>
      <c r="J35">
        <v>0.16</v>
      </c>
      <c r="K35">
        <v>0.2273</v>
      </c>
      <c r="L35">
        <v>0.8</v>
      </c>
      <c r="M35">
        <v>0</v>
      </c>
      <c r="N35">
        <v>1</v>
      </c>
      <c r="O35">
        <v>10</v>
      </c>
      <c r="P35">
        <v>11</v>
      </c>
    </row>
    <row r="36" spans="1:16" x14ac:dyDescent="0.3">
      <c r="A36">
        <v>645</v>
      </c>
      <c r="B36" s="1">
        <v>40573</v>
      </c>
      <c r="C36">
        <v>1</v>
      </c>
      <c r="D36">
        <v>0</v>
      </c>
      <c r="E36">
        <v>1</v>
      </c>
      <c r="F36">
        <v>3</v>
      </c>
      <c r="G36" t="b">
        <v>0</v>
      </c>
      <c r="H36">
        <v>0</v>
      </c>
      <c r="I36">
        <v>1</v>
      </c>
      <c r="J36">
        <v>0.14000000000000001</v>
      </c>
      <c r="K36">
        <v>0.21210000000000001</v>
      </c>
      <c r="L36">
        <v>0.93</v>
      </c>
      <c r="M36">
        <v>0</v>
      </c>
      <c r="N36">
        <v>1</v>
      </c>
      <c r="O36">
        <v>7</v>
      </c>
      <c r="P36">
        <v>8</v>
      </c>
    </row>
    <row r="37" spans="1:16" x14ac:dyDescent="0.3">
      <c r="A37">
        <v>646</v>
      </c>
      <c r="B37" s="1">
        <v>40573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0.14000000000000001</v>
      </c>
      <c r="K37">
        <v>0.21210000000000001</v>
      </c>
      <c r="L37">
        <v>0.93</v>
      </c>
      <c r="M37">
        <v>0</v>
      </c>
      <c r="N37">
        <v>0</v>
      </c>
      <c r="O37">
        <v>1</v>
      </c>
      <c r="P37">
        <v>1</v>
      </c>
    </row>
    <row r="38" spans="1:16" x14ac:dyDescent="0.3">
      <c r="A38">
        <v>647</v>
      </c>
      <c r="B38" s="1">
        <v>40573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0.14000000000000001</v>
      </c>
      <c r="K38">
        <v>0.21210000000000001</v>
      </c>
      <c r="L38">
        <v>0.86</v>
      </c>
      <c r="M38">
        <v>0</v>
      </c>
      <c r="N38">
        <v>0</v>
      </c>
      <c r="O38">
        <v>3</v>
      </c>
      <c r="P38">
        <v>3</v>
      </c>
    </row>
    <row r="39" spans="1:16" x14ac:dyDescent="0.3">
      <c r="A39">
        <v>648</v>
      </c>
      <c r="B39" s="1">
        <v>40573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0.14000000000000001</v>
      </c>
      <c r="K39">
        <v>0.21210000000000001</v>
      </c>
      <c r="L39">
        <v>0.86</v>
      </c>
      <c r="M39">
        <v>0</v>
      </c>
      <c r="N39">
        <v>0</v>
      </c>
      <c r="O39">
        <v>3</v>
      </c>
      <c r="P39">
        <v>3</v>
      </c>
    </row>
    <row r="40" spans="1:16" x14ac:dyDescent="0.3">
      <c r="A40">
        <v>649</v>
      </c>
      <c r="B40" s="1">
        <v>40573</v>
      </c>
      <c r="C40">
        <v>1</v>
      </c>
      <c r="D40">
        <v>0</v>
      </c>
      <c r="E40">
        <v>1</v>
      </c>
      <c r="F40">
        <v>8</v>
      </c>
      <c r="G40" t="b">
        <v>0</v>
      </c>
      <c r="H40">
        <v>0</v>
      </c>
      <c r="I40">
        <v>2</v>
      </c>
      <c r="J40">
        <v>0.14000000000000001</v>
      </c>
      <c r="K40">
        <v>0.21210000000000001</v>
      </c>
      <c r="L40">
        <v>0.86</v>
      </c>
      <c r="M40">
        <v>0</v>
      </c>
      <c r="N40">
        <v>1</v>
      </c>
      <c r="O40">
        <v>11</v>
      </c>
      <c r="P40">
        <v>12</v>
      </c>
    </row>
    <row r="41" spans="1:16" x14ac:dyDescent="0.3">
      <c r="A41">
        <v>650</v>
      </c>
      <c r="B41" s="1">
        <v>40573</v>
      </c>
      <c r="C41">
        <v>1</v>
      </c>
      <c r="D41">
        <v>0</v>
      </c>
      <c r="E41">
        <v>1</v>
      </c>
      <c r="F41">
        <v>9</v>
      </c>
      <c r="G41" t="b">
        <v>0</v>
      </c>
      <c r="H41">
        <v>0</v>
      </c>
      <c r="I41">
        <v>2</v>
      </c>
      <c r="J41">
        <v>0.16</v>
      </c>
      <c r="K41">
        <v>0.2273</v>
      </c>
      <c r="L41">
        <v>0.8</v>
      </c>
      <c r="M41">
        <v>0</v>
      </c>
      <c r="N41">
        <v>4</v>
      </c>
      <c r="O41">
        <v>34</v>
      </c>
      <c r="P41">
        <v>38</v>
      </c>
    </row>
    <row r="42" spans="1:16" x14ac:dyDescent="0.3">
      <c r="A42">
        <v>651</v>
      </c>
      <c r="B42" s="1">
        <v>40573</v>
      </c>
      <c r="C42">
        <v>1</v>
      </c>
      <c r="D42">
        <v>0</v>
      </c>
      <c r="E42">
        <v>1</v>
      </c>
      <c r="F42">
        <v>10</v>
      </c>
      <c r="G42" t="b">
        <v>0</v>
      </c>
      <c r="H42">
        <v>0</v>
      </c>
      <c r="I42">
        <v>2</v>
      </c>
      <c r="J42">
        <v>0.18</v>
      </c>
      <c r="K42">
        <v>0.2424</v>
      </c>
      <c r="L42">
        <v>0.8</v>
      </c>
      <c r="M42">
        <v>0</v>
      </c>
      <c r="N42">
        <v>7</v>
      </c>
      <c r="O42">
        <v>57</v>
      </c>
      <c r="P42">
        <v>64</v>
      </c>
    </row>
    <row r="43" spans="1:16" x14ac:dyDescent="0.3">
      <c r="A43">
        <v>652</v>
      </c>
      <c r="B43" s="1">
        <v>40573</v>
      </c>
      <c r="C43">
        <v>1</v>
      </c>
      <c r="D43">
        <v>0</v>
      </c>
      <c r="E43">
        <v>1</v>
      </c>
      <c r="F43">
        <v>11</v>
      </c>
      <c r="G43" t="b">
        <v>0</v>
      </c>
      <c r="H43">
        <v>0</v>
      </c>
      <c r="I43">
        <v>1</v>
      </c>
      <c r="J43">
        <v>0.22</v>
      </c>
      <c r="K43">
        <v>0.2727</v>
      </c>
      <c r="L43">
        <v>0.75</v>
      </c>
      <c r="M43">
        <v>0</v>
      </c>
      <c r="N43">
        <v>9</v>
      </c>
      <c r="O43">
        <v>50</v>
      </c>
      <c r="P43">
        <v>59</v>
      </c>
    </row>
    <row r="44" spans="1:16" x14ac:dyDescent="0.3">
      <c r="A44">
        <v>653</v>
      </c>
      <c r="B44" s="1">
        <v>40573</v>
      </c>
      <c r="C44">
        <v>1</v>
      </c>
      <c r="D44">
        <v>0</v>
      </c>
      <c r="E44">
        <v>1</v>
      </c>
      <c r="F44">
        <v>12</v>
      </c>
      <c r="G44" t="b">
        <v>0</v>
      </c>
      <c r="H44">
        <v>0</v>
      </c>
      <c r="I44">
        <v>1</v>
      </c>
      <c r="J44">
        <v>0.3</v>
      </c>
      <c r="K44">
        <v>0.31819999999999998</v>
      </c>
      <c r="L44">
        <v>0.52</v>
      </c>
      <c r="M44">
        <v>0.1045</v>
      </c>
      <c r="N44">
        <v>10</v>
      </c>
      <c r="O44">
        <v>87</v>
      </c>
      <c r="P44">
        <v>97</v>
      </c>
    </row>
    <row r="45" spans="1:16" x14ac:dyDescent="0.3">
      <c r="A45">
        <v>654</v>
      </c>
      <c r="B45" s="1">
        <v>40573</v>
      </c>
      <c r="C45">
        <v>1</v>
      </c>
      <c r="D45">
        <v>0</v>
      </c>
      <c r="E45">
        <v>1</v>
      </c>
      <c r="F45">
        <v>13</v>
      </c>
      <c r="G45" t="b">
        <v>0</v>
      </c>
      <c r="H45">
        <v>0</v>
      </c>
      <c r="I45">
        <v>1</v>
      </c>
      <c r="J45">
        <v>0.28000000000000003</v>
      </c>
      <c r="K45">
        <v>0.28789999999999999</v>
      </c>
      <c r="L45">
        <v>0.61</v>
      </c>
      <c r="M45">
        <v>0.1045</v>
      </c>
      <c r="N45">
        <v>13</v>
      </c>
      <c r="O45">
        <v>71</v>
      </c>
      <c r="P45">
        <v>84</v>
      </c>
    </row>
    <row r="46" spans="1:16" x14ac:dyDescent="0.3">
      <c r="A46">
        <v>655</v>
      </c>
      <c r="B46" s="1">
        <v>40573</v>
      </c>
      <c r="C46">
        <v>1</v>
      </c>
      <c r="D46">
        <v>0</v>
      </c>
      <c r="E46">
        <v>1</v>
      </c>
      <c r="F46">
        <v>14</v>
      </c>
      <c r="G46" t="b">
        <v>0</v>
      </c>
      <c r="H46">
        <v>0</v>
      </c>
      <c r="I46">
        <v>1</v>
      </c>
      <c r="J46">
        <v>0.28000000000000003</v>
      </c>
      <c r="K46">
        <v>0.30299999999999999</v>
      </c>
      <c r="L46">
        <v>0.61</v>
      </c>
      <c r="M46">
        <v>8.9599999999999999E-2</v>
      </c>
      <c r="N46">
        <v>18</v>
      </c>
      <c r="O46">
        <v>104</v>
      </c>
      <c r="P46">
        <v>122</v>
      </c>
    </row>
    <row r="47" spans="1:16" x14ac:dyDescent="0.3">
      <c r="A47">
        <v>656</v>
      </c>
      <c r="B47" s="1">
        <v>40573</v>
      </c>
      <c r="C47">
        <v>1</v>
      </c>
      <c r="D47">
        <v>0</v>
      </c>
      <c r="E47">
        <v>1</v>
      </c>
      <c r="F47">
        <v>15</v>
      </c>
      <c r="G47" t="b">
        <v>0</v>
      </c>
      <c r="H47">
        <v>0</v>
      </c>
      <c r="I47">
        <v>1</v>
      </c>
      <c r="J47">
        <v>0.3</v>
      </c>
      <c r="K47">
        <v>0.33329999999999999</v>
      </c>
      <c r="L47">
        <v>0.56000000000000005</v>
      </c>
      <c r="M47">
        <v>0</v>
      </c>
      <c r="N47">
        <v>14</v>
      </c>
      <c r="O47">
        <v>95</v>
      </c>
      <c r="P47">
        <v>109</v>
      </c>
    </row>
    <row r="48" spans="1:16" x14ac:dyDescent="0.3">
      <c r="A48">
        <v>657</v>
      </c>
      <c r="B48" s="1">
        <v>40573</v>
      </c>
      <c r="C48">
        <v>1</v>
      </c>
      <c r="D48">
        <v>0</v>
      </c>
      <c r="E48">
        <v>1</v>
      </c>
      <c r="F48">
        <v>16</v>
      </c>
      <c r="G48" t="b">
        <v>0</v>
      </c>
      <c r="H48">
        <v>0</v>
      </c>
      <c r="I48">
        <v>1</v>
      </c>
      <c r="J48">
        <v>0.3</v>
      </c>
      <c r="K48">
        <v>0.33329999999999999</v>
      </c>
      <c r="L48">
        <v>0.56000000000000005</v>
      </c>
      <c r="M48">
        <v>0</v>
      </c>
      <c r="N48">
        <v>19</v>
      </c>
      <c r="O48">
        <v>104</v>
      </c>
      <c r="P48">
        <v>123</v>
      </c>
    </row>
    <row r="49" spans="1:16" x14ac:dyDescent="0.3">
      <c r="A49">
        <v>658</v>
      </c>
      <c r="B49" s="1">
        <v>40573</v>
      </c>
      <c r="C49">
        <v>1</v>
      </c>
      <c r="D49">
        <v>0</v>
      </c>
      <c r="E49">
        <v>1</v>
      </c>
      <c r="F49">
        <v>17</v>
      </c>
      <c r="G49" t="b">
        <v>0</v>
      </c>
      <c r="H49">
        <v>0</v>
      </c>
      <c r="I49">
        <v>1</v>
      </c>
      <c r="J49">
        <v>0.3</v>
      </c>
      <c r="K49">
        <v>0.28789999999999999</v>
      </c>
      <c r="L49">
        <v>0.56000000000000005</v>
      </c>
      <c r="M49">
        <v>0.19400000000000001</v>
      </c>
      <c r="N49">
        <v>6</v>
      </c>
      <c r="O49">
        <v>71</v>
      </c>
      <c r="P49">
        <v>77</v>
      </c>
    </row>
    <row r="50" spans="1:16" x14ac:dyDescent="0.3">
      <c r="A50">
        <v>659</v>
      </c>
      <c r="B50" s="1">
        <v>40573</v>
      </c>
      <c r="C50">
        <v>1</v>
      </c>
      <c r="D50">
        <v>0</v>
      </c>
      <c r="E50">
        <v>1</v>
      </c>
      <c r="F50">
        <v>18</v>
      </c>
      <c r="G50" t="b">
        <v>0</v>
      </c>
      <c r="H50">
        <v>0</v>
      </c>
      <c r="I50">
        <v>1</v>
      </c>
      <c r="J50">
        <v>0.26</v>
      </c>
      <c r="K50">
        <v>0.2576</v>
      </c>
      <c r="L50">
        <v>0.65</v>
      </c>
      <c r="M50">
        <v>0.16420000000000001</v>
      </c>
      <c r="N50">
        <v>8</v>
      </c>
      <c r="O50">
        <v>57</v>
      </c>
      <c r="P50">
        <v>65</v>
      </c>
    </row>
    <row r="51" spans="1:16" x14ac:dyDescent="0.3">
      <c r="A51">
        <v>660</v>
      </c>
      <c r="B51" s="1">
        <v>40573</v>
      </c>
      <c r="C51">
        <v>1</v>
      </c>
      <c r="D51">
        <v>0</v>
      </c>
      <c r="E51">
        <v>1</v>
      </c>
      <c r="F51">
        <v>19</v>
      </c>
      <c r="G51" t="b">
        <v>0</v>
      </c>
      <c r="H51">
        <v>0</v>
      </c>
      <c r="I51">
        <v>1</v>
      </c>
      <c r="J51">
        <v>0.26</v>
      </c>
      <c r="K51">
        <v>0.2576</v>
      </c>
      <c r="L51">
        <v>0.65</v>
      </c>
      <c r="M51">
        <v>0.19400000000000001</v>
      </c>
      <c r="N51">
        <v>9</v>
      </c>
      <c r="O51">
        <v>46</v>
      </c>
      <c r="P51">
        <v>55</v>
      </c>
    </row>
    <row r="52" spans="1:16" x14ac:dyDescent="0.3">
      <c r="A52">
        <v>661</v>
      </c>
      <c r="B52" s="1">
        <v>40573</v>
      </c>
      <c r="C52">
        <v>1</v>
      </c>
      <c r="D52">
        <v>0</v>
      </c>
      <c r="E52">
        <v>1</v>
      </c>
      <c r="F52">
        <v>20</v>
      </c>
      <c r="G52" t="b">
        <v>0</v>
      </c>
      <c r="H52">
        <v>0</v>
      </c>
      <c r="I52">
        <v>2</v>
      </c>
      <c r="J52">
        <v>0.26</v>
      </c>
      <c r="K52">
        <v>0.2727</v>
      </c>
      <c r="L52">
        <v>0.65</v>
      </c>
      <c r="M52">
        <v>0.1045</v>
      </c>
      <c r="N52">
        <v>3</v>
      </c>
      <c r="O52">
        <v>30</v>
      </c>
      <c r="P52">
        <v>33</v>
      </c>
    </row>
    <row r="53" spans="1:16" x14ac:dyDescent="0.3">
      <c r="A53">
        <v>662</v>
      </c>
      <c r="B53" s="1">
        <v>40573</v>
      </c>
      <c r="C53">
        <v>1</v>
      </c>
      <c r="D53">
        <v>0</v>
      </c>
      <c r="E53">
        <v>1</v>
      </c>
      <c r="F53">
        <v>21</v>
      </c>
      <c r="G53" t="b">
        <v>0</v>
      </c>
      <c r="H53">
        <v>0</v>
      </c>
      <c r="I53">
        <v>2</v>
      </c>
      <c r="J53">
        <v>0.24</v>
      </c>
      <c r="K53">
        <v>0.2424</v>
      </c>
      <c r="L53">
        <v>0.7</v>
      </c>
      <c r="M53">
        <v>0.16420000000000001</v>
      </c>
      <c r="N53">
        <v>3</v>
      </c>
      <c r="O53">
        <v>25</v>
      </c>
      <c r="P53">
        <v>28</v>
      </c>
    </row>
    <row r="54" spans="1:16" x14ac:dyDescent="0.3">
      <c r="A54">
        <v>663</v>
      </c>
      <c r="B54" s="1">
        <v>40573</v>
      </c>
      <c r="C54">
        <v>1</v>
      </c>
      <c r="D54">
        <v>0</v>
      </c>
      <c r="E54">
        <v>1</v>
      </c>
      <c r="F54">
        <v>22</v>
      </c>
      <c r="G54" t="b">
        <v>0</v>
      </c>
      <c r="H54">
        <v>0</v>
      </c>
      <c r="I54">
        <v>2</v>
      </c>
      <c r="J54">
        <v>0.24</v>
      </c>
      <c r="K54">
        <v>0.2273</v>
      </c>
      <c r="L54">
        <v>0.7</v>
      </c>
      <c r="M54">
        <v>0.19400000000000001</v>
      </c>
      <c r="N54">
        <v>2</v>
      </c>
      <c r="O54">
        <v>19</v>
      </c>
      <c r="P54">
        <v>21</v>
      </c>
    </row>
    <row r="55" spans="1:16" x14ac:dyDescent="0.3">
      <c r="A55">
        <v>664</v>
      </c>
      <c r="B55" s="1">
        <v>40573</v>
      </c>
      <c r="C55">
        <v>1</v>
      </c>
      <c r="D55">
        <v>0</v>
      </c>
      <c r="E55">
        <v>1</v>
      </c>
      <c r="F55">
        <v>23</v>
      </c>
      <c r="G55" t="b">
        <v>0</v>
      </c>
      <c r="H55">
        <v>0</v>
      </c>
      <c r="I55">
        <v>2</v>
      </c>
      <c r="J55">
        <v>0.24</v>
      </c>
      <c r="K55">
        <v>0.21210000000000001</v>
      </c>
      <c r="L55">
        <v>0.65</v>
      </c>
      <c r="M55">
        <v>0.28360000000000002</v>
      </c>
      <c r="N55">
        <v>5</v>
      </c>
      <c r="O55">
        <v>16</v>
      </c>
      <c r="P55">
        <v>21</v>
      </c>
    </row>
    <row r="56" spans="1:16" x14ac:dyDescent="0.3">
      <c r="A56">
        <v>665</v>
      </c>
      <c r="B56" s="1">
        <v>40574</v>
      </c>
      <c r="C56">
        <v>1</v>
      </c>
      <c r="D56">
        <v>0</v>
      </c>
      <c r="E56">
        <v>1</v>
      </c>
      <c r="F56">
        <v>0</v>
      </c>
      <c r="G56" t="b">
        <v>0</v>
      </c>
      <c r="H56">
        <v>1</v>
      </c>
      <c r="I56">
        <v>2</v>
      </c>
      <c r="J56">
        <v>0.24</v>
      </c>
      <c r="K56">
        <v>0.2273</v>
      </c>
      <c r="L56">
        <v>0.65</v>
      </c>
      <c r="M56">
        <v>0.22389999999999999</v>
      </c>
      <c r="N56">
        <v>1</v>
      </c>
      <c r="O56">
        <v>6</v>
      </c>
      <c r="P56">
        <v>7</v>
      </c>
    </row>
    <row r="57" spans="1:16" x14ac:dyDescent="0.3">
      <c r="A57">
        <v>666</v>
      </c>
      <c r="B57" s="1">
        <v>40574</v>
      </c>
      <c r="C57">
        <v>1</v>
      </c>
      <c r="D57">
        <v>0</v>
      </c>
      <c r="E57">
        <v>1</v>
      </c>
      <c r="F57">
        <v>1</v>
      </c>
      <c r="G57" t="b">
        <v>0</v>
      </c>
      <c r="H57">
        <v>1</v>
      </c>
      <c r="I57">
        <v>1</v>
      </c>
      <c r="J57">
        <v>0.22</v>
      </c>
      <c r="K57">
        <v>0.21210000000000001</v>
      </c>
      <c r="L57">
        <v>0.64</v>
      </c>
      <c r="M57">
        <v>0.25369999999999998</v>
      </c>
      <c r="N57">
        <v>2</v>
      </c>
      <c r="O57">
        <v>5</v>
      </c>
      <c r="P57">
        <v>7</v>
      </c>
    </row>
    <row r="58" spans="1:16" x14ac:dyDescent="0.3">
      <c r="A58">
        <v>667</v>
      </c>
      <c r="B58" s="1">
        <v>40574</v>
      </c>
      <c r="C58">
        <v>1</v>
      </c>
      <c r="D58">
        <v>0</v>
      </c>
      <c r="E58">
        <v>1</v>
      </c>
      <c r="F58">
        <v>2</v>
      </c>
      <c r="G58" t="b">
        <v>0</v>
      </c>
      <c r="H58">
        <v>1</v>
      </c>
      <c r="I58">
        <v>1</v>
      </c>
      <c r="J58">
        <v>0.22</v>
      </c>
      <c r="K58">
        <v>0.2273</v>
      </c>
      <c r="L58">
        <v>0.64</v>
      </c>
      <c r="M58">
        <v>0.19400000000000001</v>
      </c>
      <c r="N58">
        <v>0</v>
      </c>
      <c r="O58">
        <v>1</v>
      </c>
      <c r="P58">
        <v>1</v>
      </c>
    </row>
    <row r="59" spans="1:16" x14ac:dyDescent="0.3">
      <c r="A59">
        <v>668</v>
      </c>
      <c r="B59" s="1">
        <v>40574</v>
      </c>
      <c r="C59">
        <v>1</v>
      </c>
      <c r="D59">
        <v>0</v>
      </c>
      <c r="E59">
        <v>1</v>
      </c>
      <c r="F59">
        <v>3</v>
      </c>
      <c r="G59" t="b">
        <v>0</v>
      </c>
      <c r="H59">
        <v>1</v>
      </c>
      <c r="I59">
        <v>1</v>
      </c>
      <c r="J59">
        <v>0.22</v>
      </c>
      <c r="K59">
        <v>0.2273</v>
      </c>
      <c r="L59">
        <v>0.64</v>
      </c>
      <c r="M59">
        <v>0.19400000000000001</v>
      </c>
      <c r="N59">
        <v>0</v>
      </c>
      <c r="O59">
        <v>2</v>
      </c>
      <c r="P59">
        <v>2</v>
      </c>
    </row>
    <row r="60" spans="1:16" x14ac:dyDescent="0.3">
      <c r="A60">
        <v>669</v>
      </c>
      <c r="B60" s="1">
        <v>40574</v>
      </c>
      <c r="C60">
        <v>1</v>
      </c>
      <c r="D60">
        <v>0</v>
      </c>
      <c r="E60">
        <v>1</v>
      </c>
      <c r="F60">
        <v>4</v>
      </c>
      <c r="G60" t="b">
        <v>0</v>
      </c>
      <c r="H60">
        <v>1</v>
      </c>
      <c r="I60">
        <v>1</v>
      </c>
      <c r="J60">
        <v>0.2</v>
      </c>
      <c r="K60">
        <v>0.19700000000000001</v>
      </c>
      <c r="L60">
        <v>0.59</v>
      </c>
      <c r="M60">
        <v>0.22389999999999999</v>
      </c>
      <c r="N60">
        <v>0</v>
      </c>
      <c r="O60">
        <v>2</v>
      </c>
      <c r="P60">
        <v>2</v>
      </c>
    </row>
    <row r="61" spans="1:16" x14ac:dyDescent="0.3">
      <c r="A61">
        <v>670</v>
      </c>
      <c r="B61" s="1">
        <v>40574</v>
      </c>
      <c r="C61">
        <v>1</v>
      </c>
      <c r="D61">
        <v>0</v>
      </c>
      <c r="E61">
        <v>1</v>
      </c>
      <c r="F61">
        <v>5</v>
      </c>
      <c r="G61" t="b">
        <v>0</v>
      </c>
      <c r="H61">
        <v>1</v>
      </c>
      <c r="I61">
        <v>1</v>
      </c>
      <c r="J61">
        <v>0.18</v>
      </c>
      <c r="K61">
        <v>0.16669999999999999</v>
      </c>
      <c r="L61">
        <v>0.64</v>
      </c>
      <c r="M61">
        <v>0.28360000000000002</v>
      </c>
      <c r="N61">
        <v>0</v>
      </c>
      <c r="O61">
        <v>8</v>
      </c>
      <c r="P61">
        <v>8</v>
      </c>
    </row>
    <row r="62" spans="1:16" x14ac:dyDescent="0.3">
      <c r="A62">
        <v>671</v>
      </c>
      <c r="B62" s="1">
        <v>40574</v>
      </c>
      <c r="C62">
        <v>1</v>
      </c>
      <c r="D62">
        <v>0</v>
      </c>
      <c r="E62">
        <v>1</v>
      </c>
      <c r="F62">
        <v>6</v>
      </c>
      <c r="G62" t="b">
        <v>0</v>
      </c>
      <c r="H62">
        <v>1</v>
      </c>
      <c r="I62">
        <v>1</v>
      </c>
      <c r="J62">
        <v>0.16</v>
      </c>
      <c r="K62">
        <v>0.13639999999999999</v>
      </c>
      <c r="L62">
        <v>0.69</v>
      </c>
      <c r="M62">
        <v>0.32840000000000003</v>
      </c>
      <c r="N62">
        <v>0</v>
      </c>
      <c r="O62">
        <v>37</v>
      </c>
      <c r="P62">
        <v>37</v>
      </c>
    </row>
    <row r="63" spans="1:16" x14ac:dyDescent="0.3">
      <c r="A63">
        <v>672</v>
      </c>
      <c r="B63" s="1">
        <v>40574</v>
      </c>
      <c r="C63">
        <v>1</v>
      </c>
      <c r="D63">
        <v>0</v>
      </c>
      <c r="E63">
        <v>1</v>
      </c>
      <c r="F63">
        <v>7</v>
      </c>
      <c r="G63" t="b">
        <v>0</v>
      </c>
      <c r="H63">
        <v>1</v>
      </c>
      <c r="I63">
        <v>2</v>
      </c>
      <c r="J63">
        <v>0.16</v>
      </c>
      <c r="K63">
        <v>0.13639999999999999</v>
      </c>
      <c r="L63">
        <v>0.64</v>
      </c>
      <c r="M63">
        <v>0.28360000000000002</v>
      </c>
      <c r="N63">
        <v>1</v>
      </c>
      <c r="O63">
        <v>71</v>
      </c>
      <c r="P63">
        <v>72</v>
      </c>
    </row>
    <row r="64" spans="1:16" x14ac:dyDescent="0.3">
      <c r="A64">
        <v>673</v>
      </c>
      <c r="B64" s="1">
        <v>40574</v>
      </c>
      <c r="C64">
        <v>1</v>
      </c>
      <c r="D64">
        <v>0</v>
      </c>
      <c r="E64">
        <v>1</v>
      </c>
      <c r="F64">
        <v>8</v>
      </c>
      <c r="G64" t="b">
        <v>0</v>
      </c>
      <c r="H64">
        <v>1</v>
      </c>
      <c r="I64">
        <v>2</v>
      </c>
      <c r="J64">
        <v>0.16</v>
      </c>
      <c r="K64">
        <v>0.13639999999999999</v>
      </c>
      <c r="L64">
        <v>0.59</v>
      </c>
      <c r="M64">
        <v>0.28360000000000002</v>
      </c>
      <c r="N64">
        <v>3</v>
      </c>
      <c r="O64">
        <v>182</v>
      </c>
      <c r="P64">
        <v>185</v>
      </c>
    </row>
    <row r="65" spans="1:16" x14ac:dyDescent="0.3">
      <c r="A65">
        <v>674</v>
      </c>
      <c r="B65" s="1">
        <v>40574</v>
      </c>
      <c r="C65">
        <v>1</v>
      </c>
      <c r="D65">
        <v>0</v>
      </c>
      <c r="E65">
        <v>1</v>
      </c>
      <c r="F65">
        <v>9</v>
      </c>
      <c r="G65" t="b">
        <v>0</v>
      </c>
      <c r="H65">
        <v>1</v>
      </c>
      <c r="I65">
        <v>2</v>
      </c>
      <c r="J65">
        <v>0.16</v>
      </c>
      <c r="K65">
        <v>0.13639999999999999</v>
      </c>
      <c r="L65">
        <v>0.59</v>
      </c>
      <c r="M65">
        <v>0.29849999999999999</v>
      </c>
      <c r="N65">
        <v>0</v>
      </c>
      <c r="O65">
        <v>112</v>
      </c>
      <c r="P65">
        <v>112</v>
      </c>
    </row>
    <row r="66" spans="1:16" x14ac:dyDescent="0.3">
      <c r="A66">
        <v>675</v>
      </c>
      <c r="B66" s="1">
        <v>40574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2</v>
      </c>
      <c r="J66">
        <v>0.16</v>
      </c>
      <c r="K66">
        <v>0.1515</v>
      </c>
      <c r="L66">
        <v>0.59</v>
      </c>
      <c r="M66">
        <v>0.19400000000000001</v>
      </c>
      <c r="N66">
        <v>1</v>
      </c>
      <c r="O66">
        <v>68</v>
      </c>
      <c r="P66">
        <v>69</v>
      </c>
    </row>
    <row r="67" spans="1:16" x14ac:dyDescent="0.3">
      <c r="A67">
        <v>676</v>
      </c>
      <c r="B67" s="1">
        <v>40574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2</v>
      </c>
      <c r="J67">
        <v>0.16</v>
      </c>
      <c r="K67">
        <v>0.1515</v>
      </c>
      <c r="L67">
        <v>0.59</v>
      </c>
      <c r="M67">
        <v>0.19400000000000001</v>
      </c>
      <c r="N67">
        <v>2</v>
      </c>
      <c r="O67">
        <v>46</v>
      </c>
      <c r="P67">
        <v>48</v>
      </c>
    </row>
    <row r="68" spans="1:16" x14ac:dyDescent="0.3">
      <c r="A68">
        <v>677</v>
      </c>
      <c r="B68" s="1">
        <v>40574</v>
      </c>
      <c r="C68">
        <v>1</v>
      </c>
      <c r="D68">
        <v>0</v>
      </c>
      <c r="E68">
        <v>1</v>
      </c>
      <c r="F68">
        <v>12</v>
      </c>
      <c r="G68" t="b">
        <v>0</v>
      </c>
      <c r="H68">
        <v>1</v>
      </c>
      <c r="I68">
        <v>2</v>
      </c>
      <c r="J68">
        <v>0.18</v>
      </c>
      <c r="K68">
        <v>0.21210000000000001</v>
      </c>
      <c r="L68">
        <v>0.55000000000000004</v>
      </c>
      <c r="M68">
        <v>0.1045</v>
      </c>
      <c r="N68">
        <v>6</v>
      </c>
      <c r="O68">
        <v>62</v>
      </c>
      <c r="P68">
        <v>68</v>
      </c>
    </row>
    <row r="69" spans="1:16" x14ac:dyDescent="0.3">
      <c r="A69">
        <v>678</v>
      </c>
      <c r="B69" s="1">
        <v>40574</v>
      </c>
      <c r="C69">
        <v>1</v>
      </c>
      <c r="D69">
        <v>0</v>
      </c>
      <c r="E69">
        <v>1</v>
      </c>
      <c r="F69">
        <v>13</v>
      </c>
      <c r="G69" t="b">
        <v>0</v>
      </c>
      <c r="H69">
        <v>1</v>
      </c>
      <c r="I69">
        <v>2</v>
      </c>
      <c r="J69">
        <v>0.16</v>
      </c>
      <c r="K69">
        <v>0.2273</v>
      </c>
      <c r="L69">
        <v>0.59</v>
      </c>
      <c r="M69">
        <v>0</v>
      </c>
      <c r="N69">
        <v>2</v>
      </c>
      <c r="O69">
        <v>52</v>
      </c>
      <c r="P69">
        <v>54</v>
      </c>
    </row>
    <row r="70" spans="1:16" x14ac:dyDescent="0.3">
      <c r="A70">
        <v>679</v>
      </c>
      <c r="B70" s="1">
        <v>40574</v>
      </c>
      <c r="C70">
        <v>1</v>
      </c>
      <c r="D70">
        <v>0</v>
      </c>
      <c r="E70">
        <v>1</v>
      </c>
      <c r="F70">
        <v>14</v>
      </c>
      <c r="G70" t="b">
        <v>0</v>
      </c>
      <c r="H70">
        <v>1</v>
      </c>
      <c r="I70">
        <v>2</v>
      </c>
      <c r="J70">
        <v>0.18</v>
      </c>
      <c r="K70">
        <v>0.19700000000000001</v>
      </c>
      <c r="L70">
        <v>0.55000000000000004</v>
      </c>
      <c r="M70">
        <v>0.1343</v>
      </c>
      <c r="N70">
        <v>1</v>
      </c>
      <c r="O70">
        <v>85</v>
      </c>
      <c r="P70">
        <v>86</v>
      </c>
    </row>
    <row r="71" spans="1:16" x14ac:dyDescent="0.3">
      <c r="A71">
        <v>680</v>
      </c>
      <c r="B71" s="1">
        <v>40574</v>
      </c>
      <c r="C71">
        <v>1</v>
      </c>
      <c r="D71">
        <v>0</v>
      </c>
      <c r="E71">
        <v>1</v>
      </c>
      <c r="F71">
        <v>15</v>
      </c>
      <c r="G71" t="b">
        <v>0</v>
      </c>
      <c r="H71">
        <v>1</v>
      </c>
      <c r="I71">
        <v>2</v>
      </c>
      <c r="J71">
        <v>0.16</v>
      </c>
      <c r="K71">
        <v>0.18179999999999999</v>
      </c>
      <c r="L71">
        <v>0.59</v>
      </c>
      <c r="M71">
        <v>0.1343</v>
      </c>
      <c r="N71">
        <v>3</v>
      </c>
      <c r="O71">
        <v>41</v>
      </c>
      <c r="P71">
        <v>44</v>
      </c>
    </row>
    <row r="72" spans="1:16" x14ac:dyDescent="0.3">
      <c r="A72">
        <v>681</v>
      </c>
      <c r="B72" s="1">
        <v>40574</v>
      </c>
      <c r="C72">
        <v>1</v>
      </c>
      <c r="D72">
        <v>0</v>
      </c>
      <c r="E72">
        <v>1</v>
      </c>
      <c r="F72">
        <v>16</v>
      </c>
      <c r="G72" t="b">
        <v>0</v>
      </c>
      <c r="H72">
        <v>1</v>
      </c>
      <c r="I72">
        <v>2</v>
      </c>
      <c r="J72">
        <v>0.16</v>
      </c>
      <c r="K72">
        <v>0.18179999999999999</v>
      </c>
      <c r="L72">
        <v>0.56000000000000005</v>
      </c>
      <c r="M72">
        <v>0.19400000000000001</v>
      </c>
      <c r="N72">
        <v>3</v>
      </c>
      <c r="O72">
        <v>83</v>
      </c>
      <c r="P72">
        <v>86</v>
      </c>
    </row>
    <row r="73" spans="1:16" x14ac:dyDescent="0.3">
      <c r="A73">
        <v>682</v>
      </c>
      <c r="B73" s="1">
        <v>40574</v>
      </c>
      <c r="C73">
        <v>1</v>
      </c>
      <c r="D73">
        <v>0</v>
      </c>
      <c r="E73">
        <v>1</v>
      </c>
      <c r="F73">
        <v>17</v>
      </c>
      <c r="G73" t="b">
        <v>0</v>
      </c>
      <c r="H73">
        <v>1</v>
      </c>
      <c r="I73">
        <v>2</v>
      </c>
      <c r="J73">
        <v>0.16</v>
      </c>
      <c r="K73">
        <v>0.1515</v>
      </c>
      <c r="L73">
        <v>0.59</v>
      </c>
      <c r="M73">
        <v>0.19400000000000001</v>
      </c>
      <c r="N73">
        <v>6</v>
      </c>
      <c r="O73">
        <v>155</v>
      </c>
      <c r="P73">
        <v>161</v>
      </c>
    </row>
    <row r="74" spans="1:16" x14ac:dyDescent="0.3">
      <c r="A74">
        <v>683</v>
      </c>
      <c r="B74" s="1">
        <v>40574</v>
      </c>
      <c r="C74">
        <v>1</v>
      </c>
      <c r="D74">
        <v>0</v>
      </c>
      <c r="E74">
        <v>1</v>
      </c>
      <c r="F74">
        <v>18</v>
      </c>
      <c r="G74" t="b">
        <v>0</v>
      </c>
      <c r="H74">
        <v>1</v>
      </c>
      <c r="I74">
        <v>2</v>
      </c>
      <c r="J74">
        <v>0.16</v>
      </c>
      <c r="K74">
        <v>0.1515</v>
      </c>
      <c r="L74">
        <v>0.55000000000000004</v>
      </c>
      <c r="M74">
        <v>0.22389999999999999</v>
      </c>
      <c r="N74">
        <v>3</v>
      </c>
      <c r="O74">
        <v>153</v>
      </c>
      <c r="P74">
        <v>156</v>
      </c>
    </row>
    <row r="75" spans="1:16" x14ac:dyDescent="0.3">
      <c r="A75">
        <v>684</v>
      </c>
      <c r="B75" s="1">
        <v>40574</v>
      </c>
      <c r="C75">
        <v>1</v>
      </c>
      <c r="D75">
        <v>0</v>
      </c>
      <c r="E75">
        <v>1</v>
      </c>
      <c r="F75">
        <v>19</v>
      </c>
      <c r="G75" t="b">
        <v>0</v>
      </c>
      <c r="H75">
        <v>1</v>
      </c>
      <c r="I75">
        <v>1</v>
      </c>
      <c r="J75">
        <v>0.3</v>
      </c>
      <c r="K75">
        <v>0.31819999999999998</v>
      </c>
      <c r="L75">
        <v>0.61</v>
      </c>
      <c r="M75">
        <v>0.1045</v>
      </c>
      <c r="N75">
        <v>3</v>
      </c>
      <c r="O75">
        <v>108</v>
      </c>
      <c r="P75">
        <v>111</v>
      </c>
    </row>
    <row r="76" spans="1:16" x14ac:dyDescent="0.3">
      <c r="A76">
        <v>685</v>
      </c>
      <c r="B76" s="1">
        <v>40574</v>
      </c>
      <c r="C76">
        <v>1</v>
      </c>
      <c r="D76">
        <v>0</v>
      </c>
      <c r="E76">
        <v>1</v>
      </c>
      <c r="F76">
        <v>20</v>
      </c>
      <c r="G76" t="b">
        <v>0</v>
      </c>
      <c r="H76">
        <v>1</v>
      </c>
      <c r="I76">
        <v>3</v>
      </c>
      <c r="J76">
        <v>0.16</v>
      </c>
      <c r="K76">
        <v>0.16669999999999999</v>
      </c>
      <c r="L76">
        <v>0.59</v>
      </c>
      <c r="M76">
        <v>0.16420000000000001</v>
      </c>
      <c r="N76">
        <v>0</v>
      </c>
      <c r="O76">
        <v>78</v>
      </c>
      <c r="P76">
        <v>78</v>
      </c>
    </row>
    <row r="77" spans="1:16" x14ac:dyDescent="0.3">
      <c r="A77">
        <v>686</v>
      </c>
      <c r="B77" s="1">
        <v>40574</v>
      </c>
      <c r="C77">
        <v>1</v>
      </c>
      <c r="D77">
        <v>0</v>
      </c>
      <c r="E77">
        <v>1</v>
      </c>
      <c r="F77">
        <v>21</v>
      </c>
      <c r="G77" t="b">
        <v>0</v>
      </c>
      <c r="H77">
        <v>1</v>
      </c>
      <c r="I77">
        <v>3</v>
      </c>
      <c r="J77">
        <v>0.16</v>
      </c>
      <c r="K77">
        <v>0.19700000000000001</v>
      </c>
      <c r="L77">
        <v>0.59</v>
      </c>
      <c r="M77">
        <v>8.9599999999999999E-2</v>
      </c>
      <c r="N77">
        <v>3</v>
      </c>
      <c r="O77">
        <v>53</v>
      </c>
      <c r="P77">
        <v>56</v>
      </c>
    </row>
    <row r="78" spans="1:16" x14ac:dyDescent="0.3">
      <c r="A78">
        <v>687</v>
      </c>
      <c r="B78" s="1">
        <v>40574</v>
      </c>
      <c r="C78">
        <v>1</v>
      </c>
      <c r="D78">
        <v>0</v>
      </c>
      <c r="E78">
        <v>1</v>
      </c>
      <c r="F78">
        <v>22</v>
      </c>
      <c r="G78" t="b">
        <v>0</v>
      </c>
      <c r="H78">
        <v>1</v>
      </c>
      <c r="I78">
        <v>2</v>
      </c>
      <c r="J78">
        <v>0.16</v>
      </c>
      <c r="K78">
        <v>0.18179999999999999</v>
      </c>
      <c r="L78">
        <v>0.59</v>
      </c>
      <c r="M78">
        <v>0.1045</v>
      </c>
      <c r="N78">
        <v>0</v>
      </c>
      <c r="O78">
        <v>34</v>
      </c>
      <c r="P78">
        <v>34</v>
      </c>
    </row>
    <row r="79" spans="1:16" x14ac:dyDescent="0.3">
      <c r="A79">
        <v>688</v>
      </c>
      <c r="B79" s="1">
        <v>40574</v>
      </c>
      <c r="C79">
        <v>1</v>
      </c>
      <c r="D79">
        <v>0</v>
      </c>
      <c r="E79">
        <v>1</v>
      </c>
      <c r="F79">
        <v>23</v>
      </c>
      <c r="G79" t="b">
        <v>0</v>
      </c>
      <c r="H79">
        <v>1</v>
      </c>
      <c r="I79">
        <v>2</v>
      </c>
      <c r="J79">
        <v>0.16</v>
      </c>
      <c r="K79">
        <v>0.19700000000000001</v>
      </c>
      <c r="L79">
        <v>0.64</v>
      </c>
      <c r="M79">
        <v>8.9599999999999999E-2</v>
      </c>
      <c r="N79">
        <v>2</v>
      </c>
      <c r="O79">
        <v>15</v>
      </c>
      <c r="P79">
        <v>17</v>
      </c>
    </row>
    <row r="80" spans="1:16" x14ac:dyDescent="0.3">
      <c r="A80">
        <v>689</v>
      </c>
      <c r="B80" s="1">
        <v>40575</v>
      </c>
      <c r="C80">
        <v>1</v>
      </c>
      <c r="D80">
        <v>0</v>
      </c>
      <c r="E80">
        <v>2</v>
      </c>
      <c r="F80">
        <v>0</v>
      </c>
      <c r="G80" t="b">
        <v>0</v>
      </c>
      <c r="H80">
        <v>2</v>
      </c>
      <c r="I80">
        <v>2</v>
      </c>
      <c r="J80">
        <v>0.16</v>
      </c>
      <c r="K80">
        <v>0.18179999999999999</v>
      </c>
      <c r="L80">
        <v>0.64</v>
      </c>
      <c r="M80">
        <v>0.1045</v>
      </c>
      <c r="N80">
        <v>2</v>
      </c>
      <c r="O80">
        <v>6</v>
      </c>
      <c r="P80">
        <v>8</v>
      </c>
    </row>
    <row r="81" spans="1:16" x14ac:dyDescent="0.3">
      <c r="A81">
        <v>690</v>
      </c>
      <c r="B81" s="1">
        <v>40575</v>
      </c>
      <c r="C81">
        <v>1</v>
      </c>
      <c r="D81">
        <v>0</v>
      </c>
      <c r="E81">
        <v>2</v>
      </c>
      <c r="F81">
        <v>1</v>
      </c>
      <c r="G81" t="b">
        <v>0</v>
      </c>
      <c r="H81">
        <v>2</v>
      </c>
      <c r="I81">
        <v>2</v>
      </c>
      <c r="J81">
        <v>0.16</v>
      </c>
      <c r="K81">
        <v>0.18179999999999999</v>
      </c>
      <c r="L81">
        <v>0.69</v>
      </c>
      <c r="M81">
        <v>0.1045</v>
      </c>
      <c r="N81">
        <v>0</v>
      </c>
      <c r="O81">
        <v>3</v>
      </c>
      <c r="P81">
        <v>3</v>
      </c>
    </row>
    <row r="82" spans="1:16" x14ac:dyDescent="0.3">
      <c r="A82">
        <v>691</v>
      </c>
      <c r="B82" s="1">
        <v>40575</v>
      </c>
      <c r="C82">
        <v>1</v>
      </c>
      <c r="D82">
        <v>0</v>
      </c>
      <c r="E82">
        <v>2</v>
      </c>
      <c r="F82">
        <v>2</v>
      </c>
      <c r="G82" t="b">
        <v>0</v>
      </c>
      <c r="H82">
        <v>2</v>
      </c>
      <c r="I82">
        <v>2</v>
      </c>
      <c r="J82">
        <v>0.16</v>
      </c>
      <c r="K82">
        <v>0.2273</v>
      </c>
      <c r="L82">
        <v>0.69</v>
      </c>
      <c r="M82">
        <v>0</v>
      </c>
      <c r="N82">
        <v>0</v>
      </c>
      <c r="O82">
        <v>2</v>
      </c>
      <c r="P82">
        <v>2</v>
      </c>
    </row>
    <row r="83" spans="1:16" x14ac:dyDescent="0.3">
      <c r="A83">
        <v>692</v>
      </c>
      <c r="B83" s="1">
        <v>40575</v>
      </c>
      <c r="C83">
        <v>1</v>
      </c>
      <c r="D83">
        <v>0</v>
      </c>
      <c r="E83">
        <v>2</v>
      </c>
      <c r="F83">
        <v>3</v>
      </c>
      <c r="G83" t="b">
        <v>0</v>
      </c>
      <c r="H83">
        <v>2</v>
      </c>
      <c r="I83">
        <v>2</v>
      </c>
      <c r="J83">
        <v>0.16</v>
      </c>
      <c r="K83">
        <v>0.2273</v>
      </c>
      <c r="L83">
        <v>0.69</v>
      </c>
      <c r="M83">
        <v>0</v>
      </c>
      <c r="N83">
        <v>0</v>
      </c>
      <c r="O83">
        <v>2</v>
      </c>
      <c r="P83">
        <v>2</v>
      </c>
    </row>
    <row r="84" spans="1:16" x14ac:dyDescent="0.3">
      <c r="A84">
        <v>693</v>
      </c>
      <c r="B84" s="1">
        <v>40575</v>
      </c>
      <c r="C84">
        <v>1</v>
      </c>
      <c r="D84">
        <v>0</v>
      </c>
      <c r="E84">
        <v>2</v>
      </c>
      <c r="F84">
        <v>5</v>
      </c>
      <c r="G84" t="b">
        <v>0</v>
      </c>
      <c r="H84">
        <v>2</v>
      </c>
      <c r="I84">
        <v>3</v>
      </c>
      <c r="J84">
        <v>0.14000000000000001</v>
      </c>
      <c r="K84">
        <v>0.21210000000000001</v>
      </c>
      <c r="L84">
        <v>0.93</v>
      </c>
      <c r="M84">
        <v>0</v>
      </c>
      <c r="N84">
        <v>0</v>
      </c>
      <c r="O84">
        <v>3</v>
      </c>
      <c r="P84">
        <v>3</v>
      </c>
    </row>
    <row r="85" spans="1:16" x14ac:dyDescent="0.3">
      <c r="A85">
        <v>694</v>
      </c>
      <c r="B85" s="1">
        <v>40575</v>
      </c>
      <c r="C85">
        <v>1</v>
      </c>
      <c r="D85">
        <v>0</v>
      </c>
      <c r="E85">
        <v>2</v>
      </c>
      <c r="F85">
        <v>6</v>
      </c>
      <c r="G85" t="b">
        <v>0</v>
      </c>
      <c r="H85">
        <v>2</v>
      </c>
      <c r="I85">
        <v>3</v>
      </c>
      <c r="J85">
        <v>0.14000000000000001</v>
      </c>
      <c r="K85">
        <v>0.21210000000000001</v>
      </c>
      <c r="L85">
        <v>0.93</v>
      </c>
      <c r="M85">
        <v>0</v>
      </c>
      <c r="N85">
        <v>0</v>
      </c>
      <c r="O85">
        <v>22</v>
      </c>
      <c r="P85">
        <v>22</v>
      </c>
    </row>
    <row r="86" spans="1:16" x14ac:dyDescent="0.3">
      <c r="A86">
        <v>695</v>
      </c>
      <c r="B86" s="1">
        <v>40575</v>
      </c>
      <c r="C86">
        <v>1</v>
      </c>
      <c r="D86">
        <v>0</v>
      </c>
      <c r="E86">
        <v>2</v>
      </c>
      <c r="F86">
        <v>7</v>
      </c>
      <c r="G86" t="b">
        <v>0</v>
      </c>
      <c r="H86">
        <v>2</v>
      </c>
      <c r="I86">
        <v>3</v>
      </c>
      <c r="J86">
        <v>0.16</v>
      </c>
      <c r="K86">
        <v>0.2273</v>
      </c>
      <c r="L86">
        <v>0.93</v>
      </c>
      <c r="M86">
        <v>0</v>
      </c>
      <c r="N86">
        <v>0</v>
      </c>
      <c r="O86">
        <v>52</v>
      </c>
      <c r="P86">
        <v>52</v>
      </c>
    </row>
    <row r="87" spans="1:16" x14ac:dyDescent="0.3">
      <c r="A87">
        <v>696</v>
      </c>
      <c r="B87" s="1">
        <v>40575</v>
      </c>
      <c r="C87">
        <v>1</v>
      </c>
      <c r="D87">
        <v>0</v>
      </c>
      <c r="E87">
        <v>2</v>
      </c>
      <c r="F87">
        <v>8</v>
      </c>
      <c r="G87" t="b">
        <v>0</v>
      </c>
      <c r="H87">
        <v>2</v>
      </c>
      <c r="I87">
        <v>3</v>
      </c>
      <c r="J87">
        <v>0.16</v>
      </c>
      <c r="K87">
        <v>0.2273</v>
      </c>
      <c r="L87">
        <v>0.93</v>
      </c>
      <c r="M87">
        <v>0</v>
      </c>
      <c r="N87">
        <v>3</v>
      </c>
      <c r="O87">
        <v>132</v>
      </c>
      <c r="P87">
        <v>135</v>
      </c>
    </row>
    <row r="88" spans="1:16" x14ac:dyDescent="0.3">
      <c r="A88">
        <v>697</v>
      </c>
      <c r="B88" s="1">
        <v>40575</v>
      </c>
      <c r="C88">
        <v>1</v>
      </c>
      <c r="D88">
        <v>0</v>
      </c>
      <c r="E88">
        <v>2</v>
      </c>
      <c r="F88">
        <v>9</v>
      </c>
      <c r="G88" t="b">
        <v>0</v>
      </c>
      <c r="H88">
        <v>2</v>
      </c>
      <c r="I88">
        <v>2</v>
      </c>
      <c r="J88">
        <v>0.16</v>
      </c>
      <c r="K88">
        <v>0.2273</v>
      </c>
      <c r="L88">
        <v>0.93</v>
      </c>
      <c r="M88">
        <v>0</v>
      </c>
      <c r="N88">
        <v>2</v>
      </c>
      <c r="O88">
        <v>114</v>
      </c>
      <c r="P88">
        <v>116</v>
      </c>
    </row>
    <row r="89" spans="1:16" x14ac:dyDescent="0.3">
      <c r="A89">
        <v>698</v>
      </c>
      <c r="B89" s="1">
        <v>40575</v>
      </c>
      <c r="C89">
        <v>1</v>
      </c>
      <c r="D89">
        <v>0</v>
      </c>
      <c r="E89">
        <v>2</v>
      </c>
      <c r="F89">
        <v>10</v>
      </c>
      <c r="G89" t="b">
        <v>0</v>
      </c>
      <c r="H89">
        <v>2</v>
      </c>
      <c r="I89">
        <v>2</v>
      </c>
      <c r="J89">
        <v>0.16</v>
      </c>
      <c r="K89">
        <v>0.2273</v>
      </c>
      <c r="L89">
        <v>0.93</v>
      </c>
      <c r="M89">
        <v>0</v>
      </c>
      <c r="N89">
        <v>0</v>
      </c>
      <c r="O89">
        <v>47</v>
      </c>
      <c r="P89">
        <v>47</v>
      </c>
    </row>
    <row r="90" spans="1:16" x14ac:dyDescent="0.3">
      <c r="A90">
        <v>699</v>
      </c>
      <c r="B90" s="1">
        <v>40575</v>
      </c>
      <c r="C90">
        <v>1</v>
      </c>
      <c r="D90">
        <v>0</v>
      </c>
      <c r="E90">
        <v>2</v>
      </c>
      <c r="F90">
        <v>11</v>
      </c>
      <c r="G90" t="b">
        <v>0</v>
      </c>
      <c r="H90">
        <v>2</v>
      </c>
      <c r="I90">
        <v>2</v>
      </c>
      <c r="J90">
        <v>0.18</v>
      </c>
      <c r="K90">
        <v>0.2424</v>
      </c>
      <c r="L90">
        <v>0.86</v>
      </c>
      <c r="M90">
        <v>0</v>
      </c>
      <c r="N90">
        <v>2</v>
      </c>
      <c r="O90">
        <v>49</v>
      </c>
      <c r="P90">
        <v>51</v>
      </c>
    </row>
    <row r="91" spans="1:16" x14ac:dyDescent="0.3">
      <c r="A91">
        <v>700</v>
      </c>
      <c r="B91" s="1">
        <v>40575</v>
      </c>
      <c r="C91">
        <v>1</v>
      </c>
      <c r="D91">
        <v>0</v>
      </c>
      <c r="E91">
        <v>2</v>
      </c>
      <c r="F91">
        <v>12</v>
      </c>
      <c r="G91" t="b">
        <v>0</v>
      </c>
      <c r="H91">
        <v>2</v>
      </c>
      <c r="I91">
        <v>2</v>
      </c>
      <c r="J91">
        <v>0.2</v>
      </c>
      <c r="K91">
        <v>0.2576</v>
      </c>
      <c r="L91">
        <v>0.86</v>
      </c>
      <c r="M91">
        <v>0</v>
      </c>
      <c r="N91">
        <v>2</v>
      </c>
      <c r="O91">
        <v>53</v>
      </c>
      <c r="P91">
        <v>55</v>
      </c>
    </row>
    <row r="92" spans="1:16" x14ac:dyDescent="0.3">
      <c r="A92">
        <v>701</v>
      </c>
      <c r="B92" s="1">
        <v>40575</v>
      </c>
      <c r="C92">
        <v>1</v>
      </c>
      <c r="D92">
        <v>0</v>
      </c>
      <c r="E92">
        <v>2</v>
      </c>
      <c r="F92">
        <v>13</v>
      </c>
      <c r="G92" t="b">
        <v>0</v>
      </c>
      <c r="H92">
        <v>2</v>
      </c>
      <c r="I92">
        <v>2</v>
      </c>
      <c r="J92">
        <v>0.2</v>
      </c>
      <c r="K92">
        <v>0.2576</v>
      </c>
      <c r="L92">
        <v>0.86</v>
      </c>
      <c r="M92">
        <v>0</v>
      </c>
      <c r="N92">
        <v>3</v>
      </c>
      <c r="O92">
        <v>49</v>
      </c>
      <c r="P92">
        <v>52</v>
      </c>
    </row>
    <row r="93" spans="1:16" x14ac:dyDescent="0.3">
      <c r="A93">
        <v>702</v>
      </c>
      <c r="B93" s="1">
        <v>40575</v>
      </c>
      <c r="C93">
        <v>1</v>
      </c>
      <c r="D93">
        <v>0</v>
      </c>
      <c r="E93">
        <v>2</v>
      </c>
      <c r="F93">
        <v>14</v>
      </c>
      <c r="G93" t="b">
        <v>0</v>
      </c>
      <c r="H93">
        <v>2</v>
      </c>
      <c r="I93">
        <v>2</v>
      </c>
      <c r="J93">
        <v>0.22</v>
      </c>
      <c r="K93">
        <v>0.2576</v>
      </c>
      <c r="L93">
        <v>0.8</v>
      </c>
      <c r="M93">
        <v>8.9599999999999999E-2</v>
      </c>
      <c r="N93">
        <v>5</v>
      </c>
      <c r="O93">
        <v>49</v>
      </c>
      <c r="P93">
        <v>54</v>
      </c>
    </row>
    <row r="94" spans="1:16" x14ac:dyDescent="0.3">
      <c r="A94">
        <v>703</v>
      </c>
      <c r="B94" s="1">
        <v>40575</v>
      </c>
      <c r="C94">
        <v>1</v>
      </c>
      <c r="D94">
        <v>0</v>
      </c>
      <c r="E94">
        <v>2</v>
      </c>
      <c r="F94">
        <v>15</v>
      </c>
      <c r="G94" t="b">
        <v>0</v>
      </c>
      <c r="H94">
        <v>2</v>
      </c>
      <c r="I94">
        <v>2</v>
      </c>
      <c r="J94">
        <v>0.24</v>
      </c>
      <c r="K94">
        <v>0.28789999999999999</v>
      </c>
      <c r="L94">
        <v>0.75</v>
      </c>
      <c r="M94">
        <v>0</v>
      </c>
      <c r="N94">
        <v>7</v>
      </c>
      <c r="O94">
        <v>45</v>
      </c>
      <c r="P94">
        <v>52</v>
      </c>
    </row>
    <row r="95" spans="1:16" x14ac:dyDescent="0.3">
      <c r="A95">
        <v>704</v>
      </c>
      <c r="B95" s="1">
        <v>40575</v>
      </c>
      <c r="C95">
        <v>1</v>
      </c>
      <c r="D95">
        <v>0</v>
      </c>
      <c r="E95">
        <v>2</v>
      </c>
      <c r="F95">
        <v>16</v>
      </c>
      <c r="G95" t="b">
        <v>0</v>
      </c>
      <c r="H95">
        <v>2</v>
      </c>
      <c r="I95">
        <v>2</v>
      </c>
      <c r="J95">
        <v>0.24</v>
      </c>
      <c r="K95">
        <v>0.2424</v>
      </c>
      <c r="L95">
        <v>0.75</v>
      </c>
      <c r="M95">
        <v>0.1343</v>
      </c>
      <c r="N95">
        <v>3</v>
      </c>
      <c r="O95">
        <v>61</v>
      </c>
      <c r="P95">
        <v>64</v>
      </c>
    </row>
    <row r="96" spans="1:16" x14ac:dyDescent="0.3">
      <c r="A96">
        <v>705</v>
      </c>
      <c r="B96" s="1">
        <v>40575</v>
      </c>
      <c r="C96">
        <v>1</v>
      </c>
      <c r="D96">
        <v>0</v>
      </c>
      <c r="E96">
        <v>2</v>
      </c>
      <c r="F96">
        <v>17</v>
      </c>
      <c r="G96" t="b">
        <v>0</v>
      </c>
      <c r="H96">
        <v>2</v>
      </c>
      <c r="I96">
        <v>2</v>
      </c>
      <c r="J96">
        <v>0.24</v>
      </c>
      <c r="K96">
        <v>0.28789999999999999</v>
      </c>
      <c r="L96">
        <v>0.75</v>
      </c>
      <c r="M96">
        <v>0</v>
      </c>
      <c r="N96">
        <v>4</v>
      </c>
      <c r="O96">
        <v>172</v>
      </c>
      <c r="P96">
        <v>176</v>
      </c>
    </row>
    <row r="97" spans="1:16" x14ac:dyDescent="0.3">
      <c r="A97">
        <v>706</v>
      </c>
      <c r="B97" s="1">
        <v>40575</v>
      </c>
      <c r="C97">
        <v>1</v>
      </c>
      <c r="D97">
        <v>0</v>
      </c>
      <c r="E97">
        <v>2</v>
      </c>
      <c r="F97">
        <v>18</v>
      </c>
      <c r="G97" t="b">
        <v>0</v>
      </c>
      <c r="H97">
        <v>2</v>
      </c>
      <c r="I97">
        <v>2</v>
      </c>
      <c r="J97">
        <v>0.24</v>
      </c>
      <c r="K97">
        <v>0.2576</v>
      </c>
      <c r="L97">
        <v>0.81</v>
      </c>
      <c r="M97">
        <v>0.1045</v>
      </c>
      <c r="N97">
        <v>3</v>
      </c>
      <c r="O97">
        <v>165</v>
      </c>
      <c r="P97">
        <v>168</v>
      </c>
    </row>
    <row r="98" spans="1:16" x14ac:dyDescent="0.3">
      <c r="A98">
        <v>707</v>
      </c>
      <c r="B98" s="1">
        <v>40575</v>
      </c>
      <c r="C98">
        <v>1</v>
      </c>
      <c r="D98">
        <v>0</v>
      </c>
      <c r="E98">
        <v>2</v>
      </c>
      <c r="F98">
        <v>19</v>
      </c>
      <c r="G98" t="b">
        <v>0</v>
      </c>
      <c r="H98">
        <v>2</v>
      </c>
      <c r="I98">
        <v>2</v>
      </c>
      <c r="J98">
        <v>0.24</v>
      </c>
      <c r="K98">
        <v>0.2424</v>
      </c>
      <c r="L98">
        <v>0.81</v>
      </c>
      <c r="M98">
        <v>0.1343</v>
      </c>
      <c r="N98">
        <v>3</v>
      </c>
      <c r="O98">
        <v>105</v>
      </c>
      <c r="P98">
        <v>108</v>
      </c>
    </row>
    <row r="99" spans="1:16" x14ac:dyDescent="0.3">
      <c r="A99">
        <v>708</v>
      </c>
      <c r="B99" s="1">
        <v>40575</v>
      </c>
      <c r="C99">
        <v>1</v>
      </c>
      <c r="D99">
        <v>0</v>
      </c>
      <c r="E99">
        <v>2</v>
      </c>
      <c r="F99">
        <v>20</v>
      </c>
      <c r="G99" t="b">
        <v>0</v>
      </c>
      <c r="H99">
        <v>2</v>
      </c>
      <c r="I99">
        <v>2</v>
      </c>
      <c r="J99">
        <v>0.22</v>
      </c>
      <c r="K99">
        <v>0.2273</v>
      </c>
      <c r="L99">
        <v>0.87</v>
      </c>
      <c r="M99">
        <v>0.1343</v>
      </c>
      <c r="N99">
        <v>5</v>
      </c>
      <c r="O99">
        <v>69</v>
      </c>
      <c r="P99">
        <v>74</v>
      </c>
    </row>
    <row r="100" spans="1:16" x14ac:dyDescent="0.3">
      <c r="A100">
        <v>709</v>
      </c>
      <c r="B100" s="1">
        <v>40575</v>
      </c>
      <c r="C100">
        <v>1</v>
      </c>
      <c r="D100">
        <v>0</v>
      </c>
      <c r="E100">
        <v>2</v>
      </c>
      <c r="F100">
        <v>21</v>
      </c>
      <c r="G100" t="b">
        <v>0</v>
      </c>
      <c r="H100">
        <v>2</v>
      </c>
      <c r="I100">
        <v>2</v>
      </c>
      <c r="J100">
        <v>0.22</v>
      </c>
      <c r="K100">
        <v>0.2273</v>
      </c>
      <c r="L100">
        <v>0.87</v>
      </c>
      <c r="M100">
        <v>0.1343</v>
      </c>
      <c r="N100">
        <v>0</v>
      </c>
      <c r="O100">
        <v>64</v>
      </c>
      <c r="P100">
        <v>64</v>
      </c>
    </row>
    <row r="101" spans="1:16" x14ac:dyDescent="0.3">
      <c r="A101">
        <v>710</v>
      </c>
      <c r="B101" s="1">
        <v>40575</v>
      </c>
      <c r="C101">
        <v>1</v>
      </c>
      <c r="D101">
        <v>0</v>
      </c>
      <c r="E101">
        <v>2</v>
      </c>
      <c r="F101">
        <v>22</v>
      </c>
      <c r="G101" t="b">
        <v>0</v>
      </c>
      <c r="H101">
        <v>2</v>
      </c>
      <c r="I101">
        <v>2</v>
      </c>
      <c r="J101">
        <v>0.22</v>
      </c>
      <c r="K101">
        <v>0.2576</v>
      </c>
      <c r="L101">
        <v>0.87</v>
      </c>
      <c r="M101">
        <v>8.9599999999999999E-2</v>
      </c>
      <c r="N101">
        <v>2</v>
      </c>
      <c r="O101">
        <v>34</v>
      </c>
      <c r="P101">
        <v>36</v>
      </c>
    </row>
    <row r="102" spans="1:16" x14ac:dyDescent="0.3">
      <c r="A102">
        <v>711</v>
      </c>
      <c r="B102" s="1">
        <v>40575</v>
      </c>
      <c r="C102">
        <v>1</v>
      </c>
      <c r="D102">
        <v>0</v>
      </c>
      <c r="E102">
        <v>2</v>
      </c>
      <c r="F102">
        <v>23</v>
      </c>
      <c r="G102" t="b">
        <v>0</v>
      </c>
      <c r="H102">
        <v>2</v>
      </c>
      <c r="I102">
        <v>3</v>
      </c>
      <c r="J102">
        <v>0.2</v>
      </c>
      <c r="K102">
        <v>0.19700000000000001</v>
      </c>
      <c r="L102">
        <v>0.93</v>
      </c>
      <c r="M102">
        <v>0.19400000000000001</v>
      </c>
      <c r="N102">
        <v>1</v>
      </c>
      <c r="O102">
        <v>15</v>
      </c>
      <c r="P102">
        <v>16</v>
      </c>
    </row>
    <row r="103" spans="1:16" x14ac:dyDescent="0.3">
      <c r="A103">
        <v>712</v>
      </c>
      <c r="B103" s="1">
        <v>40576</v>
      </c>
      <c r="C103">
        <v>1</v>
      </c>
      <c r="D103">
        <v>0</v>
      </c>
      <c r="E103">
        <v>2</v>
      </c>
      <c r="F103">
        <v>0</v>
      </c>
      <c r="G103" t="b">
        <v>0</v>
      </c>
      <c r="H103">
        <v>3</v>
      </c>
      <c r="I103">
        <v>3</v>
      </c>
      <c r="J103">
        <v>0.22</v>
      </c>
      <c r="K103">
        <v>0.2424</v>
      </c>
      <c r="L103">
        <v>0.93</v>
      </c>
      <c r="M103">
        <v>0.1045</v>
      </c>
      <c r="N103">
        <v>0</v>
      </c>
      <c r="O103">
        <v>2</v>
      </c>
      <c r="P103">
        <v>2</v>
      </c>
    </row>
    <row r="104" spans="1:16" x14ac:dyDescent="0.3">
      <c r="A104">
        <v>713</v>
      </c>
      <c r="B104" s="1">
        <v>40576</v>
      </c>
      <c r="C104">
        <v>1</v>
      </c>
      <c r="D104">
        <v>0</v>
      </c>
      <c r="E104">
        <v>2</v>
      </c>
      <c r="F104">
        <v>1</v>
      </c>
      <c r="G104" t="b">
        <v>0</v>
      </c>
      <c r="H104">
        <v>3</v>
      </c>
      <c r="I104">
        <v>3</v>
      </c>
      <c r="J104">
        <v>0.22</v>
      </c>
      <c r="K104">
        <v>0.2273</v>
      </c>
      <c r="L104">
        <v>0.93</v>
      </c>
      <c r="M104">
        <v>0.19400000000000001</v>
      </c>
      <c r="N104">
        <v>0</v>
      </c>
      <c r="O104">
        <v>3</v>
      </c>
      <c r="P104">
        <v>3</v>
      </c>
    </row>
    <row r="105" spans="1:16" x14ac:dyDescent="0.3">
      <c r="A105">
        <v>714</v>
      </c>
      <c r="B105" s="1">
        <v>40576</v>
      </c>
      <c r="C105">
        <v>1</v>
      </c>
      <c r="D105">
        <v>0</v>
      </c>
      <c r="E105">
        <v>2</v>
      </c>
      <c r="F105">
        <v>2</v>
      </c>
      <c r="G105" t="b">
        <v>0</v>
      </c>
      <c r="H105">
        <v>3</v>
      </c>
      <c r="I105">
        <v>3</v>
      </c>
      <c r="J105">
        <v>0.22</v>
      </c>
      <c r="K105">
        <v>0.2273</v>
      </c>
      <c r="L105">
        <v>0.93</v>
      </c>
      <c r="M105">
        <v>0.1343</v>
      </c>
      <c r="N105">
        <v>4</v>
      </c>
      <c r="O105">
        <v>0</v>
      </c>
      <c r="P105">
        <v>4</v>
      </c>
    </row>
    <row r="106" spans="1:16" x14ac:dyDescent="0.3">
      <c r="A106">
        <v>715</v>
      </c>
      <c r="B106" s="1">
        <v>40576</v>
      </c>
      <c r="C106">
        <v>1</v>
      </c>
      <c r="D106">
        <v>0</v>
      </c>
      <c r="E106">
        <v>2</v>
      </c>
      <c r="F106">
        <v>3</v>
      </c>
      <c r="G106" t="b">
        <v>0</v>
      </c>
      <c r="H106">
        <v>3</v>
      </c>
      <c r="I106">
        <v>3</v>
      </c>
      <c r="J106">
        <v>0.22</v>
      </c>
      <c r="K106">
        <v>0.2273</v>
      </c>
      <c r="L106">
        <v>0.93</v>
      </c>
      <c r="M106">
        <v>0.1343</v>
      </c>
      <c r="N106">
        <v>0</v>
      </c>
      <c r="O106">
        <v>1</v>
      </c>
      <c r="P106">
        <v>1</v>
      </c>
    </row>
    <row r="107" spans="1:16" x14ac:dyDescent="0.3">
      <c r="A107">
        <v>716</v>
      </c>
      <c r="B107" s="1">
        <v>40576</v>
      </c>
      <c r="C107">
        <v>1</v>
      </c>
      <c r="D107">
        <v>0</v>
      </c>
      <c r="E107">
        <v>2</v>
      </c>
      <c r="F107">
        <v>4</v>
      </c>
      <c r="G107" t="b">
        <v>0</v>
      </c>
      <c r="H107">
        <v>3</v>
      </c>
      <c r="I107">
        <v>3</v>
      </c>
      <c r="J107">
        <v>0.22</v>
      </c>
      <c r="K107">
        <v>0.21210000000000001</v>
      </c>
      <c r="L107">
        <v>0.93</v>
      </c>
      <c r="M107">
        <v>0.28360000000000002</v>
      </c>
      <c r="N107">
        <v>0</v>
      </c>
      <c r="O107">
        <v>1</v>
      </c>
      <c r="P107">
        <v>1</v>
      </c>
    </row>
    <row r="108" spans="1:16" x14ac:dyDescent="0.3">
      <c r="A108">
        <v>717</v>
      </c>
      <c r="B108" s="1">
        <v>40576</v>
      </c>
      <c r="C108">
        <v>1</v>
      </c>
      <c r="D108">
        <v>0</v>
      </c>
      <c r="E108">
        <v>2</v>
      </c>
      <c r="F108">
        <v>5</v>
      </c>
      <c r="G108" t="b">
        <v>0</v>
      </c>
      <c r="H108">
        <v>3</v>
      </c>
      <c r="I108">
        <v>3</v>
      </c>
      <c r="J108">
        <v>0.22</v>
      </c>
      <c r="K108">
        <v>0.2424</v>
      </c>
      <c r="L108">
        <v>0.93</v>
      </c>
      <c r="M108">
        <v>0.1045</v>
      </c>
      <c r="N108">
        <v>0</v>
      </c>
      <c r="O108">
        <v>3</v>
      </c>
      <c r="P108">
        <v>3</v>
      </c>
    </row>
    <row r="109" spans="1:16" x14ac:dyDescent="0.3">
      <c r="A109">
        <v>718</v>
      </c>
      <c r="B109" s="1">
        <v>40576</v>
      </c>
      <c r="C109">
        <v>1</v>
      </c>
      <c r="D109">
        <v>0</v>
      </c>
      <c r="E109">
        <v>2</v>
      </c>
      <c r="F109">
        <v>6</v>
      </c>
      <c r="G109" t="b">
        <v>0</v>
      </c>
      <c r="H109">
        <v>3</v>
      </c>
      <c r="I109">
        <v>3</v>
      </c>
      <c r="J109">
        <v>0.22</v>
      </c>
      <c r="K109">
        <v>0.2424</v>
      </c>
      <c r="L109">
        <v>0.93</v>
      </c>
      <c r="M109">
        <v>0.1045</v>
      </c>
      <c r="N109">
        <v>1</v>
      </c>
      <c r="O109">
        <v>17</v>
      </c>
      <c r="P109">
        <v>18</v>
      </c>
    </row>
    <row r="110" spans="1:16" x14ac:dyDescent="0.3">
      <c r="A110">
        <v>719</v>
      </c>
      <c r="B110" s="1">
        <v>40576</v>
      </c>
      <c r="C110">
        <v>1</v>
      </c>
      <c r="D110">
        <v>0</v>
      </c>
      <c r="E110">
        <v>2</v>
      </c>
      <c r="F110">
        <v>7</v>
      </c>
      <c r="G110" t="b">
        <v>0</v>
      </c>
      <c r="H110">
        <v>3</v>
      </c>
      <c r="I110">
        <v>3</v>
      </c>
      <c r="J110">
        <v>0.22</v>
      </c>
      <c r="K110">
        <v>0.21210000000000001</v>
      </c>
      <c r="L110">
        <v>0.93</v>
      </c>
      <c r="M110">
        <v>0.22389999999999999</v>
      </c>
      <c r="N110">
        <v>1</v>
      </c>
      <c r="O110">
        <v>48</v>
      </c>
      <c r="P110">
        <v>49</v>
      </c>
    </row>
    <row r="111" spans="1:16" x14ac:dyDescent="0.3">
      <c r="A111">
        <v>720</v>
      </c>
      <c r="B111" s="1">
        <v>40576</v>
      </c>
      <c r="C111">
        <v>1</v>
      </c>
      <c r="D111">
        <v>0</v>
      </c>
      <c r="E111">
        <v>2</v>
      </c>
      <c r="F111">
        <v>8</v>
      </c>
      <c r="G111" t="b">
        <v>0</v>
      </c>
      <c r="H111">
        <v>3</v>
      </c>
      <c r="I111">
        <v>3</v>
      </c>
      <c r="J111">
        <v>0.22</v>
      </c>
      <c r="K111">
        <v>0.21210000000000001</v>
      </c>
      <c r="L111">
        <v>0.93</v>
      </c>
      <c r="M111">
        <v>0.22389999999999999</v>
      </c>
      <c r="N111">
        <v>1</v>
      </c>
      <c r="O111">
        <v>154</v>
      </c>
      <c r="P111">
        <v>155</v>
      </c>
    </row>
    <row r="112" spans="1:16" x14ac:dyDescent="0.3">
      <c r="A112">
        <v>721</v>
      </c>
      <c r="B112" s="1">
        <v>40576</v>
      </c>
      <c r="C112">
        <v>1</v>
      </c>
      <c r="D112">
        <v>0</v>
      </c>
      <c r="E112">
        <v>2</v>
      </c>
      <c r="F112">
        <v>9</v>
      </c>
      <c r="G112" t="b">
        <v>0</v>
      </c>
      <c r="H112">
        <v>3</v>
      </c>
      <c r="I112">
        <v>2</v>
      </c>
      <c r="J112">
        <v>0.24</v>
      </c>
      <c r="K112">
        <v>0.2576</v>
      </c>
      <c r="L112">
        <v>0.93</v>
      </c>
      <c r="M112">
        <v>8.9599999999999999E-2</v>
      </c>
      <c r="N112">
        <v>4</v>
      </c>
      <c r="O112">
        <v>119</v>
      </c>
      <c r="P112">
        <v>123</v>
      </c>
    </row>
    <row r="113" spans="1:16" x14ac:dyDescent="0.3">
      <c r="A113">
        <v>722</v>
      </c>
      <c r="B113" s="1">
        <v>40576</v>
      </c>
      <c r="C113">
        <v>1</v>
      </c>
      <c r="D113">
        <v>0</v>
      </c>
      <c r="E113">
        <v>2</v>
      </c>
      <c r="F113">
        <v>10</v>
      </c>
      <c r="G113" t="b">
        <v>0</v>
      </c>
      <c r="H113">
        <v>3</v>
      </c>
      <c r="I113">
        <v>2</v>
      </c>
      <c r="J113">
        <v>0.22</v>
      </c>
      <c r="K113">
        <v>0.2727</v>
      </c>
      <c r="L113">
        <v>1</v>
      </c>
      <c r="M113">
        <v>0</v>
      </c>
      <c r="N113">
        <v>2</v>
      </c>
      <c r="O113">
        <v>59</v>
      </c>
      <c r="P113">
        <v>61</v>
      </c>
    </row>
    <row r="114" spans="1:16" x14ac:dyDescent="0.3">
      <c r="A114">
        <v>723</v>
      </c>
      <c r="B114" s="1">
        <v>40576</v>
      </c>
      <c r="C114">
        <v>1</v>
      </c>
      <c r="D114">
        <v>0</v>
      </c>
      <c r="E114">
        <v>2</v>
      </c>
      <c r="F114">
        <v>11</v>
      </c>
      <c r="G114" t="b">
        <v>0</v>
      </c>
      <c r="H114">
        <v>3</v>
      </c>
      <c r="I114">
        <v>2</v>
      </c>
      <c r="J114">
        <v>0.24</v>
      </c>
      <c r="K114">
        <v>0.2273</v>
      </c>
      <c r="L114">
        <v>0.93</v>
      </c>
      <c r="M114">
        <v>0.19400000000000001</v>
      </c>
      <c r="N114">
        <v>5</v>
      </c>
      <c r="O114">
        <v>47</v>
      </c>
      <c r="P114">
        <v>52</v>
      </c>
    </row>
    <row r="115" spans="1:16" x14ac:dyDescent="0.3">
      <c r="A115">
        <v>724</v>
      </c>
      <c r="B115" s="1">
        <v>40576</v>
      </c>
      <c r="C115">
        <v>1</v>
      </c>
      <c r="D115">
        <v>0</v>
      </c>
      <c r="E115">
        <v>2</v>
      </c>
      <c r="F115">
        <v>12</v>
      </c>
      <c r="G115" t="b">
        <v>0</v>
      </c>
      <c r="H115">
        <v>3</v>
      </c>
      <c r="I115">
        <v>2</v>
      </c>
      <c r="J115">
        <v>0.24</v>
      </c>
      <c r="K115">
        <v>0.2273</v>
      </c>
      <c r="L115">
        <v>0.93</v>
      </c>
      <c r="M115">
        <v>0.22389999999999999</v>
      </c>
      <c r="N115">
        <v>3</v>
      </c>
      <c r="O115">
        <v>61</v>
      </c>
      <c r="P115">
        <v>64</v>
      </c>
    </row>
    <row r="116" spans="1:16" x14ac:dyDescent="0.3">
      <c r="A116">
        <v>725</v>
      </c>
      <c r="B116" s="1">
        <v>40576</v>
      </c>
      <c r="C116">
        <v>1</v>
      </c>
      <c r="D116">
        <v>0</v>
      </c>
      <c r="E116">
        <v>2</v>
      </c>
      <c r="F116">
        <v>13</v>
      </c>
      <c r="G116" t="b">
        <v>0</v>
      </c>
      <c r="H116">
        <v>3</v>
      </c>
      <c r="I116">
        <v>1</v>
      </c>
      <c r="J116">
        <v>0.34</v>
      </c>
      <c r="K116">
        <v>0.33329999999999999</v>
      </c>
      <c r="L116">
        <v>0.93</v>
      </c>
      <c r="M116">
        <v>0.16420000000000001</v>
      </c>
      <c r="N116">
        <v>1</v>
      </c>
      <c r="O116">
        <v>74</v>
      </c>
      <c r="P116">
        <v>75</v>
      </c>
    </row>
    <row r="117" spans="1:16" x14ac:dyDescent="0.3">
      <c r="A117">
        <v>726</v>
      </c>
      <c r="B117" s="1">
        <v>40576</v>
      </c>
      <c r="C117">
        <v>1</v>
      </c>
      <c r="D117">
        <v>0</v>
      </c>
      <c r="E117">
        <v>2</v>
      </c>
      <c r="F117">
        <v>14</v>
      </c>
      <c r="G117" t="b">
        <v>0</v>
      </c>
      <c r="H117">
        <v>3</v>
      </c>
      <c r="I117">
        <v>1</v>
      </c>
      <c r="J117">
        <v>0.38</v>
      </c>
      <c r="K117">
        <v>0.39389999999999997</v>
      </c>
      <c r="L117">
        <v>0.82</v>
      </c>
      <c r="M117">
        <v>0.3881</v>
      </c>
      <c r="N117">
        <v>2</v>
      </c>
      <c r="O117">
        <v>61</v>
      </c>
      <c r="P117">
        <v>63</v>
      </c>
    </row>
    <row r="118" spans="1:16" x14ac:dyDescent="0.3">
      <c r="A118">
        <v>727</v>
      </c>
      <c r="B118" s="1">
        <v>40576</v>
      </c>
      <c r="C118">
        <v>1</v>
      </c>
      <c r="D118">
        <v>0</v>
      </c>
      <c r="E118">
        <v>2</v>
      </c>
      <c r="F118">
        <v>15</v>
      </c>
      <c r="G118" t="b">
        <v>0</v>
      </c>
      <c r="H118">
        <v>3</v>
      </c>
      <c r="I118">
        <v>1</v>
      </c>
      <c r="J118">
        <v>0.38</v>
      </c>
      <c r="K118">
        <v>0.39389999999999997</v>
      </c>
      <c r="L118">
        <v>0.76</v>
      </c>
      <c r="M118">
        <v>0.32840000000000003</v>
      </c>
      <c r="N118">
        <v>10</v>
      </c>
      <c r="O118">
        <v>66</v>
      </c>
      <c r="P118">
        <v>76</v>
      </c>
    </row>
    <row r="119" spans="1:16" x14ac:dyDescent="0.3">
      <c r="A119">
        <v>728</v>
      </c>
      <c r="B119" s="1">
        <v>40576</v>
      </c>
      <c r="C119">
        <v>1</v>
      </c>
      <c r="D119">
        <v>0</v>
      </c>
      <c r="E119">
        <v>2</v>
      </c>
      <c r="F119">
        <v>16</v>
      </c>
      <c r="G119" t="b">
        <v>0</v>
      </c>
      <c r="H119">
        <v>3</v>
      </c>
      <c r="I119">
        <v>1</v>
      </c>
      <c r="J119">
        <v>0.36</v>
      </c>
      <c r="K119">
        <v>0.33329999999999999</v>
      </c>
      <c r="L119">
        <v>0.71</v>
      </c>
      <c r="M119">
        <v>0.29849999999999999</v>
      </c>
      <c r="N119">
        <v>8</v>
      </c>
      <c r="O119">
        <v>95</v>
      </c>
      <c r="P119">
        <v>103</v>
      </c>
    </row>
    <row r="120" spans="1:16" x14ac:dyDescent="0.3">
      <c r="A120">
        <v>729</v>
      </c>
      <c r="B120" s="1">
        <v>40576</v>
      </c>
      <c r="C120">
        <v>1</v>
      </c>
      <c r="D120">
        <v>0</v>
      </c>
      <c r="E120">
        <v>2</v>
      </c>
      <c r="F120">
        <v>17</v>
      </c>
      <c r="G120" t="b">
        <v>0</v>
      </c>
      <c r="H120">
        <v>3</v>
      </c>
      <c r="I120">
        <v>1</v>
      </c>
      <c r="J120">
        <v>0.36</v>
      </c>
      <c r="K120">
        <v>0.31819999999999998</v>
      </c>
      <c r="L120">
        <v>0.53</v>
      </c>
      <c r="M120">
        <v>0.52239999999999998</v>
      </c>
      <c r="N120">
        <v>7</v>
      </c>
      <c r="O120">
        <v>183</v>
      </c>
      <c r="P120">
        <v>190</v>
      </c>
    </row>
    <row r="121" spans="1:16" x14ac:dyDescent="0.3">
      <c r="A121">
        <v>730</v>
      </c>
      <c r="B121" s="1">
        <v>40576</v>
      </c>
      <c r="C121">
        <v>1</v>
      </c>
      <c r="D121">
        <v>0</v>
      </c>
      <c r="E121">
        <v>2</v>
      </c>
      <c r="F121">
        <v>18</v>
      </c>
      <c r="G121" t="b">
        <v>0</v>
      </c>
      <c r="H121">
        <v>3</v>
      </c>
      <c r="I121">
        <v>1</v>
      </c>
      <c r="J121">
        <v>0.34</v>
      </c>
      <c r="K121">
        <v>0.28789999999999999</v>
      </c>
      <c r="L121">
        <v>0.42</v>
      </c>
      <c r="M121">
        <v>0.55220000000000002</v>
      </c>
      <c r="N121">
        <v>7</v>
      </c>
      <c r="O121">
        <v>175</v>
      </c>
      <c r="P121">
        <v>182</v>
      </c>
    </row>
    <row r="122" spans="1:16" x14ac:dyDescent="0.3">
      <c r="A122">
        <v>731</v>
      </c>
      <c r="B122" s="1">
        <v>40576</v>
      </c>
      <c r="C122">
        <v>1</v>
      </c>
      <c r="D122">
        <v>0</v>
      </c>
      <c r="E122">
        <v>2</v>
      </c>
      <c r="F122">
        <v>19</v>
      </c>
      <c r="G122" t="b">
        <v>0</v>
      </c>
      <c r="H122">
        <v>3</v>
      </c>
      <c r="I122">
        <v>1</v>
      </c>
      <c r="J122">
        <v>0.28000000000000003</v>
      </c>
      <c r="K122">
        <v>0.2424</v>
      </c>
      <c r="L122">
        <v>0.45</v>
      </c>
      <c r="M122">
        <v>0.49249999999999999</v>
      </c>
      <c r="N122">
        <v>3</v>
      </c>
      <c r="O122">
        <v>88</v>
      </c>
      <c r="P122">
        <v>91</v>
      </c>
    </row>
    <row r="123" spans="1:16" x14ac:dyDescent="0.3">
      <c r="A123">
        <v>732</v>
      </c>
      <c r="B123" s="1">
        <v>40576</v>
      </c>
      <c r="C123">
        <v>1</v>
      </c>
      <c r="D123">
        <v>0</v>
      </c>
      <c r="E123">
        <v>2</v>
      </c>
      <c r="F123">
        <v>20</v>
      </c>
      <c r="G123" t="b">
        <v>0</v>
      </c>
      <c r="H123">
        <v>3</v>
      </c>
      <c r="I123">
        <v>1</v>
      </c>
      <c r="J123">
        <v>0.24</v>
      </c>
      <c r="K123">
        <v>0.19700000000000001</v>
      </c>
      <c r="L123">
        <v>0.48</v>
      </c>
      <c r="M123">
        <v>0.55220000000000002</v>
      </c>
      <c r="N123">
        <v>4</v>
      </c>
      <c r="O123">
        <v>71</v>
      </c>
      <c r="P123">
        <v>75</v>
      </c>
    </row>
    <row r="124" spans="1:16" x14ac:dyDescent="0.3">
      <c r="A124">
        <v>733</v>
      </c>
      <c r="B124" s="1">
        <v>40576</v>
      </c>
      <c r="C124">
        <v>1</v>
      </c>
      <c r="D124">
        <v>0</v>
      </c>
      <c r="E124">
        <v>2</v>
      </c>
      <c r="F124">
        <v>21</v>
      </c>
      <c r="G124" t="b">
        <v>0</v>
      </c>
      <c r="H124">
        <v>3</v>
      </c>
      <c r="I124">
        <v>1</v>
      </c>
      <c r="J124">
        <v>0.22</v>
      </c>
      <c r="K124">
        <v>0.19700000000000001</v>
      </c>
      <c r="L124">
        <v>0.47</v>
      </c>
      <c r="M124">
        <v>0.32840000000000003</v>
      </c>
      <c r="N124">
        <v>1</v>
      </c>
      <c r="O124">
        <v>62</v>
      </c>
      <c r="P124">
        <v>63</v>
      </c>
    </row>
    <row r="125" spans="1:16" x14ac:dyDescent="0.3">
      <c r="A125">
        <v>734</v>
      </c>
      <c r="B125" s="1">
        <v>40576</v>
      </c>
      <c r="C125">
        <v>1</v>
      </c>
      <c r="D125">
        <v>0</v>
      </c>
      <c r="E125">
        <v>2</v>
      </c>
      <c r="F125">
        <v>22</v>
      </c>
      <c r="G125" t="b">
        <v>0</v>
      </c>
      <c r="H125">
        <v>3</v>
      </c>
      <c r="I125">
        <v>1</v>
      </c>
      <c r="J125">
        <v>0.22</v>
      </c>
      <c r="K125">
        <v>0.21210000000000001</v>
      </c>
      <c r="L125">
        <v>0.44</v>
      </c>
      <c r="M125">
        <v>0.25369999999999998</v>
      </c>
      <c r="N125">
        <v>5</v>
      </c>
      <c r="O125">
        <v>35</v>
      </c>
      <c r="P125">
        <v>40</v>
      </c>
    </row>
    <row r="126" spans="1:16" x14ac:dyDescent="0.3">
      <c r="A126">
        <v>735</v>
      </c>
      <c r="B126" s="1">
        <v>40576</v>
      </c>
      <c r="C126">
        <v>1</v>
      </c>
      <c r="D126">
        <v>0</v>
      </c>
      <c r="E126">
        <v>2</v>
      </c>
      <c r="F126">
        <v>23</v>
      </c>
      <c r="G126" t="b">
        <v>0</v>
      </c>
      <c r="H126">
        <v>3</v>
      </c>
      <c r="I126">
        <v>1</v>
      </c>
      <c r="J126">
        <v>0.2</v>
      </c>
      <c r="K126">
        <v>0.16669999999999999</v>
      </c>
      <c r="L126">
        <v>0.44</v>
      </c>
      <c r="M126">
        <v>0.44779999999999998</v>
      </c>
      <c r="N126">
        <v>3</v>
      </c>
      <c r="O126">
        <v>29</v>
      </c>
      <c r="P126">
        <v>32</v>
      </c>
    </row>
    <row r="127" spans="1:16" x14ac:dyDescent="0.3">
      <c r="A127">
        <v>736</v>
      </c>
      <c r="B127" s="1">
        <v>40577</v>
      </c>
      <c r="C127">
        <v>1</v>
      </c>
      <c r="D127">
        <v>0</v>
      </c>
      <c r="E127">
        <v>2</v>
      </c>
      <c r="F127">
        <v>0</v>
      </c>
      <c r="G127" t="b">
        <v>0</v>
      </c>
      <c r="H127">
        <v>4</v>
      </c>
      <c r="I127">
        <v>1</v>
      </c>
      <c r="J127">
        <v>0.2</v>
      </c>
      <c r="K127">
        <v>0.16669999999999999</v>
      </c>
      <c r="L127">
        <v>0.4</v>
      </c>
      <c r="M127">
        <v>0.44779999999999998</v>
      </c>
      <c r="N127">
        <v>1</v>
      </c>
      <c r="O127">
        <v>11</v>
      </c>
      <c r="P127">
        <v>12</v>
      </c>
    </row>
    <row r="128" spans="1:16" x14ac:dyDescent="0.3">
      <c r="A128">
        <v>737</v>
      </c>
      <c r="B128" s="1">
        <v>40577</v>
      </c>
      <c r="C128">
        <v>1</v>
      </c>
      <c r="D128">
        <v>0</v>
      </c>
      <c r="E128">
        <v>2</v>
      </c>
      <c r="F128">
        <v>1</v>
      </c>
      <c r="G128" t="b">
        <v>0</v>
      </c>
      <c r="H128">
        <v>4</v>
      </c>
      <c r="I128">
        <v>1</v>
      </c>
      <c r="J128">
        <v>0.2</v>
      </c>
      <c r="K128">
        <v>0.1515</v>
      </c>
      <c r="L128">
        <v>0.44</v>
      </c>
      <c r="M128">
        <v>0.52239999999999998</v>
      </c>
      <c r="N128">
        <v>0</v>
      </c>
      <c r="O128">
        <v>5</v>
      </c>
      <c r="P128">
        <v>5</v>
      </c>
    </row>
    <row r="129" spans="1:16" x14ac:dyDescent="0.3">
      <c r="A129">
        <v>738</v>
      </c>
      <c r="B129" s="1">
        <v>40577</v>
      </c>
      <c r="C129">
        <v>1</v>
      </c>
      <c r="D129">
        <v>0</v>
      </c>
      <c r="E129">
        <v>2</v>
      </c>
      <c r="F129">
        <v>2</v>
      </c>
      <c r="G129" t="b">
        <v>0</v>
      </c>
      <c r="H129">
        <v>4</v>
      </c>
      <c r="I129">
        <v>1</v>
      </c>
      <c r="J129">
        <v>0.18</v>
      </c>
      <c r="K129">
        <v>0.16669999999999999</v>
      </c>
      <c r="L129">
        <v>0.43</v>
      </c>
      <c r="M129">
        <v>0.25369999999999998</v>
      </c>
      <c r="N129">
        <v>0</v>
      </c>
      <c r="O129">
        <v>2</v>
      </c>
      <c r="P129">
        <v>2</v>
      </c>
    </row>
    <row r="130" spans="1:16" x14ac:dyDescent="0.3">
      <c r="A130">
        <v>739</v>
      </c>
      <c r="B130" s="1">
        <v>40577</v>
      </c>
      <c r="C130">
        <v>1</v>
      </c>
      <c r="D130">
        <v>0</v>
      </c>
      <c r="E130">
        <v>2</v>
      </c>
      <c r="F130">
        <v>3</v>
      </c>
      <c r="G130" t="b">
        <v>0</v>
      </c>
      <c r="H130">
        <v>4</v>
      </c>
      <c r="I130">
        <v>1</v>
      </c>
      <c r="J130">
        <v>0.18</v>
      </c>
      <c r="K130">
        <v>0.16669999999999999</v>
      </c>
      <c r="L130">
        <v>0.43</v>
      </c>
      <c r="M130">
        <v>0.25369999999999998</v>
      </c>
      <c r="N130">
        <v>0</v>
      </c>
      <c r="O130">
        <v>1</v>
      </c>
      <c r="P130">
        <v>1</v>
      </c>
    </row>
    <row r="131" spans="1:16" x14ac:dyDescent="0.3">
      <c r="A131">
        <v>740</v>
      </c>
      <c r="B131" s="1">
        <v>40577</v>
      </c>
      <c r="C131">
        <v>1</v>
      </c>
      <c r="D131">
        <v>0</v>
      </c>
      <c r="E131">
        <v>2</v>
      </c>
      <c r="F131">
        <v>5</v>
      </c>
      <c r="G131" t="b">
        <v>0</v>
      </c>
      <c r="H131">
        <v>4</v>
      </c>
      <c r="I131">
        <v>1</v>
      </c>
      <c r="J131">
        <v>0.16</v>
      </c>
      <c r="K131">
        <v>0.13639999999999999</v>
      </c>
      <c r="L131">
        <v>0.5</v>
      </c>
      <c r="M131">
        <v>0.29849999999999999</v>
      </c>
      <c r="N131">
        <v>0</v>
      </c>
      <c r="O131">
        <v>2</v>
      </c>
      <c r="P131">
        <v>2</v>
      </c>
    </row>
    <row r="132" spans="1:16" x14ac:dyDescent="0.3">
      <c r="A132">
        <v>741</v>
      </c>
      <c r="B132" s="1">
        <v>40577</v>
      </c>
      <c r="C132">
        <v>1</v>
      </c>
      <c r="D132">
        <v>0</v>
      </c>
      <c r="E132">
        <v>2</v>
      </c>
      <c r="F132">
        <v>6</v>
      </c>
      <c r="G132" t="b">
        <v>0</v>
      </c>
      <c r="H132">
        <v>4</v>
      </c>
      <c r="I132">
        <v>1</v>
      </c>
      <c r="J132">
        <v>0.16</v>
      </c>
      <c r="K132">
        <v>0.13639999999999999</v>
      </c>
      <c r="L132">
        <v>0.43</v>
      </c>
      <c r="M132">
        <v>0.35820000000000002</v>
      </c>
      <c r="N132">
        <v>0</v>
      </c>
      <c r="O132">
        <v>39</v>
      </c>
      <c r="P132">
        <v>39</v>
      </c>
    </row>
    <row r="133" spans="1:16" x14ac:dyDescent="0.3">
      <c r="A133">
        <v>742</v>
      </c>
      <c r="B133" s="1">
        <v>40577</v>
      </c>
      <c r="C133">
        <v>1</v>
      </c>
      <c r="D133">
        <v>0</v>
      </c>
      <c r="E133">
        <v>2</v>
      </c>
      <c r="F133">
        <v>7</v>
      </c>
      <c r="G133" t="b">
        <v>0</v>
      </c>
      <c r="H133">
        <v>4</v>
      </c>
      <c r="I133">
        <v>1</v>
      </c>
      <c r="J133">
        <v>0.14000000000000001</v>
      </c>
      <c r="K133">
        <v>0.1212</v>
      </c>
      <c r="L133">
        <v>0.5</v>
      </c>
      <c r="M133">
        <v>0.32840000000000003</v>
      </c>
      <c r="N133">
        <v>1</v>
      </c>
      <c r="O133">
        <v>86</v>
      </c>
      <c r="P133">
        <v>87</v>
      </c>
    </row>
    <row r="134" spans="1:16" x14ac:dyDescent="0.3">
      <c r="A134">
        <v>743</v>
      </c>
      <c r="B134" s="1">
        <v>40577</v>
      </c>
      <c r="C134">
        <v>1</v>
      </c>
      <c r="D134">
        <v>0</v>
      </c>
      <c r="E134">
        <v>2</v>
      </c>
      <c r="F134">
        <v>8</v>
      </c>
      <c r="G134" t="b">
        <v>0</v>
      </c>
      <c r="H134">
        <v>4</v>
      </c>
      <c r="I134">
        <v>1</v>
      </c>
      <c r="J134">
        <v>0.14000000000000001</v>
      </c>
      <c r="K134">
        <v>0.1212</v>
      </c>
      <c r="L134">
        <v>0.5</v>
      </c>
      <c r="M134">
        <v>0.35820000000000002</v>
      </c>
      <c r="N134">
        <v>4</v>
      </c>
      <c r="O134">
        <v>184</v>
      </c>
      <c r="P134">
        <v>188</v>
      </c>
    </row>
    <row r="135" spans="1:16" x14ac:dyDescent="0.3">
      <c r="A135">
        <v>744</v>
      </c>
      <c r="B135" s="1">
        <v>40577</v>
      </c>
      <c r="C135">
        <v>1</v>
      </c>
      <c r="D135">
        <v>0</v>
      </c>
      <c r="E135">
        <v>2</v>
      </c>
      <c r="F135">
        <v>9</v>
      </c>
      <c r="G135" t="b">
        <v>0</v>
      </c>
      <c r="H135">
        <v>4</v>
      </c>
      <c r="I135">
        <v>1</v>
      </c>
      <c r="J135">
        <v>0.16</v>
      </c>
      <c r="K135">
        <v>0.13639999999999999</v>
      </c>
      <c r="L135">
        <v>0.47</v>
      </c>
      <c r="M135">
        <v>0.29849999999999999</v>
      </c>
      <c r="N135">
        <v>6</v>
      </c>
      <c r="O135">
        <v>127</v>
      </c>
      <c r="P135">
        <v>133</v>
      </c>
    </row>
    <row r="136" spans="1:16" x14ac:dyDescent="0.3">
      <c r="A136">
        <v>745</v>
      </c>
      <c r="B136" s="1">
        <v>40577</v>
      </c>
      <c r="C136">
        <v>1</v>
      </c>
      <c r="D136">
        <v>0</v>
      </c>
      <c r="E136">
        <v>2</v>
      </c>
      <c r="F136">
        <v>10</v>
      </c>
      <c r="G136" t="b">
        <v>0</v>
      </c>
      <c r="H136">
        <v>4</v>
      </c>
      <c r="I136">
        <v>1</v>
      </c>
      <c r="J136">
        <v>0.18</v>
      </c>
      <c r="K136">
        <v>0.1515</v>
      </c>
      <c r="L136">
        <v>0.43</v>
      </c>
      <c r="M136">
        <v>0.32840000000000003</v>
      </c>
      <c r="N136">
        <v>2</v>
      </c>
      <c r="O136">
        <v>50</v>
      </c>
      <c r="P136">
        <v>52</v>
      </c>
    </row>
    <row r="137" spans="1:16" x14ac:dyDescent="0.3">
      <c r="A137">
        <v>746</v>
      </c>
      <c r="B137" s="1">
        <v>40577</v>
      </c>
      <c r="C137">
        <v>1</v>
      </c>
      <c r="D137">
        <v>0</v>
      </c>
      <c r="E137">
        <v>2</v>
      </c>
      <c r="F137">
        <v>11</v>
      </c>
      <c r="G137" t="b">
        <v>0</v>
      </c>
      <c r="H137">
        <v>4</v>
      </c>
      <c r="I137">
        <v>1</v>
      </c>
      <c r="J137">
        <v>0.18</v>
      </c>
      <c r="K137">
        <v>0.13639999999999999</v>
      </c>
      <c r="L137">
        <v>0.43</v>
      </c>
      <c r="M137">
        <v>0.44779999999999998</v>
      </c>
      <c r="N137">
        <v>9</v>
      </c>
      <c r="O137">
        <v>55</v>
      </c>
      <c r="P137">
        <v>64</v>
      </c>
    </row>
    <row r="138" spans="1:16" x14ac:dyDescent="0.3">
      <c r="A138">
        <v>747</v>
      </c>
      <c r="B138" s="1">
        <v>40577</v>
      </c>
      <c r="C138">
        <v>1</v>
      </c>
      <c r="D138">
        <v>0</v>
      </c>
      <c r="E138">
        <v>2</v>
      </c>
      <c r="F138">
        <v>12</v>
      </c>
      <c r="G138" t="b">
        <v>0</v>
      </c>
      <c r="H138">
        <v>4</v>
      </c>
      <c r="I138">
        <v>1</v>
      </c>
      <c r="J138">
        <v>0.2</v>
      </c>
      <c r="K138">
        <v>0.18179999999999999</v>
      </c>
      <c r="L138">
        <v>0.4</v>
      </c>
      <c r="M138">
        <v>0.35820000000000002</v>
      </c>
      <c r="N138">
        <v>2</v>
      </c>
      <c r="O138">
        <v>67</v>
      </c>
      <c r="P138">
        <v>69</v>
      </c>
    </row>
    <row r="139" spans="1:16" x14ac:dyDescent="0.3">
      <c r="A139">
        <v>748</v>
      </c>
      <c r="B139" s="1">
        <v>40577</v>
      </c>
      <c r="C139">
        <v>1</v>
      </c>
      <c r="D139">
        <v>0</v>
      </c>
      <c r="E139">
        <v>2</v>
      </c>
      <c r="F139">
        <v>13</v>
      </c>
      <c r="G139" t="b">
        <v>0</v>
      </c>
      <c r="H139">
        <v>4</v>
      </c>
      <c r="I139">
        <v>1</v>
      </c>
      <c r="J139">
        <v>0.2</v>
      </c>
      <c r="K139">
        <v>0.16669999999999999</v>
      </c>
      <c r="L139">
        <v>0.4</v>
      </c>
      <c r="M139">
        <v>0.41789999999999999</v>
      </c>
      <c r="N139">
        <v>4</v>
      </c>
      <c r="O139">
        <v>47</v>
      </c>
      <c r="P139">
        <v>51</v>
      </c>
    </row>
    <row r="140" spans="1:16" x14ac:dyDescent="0.3">
      <c r="A140">
        <v>749</v>
      </c>
      <c r="B140" s="1">
        <v>40577</v>
      </c>
      <c r="C140">
        <v>1</v>
      </c>
      <c r="D140">
        <v>0</v>
      </c>
      <c r="E140">
        <v>2</v>
      </c>
      <c r="F140">
        <v>14</v>
      </c>
      <c r="G140" t="b">
        <v>0</v>
      </c>
      <c r="H140">
        <v>4</v>
      </c>
      <c r="I140">
        <v>1</v>
      </c>
      <c r="J140">
        <v>0.22</v>
      </c>
      <c r="K140">
        <v>0.19700000000000001</v>
      </c>
      <c r="L140">
        <v>0.37</v>
      </c>
      <c r="M140">
        <v>0.3881</v>
      </c>
      <c r="N140">
        <v>4</v>
      </c>
      <c r="O140">
        <v>43</v>
      </c>
      <c r="P140">
        <v>47</v>
      </c>
    </row>
    <row r="141" spans="1:16" x14ac:dyDescent="0.3">
      <c r="A141">
        <v>750</v>
      </c>
      <c r="B141" s="1">
        <v>40577</v>
      </c>
      <c r="C141">
        <v>1</v>
      </c>
      <c r="D141">
        <v>0</v>
      </c>
      <c r="E141">
        <v>2</v>
      </c>
      <c r="F141">
        <v>15</v>
      </c>
      <c r="G141" t="b">
        <v>0</v>
      </c>
      <c r="H141">
        <v>4</v>
      </c>
      <c r="I141">
        <v>1</v>
      </c>
      <c r="J141">
        <v>0.22</v>
      </c>
      <c r="K141">
        <v>0.19700000000000001</v>
      </c>
      <c r="L141">
        <v>0.37</v>
      </c>
      <c r="M141">
        <v>0.32840000000000003</v>
      </c>
      <c r="N141">
        <v>4</v>
      </c>
      <c r="O141">
        <v>56</v>
      </c>
      <c r="P141">
        <v>60</v>
      </c>
    </row>
    <row r="142" spans="1:16" x14ac:dyDescent="0.3">
      <c r="A142">
        <v>751</v>
      </c>
      <c r="B142" s="1">
        <v>40577</v>
      </c>
      <c r="C142">
        <v>1</v>
      </c>
      <c r="D142">
        <v>0</v>
      </c>
      <c r="E142">
        <v>2</v>
      </c>
      <c r="F142">
        <v>16</v>
      </c>
      <c r="G142" t="b">
        <v>0</v>
      </c>
      <c r="H142">
        <v>4</v>
      </c>
      <c r="I142">
        <v>1</v>
      </c>
      <c r="J142">
        <v>0.22</v>
      </c>
      <c r="K142">
        <v>0.21210000000000001</v>
      </c>
      <c r="L142">
        <v>0.37</v>
      </c>
      <c r="M142">
        <v>0.25369999999999998</v>
      </c>
      <c r="N142">
        <v>5</v>
      </c>
      <c r="O142">
        <v>73</v>
      </c>
      <c r="P142">
        <v>78</v>
      </c>
    </row>
    <row r="143" spans="1:16" x14ac:dyDescent="0.3">
      <c r="A143">
        <v>752</v>
      </c>
      <c r="B143" s="1">
        <v>40577</v>
      </c>
      <c r="C143">
        <v>1</v>
      </c>
      <c r="D143">
        <v>0</v>
      </c>
      <c r="E143">
        <v>2</v>
      </c>
      <c r="F143">
        <v>17</v>
      </c>
      <c r="G143" t="b">
        <v>0</v>
      </c>
      <c r="H143">
        <v>4</v>
      </c>
      <c r="I143">
        <v>1</v>
      </c>
      <c r="J143">
        <v>0.2</v>
      </c>
      <c r="K143">
        <v>0.19700000000000001</v>
      </c>
      <c r="L143">
        <v>0.4</v>
      </c>
      <c r="M143">
        <v>0.19400000000000001</v>
      </c>
      <c r="N143">
        <v>5</v>
      </c>
      <c r="O143">
        <v>170</v>
      </c>
      <c r="P143">
        <v>175</v>
      </c>
    </row>
    <row r="144" spans="1:16" x14ac:dyDescent="0.3">
      <c r="A144">
        <v>753</v>
      </c>
      <c r="B144" s="1">
        <v>40577</v>
      </c>
      <c r="C144">
        <v>1</v>
      </c>
      <c r="D144">
        <v>0</v>
      </c>
      <c r="E144">
        <v>2</v>
      </c>
      <c r="F144">
        <v>18</v>
      </c>
      <c r="G144" t="b">
        <v>0</v>
      </c>
      <c r="H144">
        <v>4</v>
      </c>
      <c r="I144">
        <v>1</v>
      </c>
      <c r="J144">
        <v>0.2</v>
      </c>
      <c r="K144">
        <v>0.21210000000000001</v>
      </c>
      <c r="L144">
        <v>0.4</v>
      </c>
      <c r="M144">
        <v>0.16420000000000001</v>
      </c>
      <c r="N144">
        <v>2</v>
      </c>
      <c r="O144">
        <v>145</v>
      </c>
      <c r="P144">
        <v>147</v>
      </c>
    </row>
    <row r="145" spans="1:16" x14ac:dyDescent="0.3">
      <c r="A145">
        <v>754</v>
      </c>
      <c r="B145" s="1">
        <v>40577</v>
      </c>
      <c r="C145">
        <v>1</v>
      </c>
      <c r="D145">
        <v>0</v>
      </c>
      <c r="E145">
        <v>2</v>
      </c>
      <c r="F145">
        <v>19</v>
      </c>
      <c r="G145" t="b">
        <v>0</v>
      </c>
      <c r="H145">
        <v>4</v>
      </c>
      <c r="I145">
        <v>1</v>
      </c>
      <c r="J145">
        <v>0.2</v>
      </c>
      <c r="K145">
        <v>0.2576</v>
      </c>
      <c r="L145">
        <v>0.4</v>
      </c>
      <c r="M145">
        <v>0</v>
      </c>
      <c r="N145">
        <v>4</v>
      </c>
      <c r="O145">
        <v>92</v>
      </c>
      <c r="P145">
        <v>96</v>
      </c>
    </row>
    <row r="146" spans="1:16" x14ac:dyDescent="0.3">
      <c r="A146">
        <v>755</v>
      </c>
      <c r="B146" s="1">
        <v>40577</v>
      </c>
      <c r="C146">
        <v>1</v>
      </c>
      <c r="D146">
        <v>0</v>
      </c>
      <c r="E146">
        <v>2</v>
      </c>
      <c r="F146">
        <v>20</v>
      </c>
      <c r="G146" t="b">
        <v>0</v>
      </c>
      <c r="H146">
        <v>4</v>
      </c>
      <c r="I146">
        <v>1</v>
      </c>
      <c r="J146">
        <v>0.2</v>
      </c>
      <c r="K146">
        <v>0.2273</v>
      </c>
      <c r="L146">
        <v>0.47</v>
      </c>
      <c r="M146">
        <v>8.9599999999999999E-2</v>
      </c>
      <c r="N146">
        <v>1</v>
      </c>
      <c r="O146">
        <v>108</v>
      </c>
      <c r="P146">
        <v>109</v>
      </c>
    </row>
    <row r="147" spans="1:16" x14ac:dyDescent="0.3">
      <c r="A147">
        <v>756</v>
      </c>
      <c r="B147" s="1">
        <v>40577</v>
      </c>
      <c r="C147">
        <v>1</v>
      </c>
      <c r="D147">
        <v>0</v>
      </c>
      <c r="E147">
        <v>2</v>
      </c>
      <c r="F147">
        <v>21</v>
      </c>
      <c r="G147" t="b">
        <v>0</v>
      </c>
      <c r="H147">
        <v>4</v>
      </c>
      <c r="I147">
        <v>1</v>
      </c>
      <c r="J147">
        <v>0.18</v>
      </c>
      <c r="K147">
        <v>0.21210000000000001</v>
      </c>
      <c r="L147">
        <v>0.55000000000000004</v>
      </c>
      <c r="M147">
        <v>0.1045</v>
      </c>
      <c r="N147">
        <v>1</v>
      </c>
      <c r="O147">
        <v>53</v>
      </c>
      <c r="P147">
        <v>54</v>
      </c>
    </row>
    <row r="148" spans="1:16" x14ac:dyDescent="0.3">
      <c r="A148">
        <v>757</v>
      </c>
      <c r="B148" s="1">
        <v>40577</v>
      </c>
      <c r="C148">
        <v>1</v>
      </c>
      <c r="D148">
        <v>0</v>
      </c>
      <c r="E148">
        <v>2</v>
      </c>
      <c r="F148">
        <v>22</v>
      </c>
      <c r="G148" t="b">
        <v>0</v>
      </c>
      <c r="H148">
        <v>4</v>
      </c>
      <c r="I148">
        <v>1</v>
      </c>
      <c r="J148">
        <v>0.18</v>
      </c>
      <c r="K148">
        <v>0.21210000000000001</v>
      </c>
      <c r="L148">
        <v>0.51</v>
      </c>
      <c r="M148">
        <v>8.9599999999999999E-2</v>
      </c>
      <c r="N148">
        <v>2</v>
      </c>
      <c r="O148">
        <v>39</v>
      </c>
      <c r="P148">
        <v>41</v>
      </c>
    </row>
    <row r="149" spans="1:16" x14ac:dyDescent="0.3">
      <c r="A149">
        <v>758</v>
      </c>
      <c r="B149" s="1">
        <v>40577</v>
      </c>
      <c r="C149">
        <v>1</v>
      </c>
      <c r="D149">
        <v>0</v>
      </c>
      <c r="E149">
        <v>2</v>
      </c>
      <c r="F149">
        <v>23</v>
      </c>
      <c r="G149" t="b">
        <v>0</v>
      </c>
      <c r="H149">
        <v>4</v>
      </c>
      <c r="I149">
        <v>1</v>
      </c>
      <c r="J149">
        <v>0.2</v>
      </c>
      <c r="K149">
        <v>0.2273</v>
      </c>
      <c r="L149">
        <v>0.47</v>
      </c>
      <c r="M149">
        <v>0.1045</v>
      </c>
      <c r="N149">
        <v>4</v>
      </c>
      <c r="O149">
        <v>34</v>
      </c>
      <c r="P149">
        <v>38</v>
      </c>
    </row>
    <row r="150" spans="1:16" x14ac:dyDescent="0.3">
      <c r="A150">
        <v>759</v>
      </c>
      <c r="B150" s="1">
        <v>40578</v>
      </c>
      <c r="C150">
        <v>1</v>
      </c>
      <c r="D150">
        <v>0</v>
      </c>
      <c r="E150">
        <v>2</v>
      </c>
      <c r="F150">
        <v>0</v>
      </c>
      <c r="G150" t="b">
        <v>0</v>
      </c>
      <c r="H150">
        <v>5</v>
      </c>
      <c r="I150">
        <v>2</v>
      </c>
      <c r="J150">
        <v>0.2</v>
      </c>
      <c r="K150">
        <v>0.2576</v>
      </c>
      <c r="L150">
        <v>0.44</v>
      </c>
      <c r="M150">
        <v>0</v>
      </c>
      <c r="N150">
        <v>3</v>
      </c>
      <c r="O150">
        <v>10</v>
      </c>
      <c r="P150">
        <v>13</v>
      </c>
    </row>
    <row r="151" spans="1:16" x14ac:dyDescent="0.3">
      <c r="A151">
        <v>760</v>
      </c>
      <c r="B151" s="1">
        <v>40578</v>
      </c>
      <c r="C151">
        <v>1</v>
      </c>
      <c r="D151">
        <v>0</v>
      </c>
      <c r="E151">
        <v>2</v>
      </c>
      <c r="F151">
        <v>1</v>
      </c>
      <c r="G151" t="b">
        <v>0</v>
      </c>
      <c r="H151">
        <v>5</v>
      </c>
      <c r="I151">
        <v>2</v>
      </c>
      <c r="J151">
        <v>0.16</v>
      </c>
      <c r="K151">
        <v>0.2273</v>
      </c>
      <c r="L151">
        <v>0.59</v>
      </c>
      <c r="M151">
        <v>0</v>
      </c>
      <c r="N151">
        <v>0</v>
      </c>
      <c r="O151">
        <v>7</v>
      </c>
      <c r="P151">
        <v>7</v>
      </c>
    </row>
    <row r="152" spans="1:16" x14ac:dyDescent="0.3">
      <c r="A152">
        <v>761</v>
      </c>
      <c r="B152" s="1">
        <v>40578</v>
      </c>
      <c r="C152">
        <v>1</v>
      </c>
      <c r="D152">
        <v>0</v>
      </c>
      <c r="E152">
        <v>2</v>
      </c>
      <c r="F152">
        <v>2</v>
      </c>
      <c r="G152" t="b">
        <v>0</v>
      </c>
      <c r="H152">
        <v>5</v>
      </c>
      <c r="I152">
        <v>2</v>
      </c>
      <c r="J152">
        <v>0.14000000000000001</v>
      </c>
      <c r="K152">
        <v>0.16669999999999999</v>
      </c>
      <c r="L152">
        <v>0.63</v>
      </c>
      <c r="M152">
        <v>0.1045</v>
      </c>
      <c r="N152">
        <v>0</v>
      </c>
      <c r="O152">
        <v>1</v>
      </c>
      <c r="P152">
        <v>1</v>
      </c>
    </row>
    <row r="153" spans="1:16" x14ac:dyDescent="0.3">
      <c r="A153">
        <v>762</v>
      </c>
      <c r="B153" s="1">
        <v>40578</v>
      </c>
      <c r="C153">
        <v>1</v>
      </c>
      <c r="D153">
        <v>0</v>
      </c>
      <c r="E153">
        <v>2</v>
      </c>
      <c r="F153">
        <v>3</v>
      </c>
      <c r="G153" t="b">
        <v>0</v>
      </c>
      <c r="H153">
        <v>5</v>
      </c>
      <c r="I153">
        <v>2</v>
      </c>
      <c r="J153">
        <v>0.14000000000000001</v>
      </c>
      <c r="K153">
        <v>0.16669999999999999</v>
      </c>
      <c r="L153">
        <v>0.63</v>
      </c>
      <c r="M153">
        <v>0.1045</v>
      </c>
      <c r="N153">
        <v>0</v>
      </c>
      <c r="O153">
        <v>1</v>
      </c>
      <c r="P153">
        <v>1</v>
      </c>
    </row>
    <row r="154" spans="1:16" x14ac:dyDescent="0.3">
      <c r="A154">
        <v>763</v>
      </c>
      <c r="B154" s="1">
        <v>40578</v>
      </c>
      <c r="C154">
        <v>1</v>
      </c>
      <c r="D154">
        <v>0</v>
      </c>
      <c r="E154">
        <v>2</v>
      </c>
      <c r="F154">
        <v>5</v>
      </c>
      <c r="G154" t="b">
        <v>0</v>
      </c>
      <c r="H154">
        <v>5</v>
      </c>
      <c r="I154">
        <v>2</v>
      </c>
      <c r="J154">
        <v>0.14000000000000001</v>
      </c>
      <c r="K154">
        <v>0.1515</v>
      </c>
      <c r="L154">
        <v>0.63</v>
      </c>
      <c r="M154">
        <v>0.1343</v>
      </c>
      <c r="N154">
        <v>0</v>
      </c>
      <c r="O154">
        <v>7</v>
      </c>
      <c r="P154">
        <v>7</v>
      </c>
    </row>
    <row r="155" spans="1:16" x14ac:dyDescent="0.3">
      <c r="A155">
        <v>764</v>
      </c>
      <c r="B155" s="1">
        <v>40578</v>
      </c>
      <c r="C155">
        <v>1</v>
      </c>
      <c r="D155">
        <v>0</v>
      </c>
      <c r="E155">
        <v>2</v>
      </c>
      <c r="F155">
        <v>6</v>
      </c>
      <c r="G155" t="b">
        <v>0</v>
      </c>
      <c r="H155">
        <v>5</v>
      </c>
      <c r="I155">
        <v>2</v>
      </c>
      <c r="J155">
        <v>0.16</v>
      </c>
      <c r="K155">
        <v>0.2273</v>
      </c>
      <c r="L155">
        <v>0.55000000000000004</v>
      </c>
      <c r="M155">
        <v>0</v>
      </c>
      <c r="N155">
        <v>2</v>
      </c>
      <c r="O155">
        <v>26</v>
      </c>
      <c r="P155">
        <v>28</v>
      </c>
    </row>
    <row r="156" spans="1:16" x14ac:dyDescent="0.3">
      <c r="A156">
        <v>765</v>
      </c>
      <c r="B156" s="1">
        <v>40578</v>
      </c>
      <c r="C156">
        <v>1</v>
      </c>
      <c r="D156">
        <v>0</v>
      </c>
      <c r="E156">
        <v>2</v>
      </c>
      <c r="F156">
        <v>7</v>
      </c>
      <c r="G156" t="b">
        <v>0</v>
      </c>
      <c r="H156">
        <v>5</v>
      </c>
      <c r="I156">
        <v>1</v>
      </c>
      <c r="J156">
        <v>0.14000000000000001</v>
      </c>
      <c r="K156">
        <v>0.21210000000000001</v>
      </c>
      <c r="L156">
        <v>0.59</v>
      </c>
      <c r="M156">
        <v>0</v>
      </c>
      <c r="N156">
        <v>0</v>
      </c>
      <c r="O156">
        <v>87</v>
      </c>
      <c r="P156">
        <v>87</v>
      </c>
    </row>
    <row r="157" spans="1:16" x14ac:dyDescent="0.3">
      <c r="A157">
        <v>766</v>
      </c>
      <c r="B157" s="1">
        <v>40578</v>
      </c>
      <c r="C157">
        <v>1</v>
      </c>
      <c r="D157">
        <v>0</v>
      </c>
      <c r="E157">
        <v>2</v>
      </c>
      <c r="F157">
        <v>8</v>
      </c>
      <c r="G157" t="b">
        <v>0</v>
      </c>
      <c r="H157">
        <v>5</v>
      </c>
      <c r="I157">
        <v>1</v>
      </c>
      <c r="J157">
        <v>0.14000000000000001</v>
      </c>
      <c r="K157">
        <v>0.1515</v>
      </c>
      <c r="L157">
        <v>0.74</v>
      </c>
      <c r="M157">
        <v>0.1343</v>
      </c>
      <c r="N157">
        <v>3</v>
      </c>
      <c r="O157">
        <v>217</v>
      </c>
      <c r="P157">
        <v>220</v>
      </c>
    </row>
    <row r="158" spans="1:16" x14ac:dyDescent="0.3">
      <c r="A158">
        <v>767</v>
      </c>
      <c r="B158" s="1">
        <v>40578</v>
      </c>
      <c r="C158">
        <v>1</v>
      </c>
      <c r="D158">
        <v>0</v>
      </c>
      <c r="E158">
        <v>2</v>
      </c>
      <c r="F158">
        <v>9</v>
      </c>
      <c r="G158" t="b">
        <v>0</v>
      </c>
      <c r="H158">
        <v>5</v>
      </c>
      <c r="I158">
        <v>2</v>
      </c>
      <c r="J158">
        <v>0.16</v>
      </c>
      <c r="K158">
        <v>0.18179999999999999</v>
      </c>
      <c r="L158">
        <v>0.8</v>
      </c>
      <c r="M158">
        <v>0.1343</v>
      </c>
      <c r="N158">
        <v>3</v>
      </c>
      <c r="O158">
        <v>124</v>
      </c>
      <c r="P158">
        <v>127</v>
      </c>
    </row>
    <row r="159" spans="1:16" x14ac:dyDescent="0.3">
      <c r="A159">
        <v>768</v>
      </c>
      <c r="B159" s="1">
        <v>40578</v>
      </c>
      <c r="C159">
        <v>1</v>
      </c>
      <c r="D159">
        <v>0</v>
      </c>
      <c r="E159">
        <v>2</v>
      </c>
      <c r="F159">
        <v>10</v>
      </c>
      <c r="G159" t="b">
        <v>0</v>
      </c>
      <c r="H159">
        <v>5</v>
      </c>
      <c r="I159">
        <v>2</v>
      </c>
      <c r="J159">
        <v>0.2</v>
      </c>
      <c r="K159">
        <v>0.21210000000000001</v>
      </c>
      <c r="L159">
        <v>0.51</v>
      </c>
      <c r="M159">
        <v>0.1343</v>
      </c>
      <c r="N159">
        <v>5</v>
      </c>
      <c r="O159">
        <v>46</v>
      </c>
      <c r="P159">
        <v>51</v>
      </c>
    </row>
    <row r="160" spans="1:16" x14ac:dyDescent="0.3">
      <c r="A160">
        <v>769</v>
      </c>
      <c r="B160" s="1">
        <v>40578</v>
      </c>
      <c r="C160">
        <v>1</v>
      </c>
      <c r="D160">
        <v>0</v>
      </c>
      <c r="E160">
        <v>2</v>
      </c>
      <c r="F160">
        <v>11</v>
      </c>
      <c r="G160" t="b">
        <v>0</v>
      </c>
      <c r="H160">
        <v>5</v>
      </c>
      <c r="I160">
        <v>1</v>
      </c>
      <c r="J160">
        <v>0.22</v>
      </c>
      <c r="K160">
        <v>0.2273</v>
      </c>
      <c r="L160">
        <v>0.51</v>
      </c>
      <c r="M160">
        <v>0.16420000000000001</v>
      </c>
      <c r="N160">
        <v>3</v>
      </c>
      <c r="O160">
        <v>61</v>
      </c>
      <c r="P160">
        <v>64</v>
      </c>
    </row>
    <row r="161" spans="1:16" x14ac:dyDescent="0.3">
      <c r="A161">
        <v>770</v>
      </c>
      <c r="B161" s="1">
        <v>40578</v>
      </c>
      <c r="C161">
        <v>1</v>
      </c>
      <c r="D161">
        <v>0</v>
      </c>
      <c r="E161">
        <v>2</v>
      </c>
      <c r="F161">
        <v>12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0.48</v>
      </c>
      <c r="M161">
        <v>0.16420000000000001</v>
      </c>
      <c r="N161">
        <v>8</v>
      </c>
      <c r="O161">
        <v>78</v>
      </c>
      <c r="P161">
        <v>86</v>
      </c>
    </row>
    <row r="162" spans="1:16" x14ac:dyDescent="0.3">
      <c r="A162">
        <v>771</v>
      </c>
      <c r="B162" s="1">
        <v>40578</v>
      </c>
      <c r="C162">
        <v>1</v>
      </c>
      <c r="D162">
        <v>0</v>
      </c>
      <c r="E162">
        <v>2</v>
      </c>
      <c r="F162">
        <v>13</v>
      </c>
      <c r="G162" t="b">
        <v>0</v>
      </c>
      <c r="H162">
        <v>5</v>
      </c>
      <c r="I162">
        <v>2</v>
      </c>
      <c r="J162">
        <v>0.26</v>
      </c>
      <c r="K162">
        <v>0.2576</v>
      </c>
      <c r="L162">
        <v>0.5</v>
      </c>
      <c r="M162">
        <v>0.22389999999999999</v>
      </c>
      <c r="N162">
        <v>9</v>
      </c>
      <c r="O162">
        <v>73</v>
      </c>
      <c r="P162">
        <v>82</v>
      </c>
    </row>
    <row r="163" spans="1:16" x14ac:dyDescent="0.3">
      <c r="A163">
        <v>772</v>
      </c>
      <c r="B163" s="1">
        <v>40578</v>
      </c>
      <c r="C163">
        <v>1</v>
      </c>
      <c r="D163">
        <v>0</v>
      </c>
      <c r="E163">
        <v>2</v>
      </c>
      <c r="F163">
        <v>14</v>
      </c>
      <c r="G163" t="b">
        <v>0</v>
      </c>
      <c r="H163">
        <v>5</v>
      </c>
      <c r="I163">
        <v>2</v>
      </c>
      <c r="J163">
        <v>0.28000000000000003</v>
      </c>
      <c r="K163">
        <v>0.2727</v>
      </c>
      <c r="L163">
        <v>0.45</v>
      </c>
      <c r="M163">
        <v>0.16420000000000001</v>
      </c>
      <c r="N163">
        <v>15</v>
      </c>
      <c r="O163">
        <v>76</v>
      </c>
      <c r="P163">
        <v>91</v>
      </c>
    </row>
    <row r="164" spans="1:16" x14ac:dyDescent="0.3">
      <c r="A164">
        <v>773</v>
      </c>
      <c r="B164" s="1">
        <v>40578</v>
      </c>
      <c r="C164">
        <v>1</v>
      </c>
      <c r="D164">
        <v>0</v>
      </c>
      <c r="E164">
        <v>2</v>
      </c>
      <c r="F164">
        <v>15</v>
      </c>
      <c r="G164" t="b">
        <v>0</v>
      </c>
      <c r="H164">
        <v>5</v>
      </c>
      <c r="I164">
        <v>2</v>
      </c>
      <c r="J164">
        <v>0.28000000000000003</v>
      </c>
      <c r="K164">
        <v>0.2727</v>
      </c>
      <c r="L164">
        <v>0.48</v>
      </c>
      <c r="M164">
        <v>0.25369999999999998</v>
      </c>
      <c r="N164">
        <v>9</v>
      </c>
      <c r="O164">
        <v>81</v>
      </c>
      <c r="P164">
        <v>90</v>
      </c>
    </row>
    <row r="165" spans="1:16" x14ac:dyDescent="0.3">
      <c r="A165">
        <v>774</v>
      </c>
      <c r="B165" s="1">
        <v>40578</v>
      </c>
      <c r="C165">
        <v>1</v>
      </c>
      <c r="D165">
        <v>0</v>
      </c>
      <c r="E165">
        <v>2</v>
      </c>
      <c r="F165">
        <v>16</v>
      </c>
      <c r="G165" t="b">
        <v>0</v>
      </c>
      <c r="H165">
        <v>5</v>
      </c>
      <c r="I165">
        <v>2</v>
      </c>
      <c r="J165">
        <v>0.3</v>
      </c>
      <c r="K165">
        <v>0.28789999999999999</v>
      </c>
      <c r="L165">
        <v>0.42</v>
      </c>
      <c r="M165">
        <v>0.22389999999999999</v>
      </c>
      <c r="N165">
        <v>8</v>
      </c>
      <c r="O165">
        <v>91</v>
      </c>
      <c r="P165">
        <v>99</v>
      </c>
    </row>
    <row r="166" spans="1:16" x14ac:dyDescent="0.3">
      <c r="A166">
        <v>775</v>
      </c>
      <c r="B166" s="1">
        <v>40578</v>
      </c>
      <c r="C166">
        <v>1</v>
      </c>
      <c r="D166">
        <v>0</v>
      </c>
      <c r="E166">
        <v>2</v>
      </c>
      <c r="F166">
        <v>17</v>
      </c>
      <c r="G166" t="b">
        <v>0</v>
      </c>
      <c r="H166">
        <v>5</v>
      </c>
      <c r="I166">
        <v>2</v>
      </c>
      <c r="J166">
        <v>0.26</v>
      </c>
      <c r="K166">
        <v>0.2727</v>
      </c>
      <c r="L166">
        <v>0.56000000000000005</v>
      </c>
      <c r="M166">
        <v>0.1343</v>
      </c>
      <c r="N166">
        <v>10</v>
      </c>
      <c r="O166">
        <v>195</v>
      </c>
      <c r="P166">
        <v>205</v>
      </c>
    </row>
    <row r="167" spans="1:16" x14ac:dyDescent="0.3">
      <c r="A167">
        <v>776</v>
      </c>
      <c r="B167" s="1">
        <v>40578</v>
      </c>
      <c r="C167">
        <v>1</v>
      </c>
      <c r="D167">
        <v>0</v>
      </c>
      <c r="E167">
        <v>2</v>
      </c>
      <c r="F167">
        <v>18</v>
      </c>
      <c r="G167" t="b">
        <v>0</v>
      </c>
      <c r="H167">
        <v>5</v>
      </c>
      <c r="I167">
        <v>2</v>
      </c>
      <c r="J167">
        <v>0.24</v>
      </c>
      <c r="K167">
        <v>0.2576</v>
      </c>
      <c r="L167">
        <v>0.6</v>
      </c>
      <c r="M167">
        <v>0.1045</v>
      </c>
      <c r="N167">
        <v>3</v>
      </c>
      <c r="O167">
        <v>152</v>
      </c>
      <c r="P167">
        <v>155</v>
      </c>
    </row>
    <row r="168" spans="1:16" x14ac:dyDescent="0.3">
      <c r="A168">
        <v>777</v>
      </c>
      <c r="B168" s="1">
        <v>40578</v>
      </c>
      <c r="C168">
        <v>1</v>
      </c>
      <c r="D168">
        <v>0</v>
      </c>
      <c r="E168">
        <v>2</v>
      </c>
      <c r="F168">
        <v>19</v>
      </c>
      <c r="G168" t="b">
        <v>0</v>
      </c>
      <c r="H168">
        <v>5</v>
      </c>
      <c r="I168">
        <v>2</v>
      </c>
      <c r="J168">
        <v>0.24</v>
      </c>
      <c r="K168">
        <v>0.2424</v>
      </c>
      <c r="L168">
        <v>0.65</v>
      </c>
      <c r="M168">
        <v>0.1343</v>
      </c>
      <c r="N168">
        <v>1</v>
      </c>
      <c r="O168">
        <v>102</v>
      </c>
      <c r="P168">
        <v>103</v>
      </c>
    </row>
    <row r="169" spans="1:16" x14ac:dyDescent="0.3">
      <c r="A169">
        <v>778</v>
      </c>
      <c r="B169" s="1">
        <v>40578</v>
      </c>
      <c r="C169">
        <v>1</v>
      </c>
      <c r="D169">
        <v>0</v>
      </c>
      <c r="E169">
        <v>2</v>
      </c>
      <c r="F169">
        <v>20</v>
      </c>
      <c r="G169" t="b">
        <v>0</v>
      </c>
      <c r="H169">
        <v>5</v>
      </c>
      <c r="I169">
        <v>2</v>
      </c>
      <c r="J169">
        <v>0.24</v>
      </c>
      <c r="K169">
        <v>0.2424</v>
      </c>
      <c r="L169">
        <v>0.65</v>
      </c>
      <c r="M169">
        <v>0.16420000000000001</v>
      </c>
      <c r="N169">
        <v>2</v>
      </c>
      <c r="O169">
        <v>69</v>
      </c>
      <c r="P169">
        <v>71</v>
      </c>
    </row>
    <row r="170" spans="1:16" x14ac:dyDescent="0.3">
      <c r="A170">
        <v>779</v>
      </c>
      <c r="B170" s="1">
        <v>40578</v>
      </c>
      <c r="C170">
        <v>1</v>
      </c>
      <c r="D170">
        <v>0</v>
      </c>
      <c r="E170">
        <v>2</v>
      </c>
      <c r="F170">
        <v>21</v>
      </c>
      <c r="G170" t="b">
        <v>0</v>
      </c>
      <c r="H170">
        <v>5</v>
      </c>
      <c r="I170">
        <v>2</v>
      </c>
      <c r="J170">
        <v>0.24</v>
      </c>
      <c r="K170">
        <v>0.2424</v>
      </c>
      <c r="L170">
        <v>0.7</v>
      </c>
      <c r="M170">
        <v>0.16420000000000001</v>
      </c>
      <c r="N170">
        <v>2</v>
      </c>
      <c r="O170">
        <v>41</v>
      </c>
      <c r="P170">
        <v>43</v>
      </c>
    </row>
    <row r="171" spans="1:16" x14ac:dyDescent="0.3">
      <c r="A171">
        <v>780</v>
      </c>
      <c r="B171" s="1">
        <v>40578</v>
      </c>
      <c r="C171">
        <v>1</v>
      </c>
      <c r="D171">
        <v>0</v>
      </c>
      <c r="E171">
        <v>2</v>
      </c>
      <c r="F171">
        <v>22</v>
      </c>
      <c r="G171" t="b">
        <v>0</v>
      </c>
      <c r="H171">
        <v>5</v>
      </c>
      <c r="I171">
        <v>2</v>
      </c>
      <c r="J171">
        <v>0.24</v>
      </c>
      <c r="K171">
        <v>0.2424</v>
      </c>
      <c r="L171">
        <v>0.65</v>
      </c>
      <c r="M171">
        <v>0.16420000000000001</v>
      </c>
      <c r="N171">
        <v>1</v>
      </c>
      <c r="O171">
        <v>45</v>
      </c>
      <c r="P171">
        <v>46</v>
      </c>
    </row>
    <row r="172" spans="1:16" x14ac:dyDescent="0.3">
      <c r="A172">
        <v>781</v>
      </c>
      <c r="B172" s="1">
        <v>40578</v>
      </c>
      <c r="C172">
        <v>1</v>
      </c>
      <c r="D172">
        <v>0</v>
      </c>
      <c r="E172">
        <v>2</v>
      </c>
      <c r="F172">
        <v>23</v>
      </c>
      <c r="G172" t="b">
        <v>0</v>
      </c>
      <c r="H172">
        <v>5</v>
      </c>
      <c r="I172">
        <v>2</v>
      </c>
      <c r="J172">
        <v>0.24</v>
      </c>
      <c r="K172">
        <v>0.2424</v>
      </c>
      <c r="L172">
        <v>0.7</v>
      </c>
      <c r="M172">
        <v>0.1343</v>
      </c>
      <c r="N172">
        <v>1</v>
      </c>
      <c r="O172">
        <v>30</v>
      </c>
      <c r="P172">
        <v>31</v>
      </c>
    </row>
    <row r="173" spans="1:16" x14ac:dyDescent="0.3">
      <c r="A173">
        <v>782</v>
      </c>
      <c r="B173" s="1">
        <v>40579</v>
      </c>
      <c r="C173">
        <v>1</v>
      </c>
      <c r="D173">
        <v>0</v>
      </c>
      <c r="E173">
        <v>2</v>
      </c>
      <c r="F173">
        <v>0</v>
      </c>
      <c r="G173" t="b">
        <v>0</v>
      </c>
      <c r="H173">
        <v>6</v>
      </c>
      <c r="I173">
        <v>2</v>
      </c>
      <c r="J173">
        <v>0.24</v>
      </c>
      <c r="K173">
        <v>0.2424</v>
      </c>
      <c r="L173">
        <v>0.7</v>
      </c>
      <c r="M173">
        <v>0.16420000000000001</v>
      </c>
      <c r="N173">
        <v>3</v>
      </c>
      <c r="O173">
        <v>36</v>
      </c>
      <c r="P173">
        <v>39</v>
      </c>
    </row>
    <row r="174" spans="1:16" x14ac:dyDescent="0.3">
      <c r="A174">
        <v>783</v>
      </c>
      <c r="B174" s="1">
        <v>40579</v>
      </c>
      <c r="C174">
        <v>1</v>
      </c>
      <c r="D174">
        <v>0</v>
      </c>
      <c r="E174">
        <v>2</v>
      </c>
      <c r="F174">
        <v>1</v>
      </c>
      <c r="G174" t="b">
        <v>0</v>
      </c>
      <c r="H174">
        <v>6</v>
      </c>
      <c r="I174">
        <v>2</v>
      </c>
      <c r="J174">
        <v>0.24</v>
      </c>
      <c r="K174">
        <v>0.2424</v>
      </c>
      <c r="L174">
        <v>0.65</v>
      </c>
      <c r="M174">
        <v>0.16420000000000001</v>
      </c>
      <c r="N174">
        <v>1</v>
      </c>
      <c r="O174">
        <v>17</v>
      </c>
      <c r="P174">
        <v>18</v>
      </c>
    </row>
    <row r="175" spans="1:16" x14ac:dyDescent="0.3">
      <c r="A175">
        <v>784</v>
      </c>
      <c r="B175" s="1">
        <v>40579</v>
      </c>
      <c r="C175">
        <v>1</v>
      </c>
      <c r="D175">
        <v>0</v>
      </c>
      <c r="E175">
        <v>2</v>
      </c>
      <c r="F175">
        <v>2</v>
      </c>
      <c r="G175" t="b">
        <v>0</v>
      </c>
      <c r="H175">
        <v>6</v>
      </c>
      <c r="I175">
        <v>2</v>
      </c>
      <c r="J175">
        <v>0.24</v>
      </c>
      <c r="K175">
        <v>0.2424</v>
      </c>
      <c r="L175">
        <v>0.75</v>
      </c>
      <c r="M175">
        <v>0.16420000000000001</v>
      </c>
      <c r="N175">
        <v>5</v>
      </c>
      <c r="O175">
        <v>12</v>
      </c>
      <c r="P175">
        <v>17</v>
      </c>
    </row>
    <row r="176" spans="1:16" x14ac:dyDescent="0.3">
      <c r="A176">
        <v>785</v>
      </c>
      <c r="B176" s="1">
        <v>40579</v>
      </c>
      <c r="C176">
        <v>1</v>
      </c>
      <c r="D176">
        <v>0</v>
      </c>
      <c r="E176">
        <v>2</v>
      </c>
      <c r="F176">
        <v>3</v>
      </c>
      <c r="G176" t="b">
        <v>0</v>
      </c>
      <c r="H176">
        <v>6</v>
      </c>
      <c r="I176">
        <v>2</v>
      </c>
      <c r="J176">
        <v>0.24</v>
      </c>
      <c r="K176">
        <v>0.2424</v>
      </c>
      <c r="L176">
        <v>0.75</v>
      </c>
      <c r="M176">
        <v>0.16420000000000001</v>
      </c>
      <c r="N176">
        <v>1</v>
      </c>
      <c r="O176">
        <v>10</v>
      </c>
      <c r="P176">
        <v>11</v>
      </c>
    </row>
    <row r="177" spans="1:16" x14ac:dyDescent="0.3">
      <c r="A177">
        <v>786</v>
      </c>
      <c r="B177" s="1">
        <v>40579</v>
      </c>
      <c r="C177">
        <v>1</v>
      </c>
      <c r="D177">
        <v>0</v>
      </c>
      <c r="E177">
        <v>2</v>
      </c>
      <c r="F177">
        <v>4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0.93</v>
      </c>
      <c r="M177">
        <v>0.1343</v>
      </c>
      <c r="N177">
        <v>0</v>
      </c>
      <c r="O177">
        <v>8</v>
      </c>
      <c r="P177">
        <v>8</v>
      </c>
    </row>
    <row r="178" spans="1:16" x14ac:dyDescent="0.3">
      <c r="A178">
        <v>787</v>
      </c>
      <c r="B178" s="1">
        <v>40579</v>
      </c>
      <c r="C178">
        <v>1</v>
      </c>
      <c r="D178">
        <v>0</v>
      </c>
      <c r="E178">
        <v>2</v>
      </c>
      <c r="F178">
        <v>5</v>
      </c>
      <c r="G178" t="b">
        <v>0</v>
      </c>
      <c r="H178">
        <v>6</v>
      </c>
      <c r="I178">
        <v>3</v>
      </c>
      <c r="J178">
        <v>0.2</v>
      </c>
      <c r="K178">
        <v>0.2273</v>
      </c>
      <c r="L178">
        <v>1</v>
      </c>
      <c r="M178">
        <v>8.9599999999999999E-2</v>
      </c>
      <c r="N178">
        <v>0</v>
      </c>
      <c r="O178">
        <v>9</v>
      </c>
      <c r="P178">
        <v>9</v>
      </c>
    </row>
    <row r="179" spans="1:16" x14ac:dyDescent="0.3">
      <c r="A179">
        <v>788</v>
      </c>
      <c r="B179" s="1">
        <v>40579</v>
      </c>
      <c r="C179">
        <v>1</v>
      </c>
      <c r="D179">
        <v>0</v>
      </c>
      <c r="E179">
        <v>2</v>
      </c>
      <c r="F179">
        <v>6</v>
      </c>
      <c r="G179" t="b">
        <v>0</v>
      </c>
      <c r="H179">
        <v>6</v>
      </c>
      <c r="I179">
        <v>3</v>
      </c>
      <c r="J179">
        <v>0.2</v>
      </c>
      <c r="K179">
        <v>0.2576</v>
      </c>
      <c r="L179">
        <v>1</v>
      </c>
      <c r="M179">
        <v>0</v>
      </c>
      <c r="N179">
        <v>0</v>
      </c>
      <c r="O179">
        <v>4</v>
      </c>
      <c r="P179">
        <v>4</v>
      </c>
    </row>
    <row r="180" spans="1:16" x14ac:dyDescent="0.3">
      <c r="A180">
        <v>789</v>
      </c>
      <c r="B180" s="1">
        <v>40579</v>
      </c>
      <c r="C180">
        <v>1</v>
      </c>
      <c r="D180">
        <v>0</v>
      </c>
      <c r="E180">
        <v>2</v>
      </c>
      <c r="F180">
        <v>7</v>
      </c>
      <c r="G180" t="b">
        <v>0</v>
      </c>
      <c r="H180">
        <v>6</v>
      </c>
      <c r="I180">
        <v>3</v>
      </c>
      <c r="J180">
        <v>0.22</v>
      </c>
      <c r="K180">
        <v>0.2576</v>
      </c>
      <c r="L180">
        <v>0.93</v>
      </c>
      <c r="M180">
        <v>8.9599999999999999E-2</v>
      </c>
      <c r="N180">
        <v>0</v>
      </c>
      <c r="O180">
        <v>4</v>
      </c>
      <c r="P180">
        <v>4</v>
      </c>
    </row>
    <row r="181" spans="1:16" x14ac:dyDescent="0.3">
      <c r="A181">
        <v>790</v>
      </c>
      <c r="B181" s="1">
        <v>40579</v>
      </c>
      <c r="C181">
        <v>1</v>
      </c>
      <c r="D181">
        <v>0</v>
      </c>
      <c r="E181">
        <v>2</v>
      </c>
      <c r="F181">
        <v>8</v>
      </c>
      <c r="G181" t="b">
        <v>0</v>
      </c>
      <c r="H181">
        <v>6</v>
      </c>
      <c r="I181">
        <v>3</v>
      </c>
      <c r="J181">
        <v>0.2</v>
      </c>
      <c r="K181">
        <v>0.2273</v>
      </c>
      <c r="L181">
        <v>1</v>
      </c>
      <c r="M181">
        <v>8.9599999999999999E-2</v>
      </c>
      <c r="N181">
        <v>0</v>
      </c>
      <c r="O181">
        <v>10</v>
      </c>
      <c r="P181">
        <v>10</v>
      </c>
    </row>
    <row r="182" spans="1:16" x14ac:dyDescent="0.3">
      <c r="A182">
        <v>791</v>
      </c>
      <c r="B182" s="1">
        <v>40579</v>
      </c>
      <c r="C182">
        <v>1</v>
      </c>
      <c r="D182">
        <v>0</v>
      </c>
      <c r="E182">
        <v>2</v>
      </c>
      <c r="F182">
        <v>9</v>
      </c>
      <c r="G182" t="b">
        <v>0</v>
      </c>
      <c r="H182">
        <v>6</v>
      </c>
      <c r="I182">
        <v>3</v>
      </c>
      <c r="J182">
        <v>0.2</v>
      </c>
      <c r="K182">
        <v>0.2273</v>
      </c>
      <c r="L182">
        <v>1</v>
      </c>
      <c r="M182">
        <v>8.9599999999999999E-2</v>
      </c>
      <c r="N182">
        <v>3</v>
      </c>
      <c r="O182">
        <v>17</v>
      </c>
      <c r="P182">
        <v>20</v>
      </c>
    </row>
    <row r="183" spans="1:16" x14ac:dyDescent="0.3">
      <c r="A183">
        <v>792</v>
      </c>
      <c r="B183" s="1">
        <v>40579</v>
      </c>
      <c r="C183">
        <v>1</v>
      </c>
      <c r="D183">
        <v>0</v>
      </c>
      <c r="E183">
        <v>2</v>
      </c>
      <c r="F183">
        <v>10</v>
      </c>
      <c r="G183" t="b">
        <v>0</v>
      </c>
      <c r="H183">
        <v>6</v>
      </c>
      <c r="I183">
        <v>3</v>
      </c>
      <c r="J183">
        <v>0.2</v>
      </c>
      <c r="K183">
        <v>0.21210000000000001</v>
      </c>
      <c r="L183">
        <v>1</v>
      </c>
      <c r="M183">
        <v>0.1343</v>
      </c>
      <c r="N183">
        <v>3</v>
      </c>
      <c r="O183">
        <v>31</v>
      </c>
      <c r="P183">
        <v>34</v>
      </c>
    </row>
    <row r="184" spans="1:16" x14ac:dyDescent="0.3">
      <c r="A184">
        <v>793</v>
      </c>
      <c r="B184" s="1">
        <v>40579</v>
      </c>
      <c r="C184">
        <v>1</v>
      </c>
      <c r="D184">
        <v>0</v>
      </c>
      <c r="E184">
        <v>2</v>
      </c>
      <c r="F184">
        <v>11</v>
      </c>
      <c r="G184" t="b">
        <v>0</v>
      </c>
      <c r="H184">
        <v>6</v>
      </c>
      <c r="I184">
        <v>3</v>
      </c>
      <c r="J184">
        <v>0.22</v>
      </c>
      <c r="K184">
        <v>0.2273</v>
      </c>
      <c r="L184">
        <v>1</v>
      </c>
      <c r="M184">
        <v>0.1343</v>
      </c>
      <c r="N184">
        <v>1</v>
      </c>
      <c r="O184">
        <v>46</v>
      </c>
      <c r="P184">
        <v>47</v>
      </c>
    </row>
    <row r="185" spans="1:16" x14ac:dyDescent="0.3">
      <c r="A185">
        <v>794</v>
      </c>
      <c r="B185" s="1">
        <v>40579</v>
      </c>
      <c r="C185">
        <v>1</v>
      </c>
      <c r="D185">
        <v>0</v>
      </c>
      <c r="E185">
        <v>2</v>
      </c>
      <c r="F185">
        <v>12</v>
      </c>
      <c r="G185" t="b">
        <v>0</v>
      </c>
      <c r="H185">
        <v>6</v>
      </c>
      <c r="I185">
        <v>3</v>
      </c>
      <c r="J185">
        <v>0.22</v>
      </c>
      <c r="K185">
        <v>0.2273</v>
      </c>
      <c r="L185">
        <v>1</v>
      </c>
      <c r="M185">
        <v>0.16420000000000001</v>
      </c>
      <c r="N185">
        <v>10</v>
      </c>
      <c r="O185">
        <v>42</v>
      </c>
      <c r="P185">
        <v>52</v>
      </c>
    </row>
    <row r="186" spans="1:16" x14ac:dyDescent="0.3">
      <c r="A186">
        <v>795</v>
      </c>
      <c r="B186" s="1">
        <v>40579</v>
      </c>
      <c r="C186">
        <v>1</v>
      </c>
      <c r="D186">
        <v>0</v>
      </c>
      <c r="E186">
        <v>2</v>
      </c>
      <c r="F186">
        <v>13</v>
      </c>
      <c r="G186" t="b">
        <v>0</v>
      </c>
      <c r="H186">
        <v>6</v>
      </c>
      <c r="I186">
        <v>3</v>
      </c>
      <c r="J186">
        <v>0.22</v>
      </c>
      <c r="K186">
        <v>0.2273</v>
      </c>
      <c r="L186">
        <v>1</v>
      </c>
      <c r="M186">
        <v>0.16420000000000001</v>
      </c>
      <c r="N186">
        <v>10</v>
      </c>
      <c r="O186">
        <v>62</v>
      </c>
      <c r="P186">
        <v>72</v>
      </c>
    </row>
    <row r="187" spans="1:16" x14ac:dyDescent="0.3">
      <c r="A187">
        <v>796</v>
      </c>
      <c r="B187" s="1">
        <v>40579</v>
      </c>
      <c r="C187">
        <v>1</v>
      </c>
      <c r="D187">
        <v>0</v>
      </c>
      <c r="E187">
        <v>2</v>
      </c>
      <c r="F187">
        <v>14</v>
      </c>
      <c r="G187" t="b">
        <v>0</v>
      </c>
      <c r="H187">
        <v>6</v>
      </c>
      <c r="I187">
        <v>3</v>
      </c>
      <c r="J187">
        <v>0.22</v>
      </c>
      <c r="K187">
        <v>0.2727</v>
      </c>
      <c r="L187">
        <v>1</v>
      </c>
      <c r="M187">
        <v>0</v>
      </c>
      <c r="N187">
        <v>5</v>
      </c>
      <c r="O187">
        <v>50</v>
      </c>
      <c r="P187">
        <v>55</v>
      </c>
    </row>
    <row r="188" spans="1:16" x14ac:dyDescent="0.3">
      <c r="A188">
        <v>797</v>
      </c>
      <c r="B188" s="1">
        <v>40579</v>
      </c>
      <c r="C188">
        <v>1</v>
      </c>
      <c r="D188">
        <v>0</v>
      </c>
      <c r="E188">
        <v>2</v>
      </c>
      <c r="F188">
        <v>15</v>
      </c>
      <c r="G188" t="b">
        <v>0</v>
      </c>
      <c r="H188">
        <v>6</v>
      </c>
      <c r="I188">
        <v>3</v>
      </c>
      <c r="J188">
        <v>0.22</v>
      </c>
      <c r="K188">
        <v>0.2727</v>
      </c>
      <c r="L188">
        <v>1</v>
      </c>
      <c r="M188">
        <v>0</v>
      </c>
      <c r="N188">
        <v>11</v>
      </c>
      <c r="O188">
        <v>49</v>
      </c>
      <c r="P188">
        <v>60</v>
      </c>
    </row>
    <row r="189" spans="1:16" x14ac:dyDescent="0.3">
      <c r="A189">
        <v>798</v>
      </c>
      <c r="B189" s="1">
        <v>40579</v>
      </c>
      <c r="C189">
        <v>1</v>
      </c>
      <c r="D189">
        <v>0</v>
      </c>
      <c r="E189">
        <v>2</v>
      </c>
      <c r="F189">
        <v>16</v>
      </c>
      <c r="G189" t="b">
        <v>0</v>
      </c>
      <c r="H189">
        <v>6</v>
      </c>
      <c r="I189">
        <v>3</v>
      </c>
      <c r="J189">
        <v>0.22</v>
      </c>
      <c r="K189">
        <v>0.2273</v>
      </c>
      <c r="L189">
        <v>1</v>
      </c>
      <c r="M189">
        <v>0.1343</v>
      </c>
      <c r="N189">
        <v>8</v>
      </c>
      <c r="O189">
        <v>63</v>
      </c>
      <c r="P189">
        <v>71</v>
      </c>
    </row>
    <row r="190" spans="1:16" x14ac:dyDescent="0.3">
      <c r="A190">
        <v>799</v>
      </c>
      <c r="B190" s="1">
        <v>40579</v>
      </c>
      <c r="C190">
        <v>1</v>
      </c>
      <c r="D190">
        <v>0</v>
      </c>
      <c r="E190">
        <v>2</v>
      </c>
      <c r="F190">
        <v>17</v>
      </c>
      <c r="G190" t="b">
        <v>0</v>
      </c>
      <c r="H190">
        <v>6</v>
      </c>
      <c r="I190">
        <v>2</v>
      </c>
      <c r="J190">
        <v>0.24</v>
      </c>
      <c r="K190">
        <v>0.21210000000000001</v>
      </c>
      <c r="L190">
        <v>1</v>
      </c>
      <c r="M190">
        <v>0.28360000000000002</v>
      </c>
      <c r="N190">
        <v>14</v>
      </c>
      <c r="O190">
        <v>64</v>
      </c>
      <c r="P190">
        <v>78</v>
      </c>
    </row>
    <row r="191" spans="1:16" x14ac:dyDescent="0.3">
      <c r="A191">
        <v>800</v>
      </c>
      <c r="B191" s="1">
        <v>40579</v>
      </c>
      <c r="C191">
        <v>1</v>
      </c>
      <c r="D191">
        <v>0</v>
      </c>
      <c r="E191">
        <v>2</v>
      </c>
      <c r="F191">
        <v>18</v>
      </c>
      <c r="G191" t="b">
        <v>0</v>
      </c>
      <c r="H191">
        <v>6</v>
      </c>
      <c r="I191">
        <v>2</v>
      </c>
      <c r="J191">
        <v>0.28000000000000003</v>
      </c>
      <c r="K191">
        <v>0.2424</v>
      </c>
      <c r="L191">
        <v>0.93</v>
      </c>
      <c r="M191">
        <v>0.44779999999999998</v>
      </c>
      <c r="N191">
        <v>2</v>
      </c>
      <c r="O191">
        <v>81</v>
      </c>
      <c r="P191">
        <v>83</v>
      </c>
    </row>
    <row r="192" spans="1:16" x14ac:dyDescent="0.3">
      <c r="A192">
        <v>801</v>
      </c>
      <c r="B192" s="1">
        <v>40579</v>
      </c>
      <c r="C192">
        <v>1</v>
      </c>
      <c r="D192">
        <v>0</v>
      </c>
      <c r="E192">
        <v>2</v>
      </c>
      <c r="F192">
        <v>19</v>
      </c>
      <c r="G192" t="b">
        <v>0</v>
      </c>
      <c r="H192">
        <v>6</v>
      </c>
      <c r="I192">
        <v>2</v>
      </c>
      <c r="J192">
        <v>0.28000000000000003</v>
      </c>
      <c r="K192">
        <v>0.2424</v>
      </c>
      <c r="L192">
        <v>0.93</v>
      </c>
      <c r="M192">
        <v>0.44779999999999998</v>
      </c>
      <c r="N192">
        <v>6</v>
      </c>
      <c r="O192">
        <v>78</v>
      </c>
      <c r="P192">
        <v>84</v>
      </c>
    </row>
    <row r="193" spans="1:16" x14ac:dyDescent="0.3">
      <c r="A193">
        <v>802</v>
      </c>
      <c r="B193" s="1">
        <v>40579</v>
      </c>
      <c r="C193">
        <v>1</v>
      </c>
      <c r="D193">
        <v>0</v>
      </c>
      <c r="E193">
        <v>2</v>
      </c>
      <c r="F193">
        <v>20</v>
      </c>
      <c r="G193" t="b">
        <v>0</v>
      </c>
      <c r="H193">
        <v>6</v>
      </c>
      <c r="I193">
        <v>1</v>
      </c>
      <c r="J193">
        <v>0.3</v>
      </c>
      <c r="K193">
        <v>0.28789999999999999</v>
      </c>
      <c r="L193">
        <v>0.87</v>
      </c>
      <c r="M193">
        <v>0.25369999999999998</v>
      </c>
      <c r="N193">
        <v>5</v>
      </c>
      <c r="O193">
        <v>64</v>
      </c>
      <c r="P193">
        <v>69</v>
      </c>
    </row>
    <row r="194" spans="1:16" x14ac:dyDescent="0.3">
      <c r="A194">
        <v>803</v>
      </c>
      <c r="B194" s="1">
        <v>40579</v>
      </c>
      <c r="C194">
        <v>1</v>
      </c>
      <c r="D194">
        <v>0</v>
      </c>
      <c r="E194">
        <v>2</v>
      </c>
      <c r="F194">
        <v>21</v>
      </c>
      <c r="G194" t="b">
        <v>0</v>
      </c>
      <c r="H194">
        <v>6</v>
      </c>
      <c r="I194">
        <v>1</v>
      </c>
      <c r="J194">
        <v>0.26</v>
      </c>
      <c r="K194">
        <v>0.2576</v>
      </c>
      <c r="L194">
        <v>1</v>
      </c>
      <c r="M194">
        <v>0.19400000000000001</v>
      </c>
      <c r="N194">
        <v>3</v>
      </c>
      <c r="O194">
        <v>53</v>
      </c>
      <c r="P194">
        <v>56</v>
      </c>
    </row>
    <row r="195" spans="1:16" x14ac:dyDescent="0.3">
      <c r="A195">
        <v>804</v>
      </c>
      <c r="B195" s="1">
        <v>40579</v>
      </c>
      <c r="C195">
        <v>1</v>
      </c>
      <c r="D195">
        <v>0</v>
      </c>
      <c r="E195">
        <v>2</v>
      </c>
      <c r="F195">
        <v>22</v>
      </c>
      <c r="G195" t="b">
        <v>0</v>
      </c>
      <c r="H195">
        <v>6</v>
      </c>
      <c r="I195">
        <v>1</v>
      </c>
      <c r="J195">
        <v>0.26</v>
      </c>
      <c r="K195">
        <v>0.2727</v>
      </c>
      <c r="L195">
        <v>0.93</v>
      </c>
      <c r="M195">
        <v>0.1343</v>
      </c>
      <c r="N195">
        <v>2</v>
      </c>
      <c r="O195">
        <v>43</v>
      </c>
      <c r="P195">
        <v>45</v>
      </c>
    </row>
    <row r="196" spans="1:16" x14ac:dyDescent="0.3">
      <c r="A196">
        <v>805</v>
      </c>
      <c r="B196" s="1">
        <v>40579</v>
      </c>
      <c r="C196">
        <v>1</v>
      </c>
      <c r="D196">
        <v>0</v>
      </c>
      <c r="E196">
        <v>2</v>
      </c>
      <c r="F196">
        <v>23</v>
      </c>
      <c r="G196" t="b">
        <v>0</v>
      </c>
      <c r="H196">
        <v>6</v>
      </c>
      <c r="I196">
        <v>1</v>
      </c>
      <c r="J196">
        <v>0.26</v>
      </c>
      <c r="K196">
        <v>0.2576</v>
      </c>
      <c r="L196">
        <v>0.93</v>
      </c>
      <c r="M196">
        <v>0.22389999999999999</v>
      </c>
      <c r="N196">
        <v>7</v>
      </c>
      <c r="O196">
        <v>52</v>
      </c>
      <c r="P196">
        <v>59</v>
      </c>
    </row>
    <row r="197" spans="1:16" x14ac:dyDescent="0.3">
      <c r="A197">
        <v>806</v>
      </c>
      <c r="B197" s="1">
        <v>40580</v>
      </c>
      <c r="C197">
        <v>1</v>
      </c>
      <c r="D197">
        <v>0</v>
      </c>
      <c r="E197">
        <v>2</v>
      </c>
      <c r="F197">
        <v>0</v>
      </c>
      <c r="G197" t="b">
        <v>0</v>
      </c>
      <c r="H197">
        <v>0</v>
      </c>
      <c r="I197">
        <v>1</v>
      </c>
      <c r="J197">
        <v>0.26</v>
      </c>
      <c r="K197">
        <v>0.2576</v>
      </c>
      <c r="L197">
        <v>0.7</v>
      </c>
      <c r="M197">
        <v>0.19400000000000001</v>
      </c>
      <c r="N197">
        <v>2</v>
      </c>
      <c r="O197">
        <v>37</v>
      </c>
      <c r="P197">
        <v>39</v>
      </c>
    </row>
    <row r="198" spans="1:16" x14ac:dyDescent="0.3">
      <c r="A198">
        <v>807</v>
      </c>
      <c r="B198" s="1">
        <v>40580</v>
      </c>
      <c r="C198">
        <v>1</v>
      </c>
      <c r="D198">
        <v>0</v>
      </c>
      <c r="E198">
        <v>2</v>
      </c>
      <c r="F198">
        <v>1</v>
      </c>
      <c r="G198" t="b">
        <v>0</v>
      </c>
      <c r="H198">
        <v>0</v>
      </c>
      <c r="I198">
        <v>1</v>
      </c>
      <c r="J198">
        <v>0.26</v>
      </c>
      <c r="K198">
        <v>0.2273</v>
      </c>
      <c r="L198">
        <v>0.65</v>
      </c>
      <c r="M198">
        <v>0.41789999999999999</v>
      </c>
      <c r="N198">
        <v>4</v>
      </c>
      <c r="O198">
        <v>40</v>
      </c>
      <c r="P198">
        <v>44</v>
      </c>
    </row>
    <row r="199" spans="1:16" x14ac:dyDescent="0.3">
      <c r="A199">
        <v>808</v>
      </c>
      <c r="B199" s="1">
        <v>40580</v>
      </c>
      <c r="C199">
        <v>1</v>
      </c>
      <c r="D199">
        <v>0</v>
      </c>
      <c r="E199">
        <v>2</v>
      </c>
      <c r="F199">
        <v>2</v>
      </c>
      <c r="G199" t="b">
        <v>0</v>
      </c>
      <c r="H199">
        <v>0</v>
      </c>
      <c r="I199">
        <v>1</v>
      </c>
      <c r="J199">
        <v>0.26</v>
      </c>
      <c r="K199">
        <v>0.2273</v>
      </c>
      <c r="L199">
        <v>0.6</v>
      </c>
      <c r="M199">
        <v>0.32840000000000003</v>
      </c>
      <c r="N199">
        <v>0</v>
      </c>
      <c r="O199">
        <v>20</v>
      </c>
      <c r="P199">
        <v>20</v>
      </c>
    </row>
    <row r="200" spans="1:16" x14ac:dyDescent="0.3">
      <c r="A200">
        <v>809</v>
      </c>
      <c r="B200" s="1">
        <v>40580</v>
      </c>
      <c r="C200">
        <v>1</v>
      </c>
      <c r="D200">
        <v>0</v>
      </c>
      <c r="E200">
        <v>2</v>
      </c>
      <c r="F200">
        <v>3</v>
      </c>
      <c r="G200" t="b">
        <v>0</v>
      </c>
      <c r="H200">
        <v>0</v>
      </c>
      <c r="I200">
        <v>1</v>
      </c>
      <c r="J200">
        <v>0.26</v>
      </c>
      <c r="K200">
        <v>0.28789999999999999</v>
      </c>
      <c r="L200">
        <v>0.6</v>
      </c>
      <c r="M200">
        <v>8.9599999999999999E-2</v>
      </c>
      <c r="N200">
        <v>3</v>
      </c>
      <c r="O200">
        <v>10</v>
      </c>
      <c r="P200">
        <v>13</v>
      </c>
    </row>
    <row r="201" spans="1:16" x14ac:dyDescent="0.3">
      <c r="A201">
        <v>810</v>
      </c>
      <c r="B201" s="1">
        <v>40580</v>
      </c>
      <c r="C201">
        <v>1</v>
      </c>
      <c r="D201">
        <v>0</v>
      </c>
      <c r="E201">
        <v>2</v>
      </c>
      <c r="F201">
        <v>4</v>
      </c>
      <c r="G201" t="b">
        <v>0</v>
      </c>
      <c r="H201">
        <v>0</v>
      </c>
      <c r="I201">
        <v>1</v>
      </c>
      <c r="J201">
        <v>0.26</v>
      </c>
      <c r="K201">
        <v>0.2273</v>
      </c>
      <c r="L201">
        <v>0.6</v>
      </c>
      <c r="M201">
        <v>0.35820000000000002</v>
      </c>
      <c r="N201">
        <v>0</v>
      </c>
      <c r="O201">
        <v>2</v>
      </c>
      <c r="P201">
        <v>2</v>
      </c>
    </row>
    <row r="202" spans="1:16" x14ac:dyDescent="0.3">
      <c r="A202">
        <v>811</v>
      </c>
      <c r="B202" s="1">
        <v>40580</v>
      </c>
      <c r="C202">
        <v>1</v>
      </c>
      <c r="D202">
        <v>0</v>
      </c>
      <c r="E202">
        <v>2</v>
      </c>
      <c r="F202">
        <v>5</v>
      </c>
      <c r="G202" t="b">
        <v>0</v>
      </c>
      <c r="H202">
        <v>0</v>
      </c>
      <c r="I202">
        <v>1</v>
      </c>
      <c r="J202">
        <v>0.26</v>
      </c>
      <c r="K202">
        <v>0.2576</v>
      </c>
      <c r="L202">
        <v>0.6</v>
      </c>
      <c r="M202">
        <v>0.22389999999999999</v>
      </c>
      <c r="N202">
        <v>0</v>
      </c>
      <c r="O202">
        <v>1</v>
      </c>
      <c r="P202">
        <v>1</v>
      </c>
    </row>
    <row r="203" spans="1:16" x14ac:dyDescent="0.3">
      <c r="A203">
        <v>812</v>
      </c>
      <c r="B203" s="1">
        <v>40580</v>
      </c>
      <c r="C203">
        <v>1</v>
      </c>
      <c r="D203">
        <v>0</v>
      </c>
      <c r="E203">
        <v>2</v>
      </c>
      <c r="F203">
        <v>6</v>
      </c>
      <c r="G203" t="b">
        <v>0</v>
      </c>
      <c r="H203">
        <v>0</v>
      </c>
      <c r="I203">
        <v>1</v>
      </c>
      <c r="J203">
        <v>0.26</v>
      </c>
      <c r="K203">
        <v>0.2576</v>
      </c>
      <c r="L203">
        <v>0.6</v>
      </c>
      <c r="M203">
        <v>0.22389999999999999</v>
      </c>
      <c r="N203">
        <v>0</v>
      </c>
      <c r="O203">
        <v>1</v>
      </c>
      <c r="P203">
        <v>1</v>
      </c>
    </row>
    <row r="204" spans="1:16" x14ac:dyDescent="0.3">
      <c r="A204">
        <v>813</v>
      </c>
      <c r="B204" s="1">
        <v>40580</v>
      </c>
      <c r="C204">
        <v>1</v>
      </c>
      <c r="D204">
        <v>0</v>
      </c>
      <c r="E204">
        <v>2</v>
      </c>
      <c r="F204">
        <v>7</v>
      </c>
      <c r="G204" t="b">
        <v>0</v>
      </c>
      <c r="H204">
        <v>0</v>
      </c>
      <c r="I204">
        <v>1</v>
      </c>
      <c r="J204">
        <v>0.24</v>
      </c>
      <c r="K204">
        <v>0.2424</v>
      </c>
      <c r="L204">
        <v>0.65</v>
      </c>
      <c r="M204">
        <v>0.16420000000000001</v>
      </c>
      <c r="N204">
        <v>0</v>
      </c>
      <c r="O204">
        <v>8</v>
      </c>
      <c r="P204">
        <v>8</v>
      </c>
    </row>
    <row r="205" spans="1:16" x14ac:dyDescent="0.3">
      <c r="A205">
        <v>814</v>
      </c>
      <c r="B205" s="1">
        <v>40580</v>
      </c>
      <c r="C205">
        <v>1</v>
      </c>
      <c r="D205">
        <v>0</v>
      </c>
      <c r="E205">
        <v>2</v>
      </c>
      <c r="F205">
        <v>8</v>
      </c>
      <c r="G205" t="b">
        <v>0</v>
      </c>
      <c r="H205">
        <v>0</v>
      </c>
      <c r="I205">
        <v>1</v>
      </c>
      <c r="J205">
        <v>0.24</v>
      </c>
      <c r="K205">
        <v>0.2576</v>
      </c>
      <c r="L205">
        <v>0.65</v>
      </c>
      <c r="M205">
        <v>0.1045</v>
      </c>
      <c r="N205">
        <v>2</v>
      </c>
      <c r="O205">
        <v>21</v>
      </c>
      <c r="P205">
        <v>23</v>
      </c>
    </row>
    <row r="206" spans="1:16" x14ac:dyDescent="0.3">
      <c r="A206">
        <v>815</v>
      </c>
      <c r="B206" s="1">
        <v>40580</v>
      </c>
      <c r="C206">
        <v>1</v>
      </c>
      <c r="D206">
        <v>0</v>
      </c>
      <c r="E206">
        <v>2</v>
      </c>
      <c r="F206">
        <v>9</v>
      </c>
      <c r="G206" t="b">
        <v>0</v>
      </c>
      <c r="H206">
        <v>0</v>
      </c>
      <c r="I206">
        <v>1</v>
      </c>
      <c r="J206">
        <v>0.28000000000000003</v>
      </c>
      <c r="K206">
        <v>0.28789999999999999</v>
      </c>
      <c r="L206">
        <v>0.56000000000000005</v>
      </c>
      <c r="M206">
        <v>0.1045</v>
      </c>
      <c r="N206">
        <v>7</v>
      </c>
      <c r="O206">
        <v>38</v>
      </c>
      <c r="P206">
        <v>45</v>
      </c>
    </row>
    <row r="207" spans="1:16" x14ac:dyDescent="0.3">
      <c r="A207">
        <v>816</v>
      </c>
      <c r="B207" s="1">
        <v>40580</v>
      </c>
      <c r="C207">
        <v>1</v>
      </c>
      <c r="D207">
        <v>0</v>
      </c>
      <c r="E207">
        <v>2</v>
      </c>
      <c r="F207">
        <v>10</v>
      </c>
      <c r="G207" t="b">
        <v>0</v>
      </c>
      <c r="H207">
        <v>0</v>
      </c>
      <c r="I207">
        <v>1</v>
      </c>
      <c r="J207">
        <v>0.3</v>
      </c>
      <c r="K207">
        <v>0.28789999999999999</v>
      </c>
      <c r="L207">
        <v>0.52</v>
      </c>
      <c r="M207">
        <v>0.25369999999999998</v>
      </c>
      <c r="N207">
        <v>15</v>
      </c>
      <c r="O207">
        <v>74</v>
      </c>
      <c r="P207">
        <v>89</v>
      </c>
    </row>
    <row r="208" spans="1:16" x14ac:dyDescent="0.3">
      <c r="A208">
        <v>817</v>
      </c>
      <c r="B208" s="1">
        <v>40580</v>
      </c>
      <c r="C208">
        <v>1</v>
      </c>
      <c r="D208">
        <v>0</v>
      </c>
      <c r="E208">
        <v>2</v>
      </c>
      <c r="F208">
        <v>11</v>
      </c>
      <c r="G208" t="b">
        <v>0</v>
      </c>
      <c r="H208">
        <v>0</v>
      </c>
      <c r="I208">
        <v>1</v>
      </c>
      <c r="J208">
        <v>0.32</v>
      </c>
      <c r="K208">
        <v>0.30299999999999999</v>
      </c>
      <c r="L208">
        <v>0.49</v>
      </c>
      <c r="M208">
        <v>0.25369999999999998</v>
      </c>
      <c r="N208">
        <v>28</v>
      </c>
      <c r="O208">
        <v>89</v>
      </c>
      <c r="P208">
        <v>117</v>
      </c>
    </row>
    <row r="209" spans="1:16" x14ac:dyDescent="0.3">
      <c r="A209">
        <v>818</v>
      </c>
      <c r="B209" s="1">
        <v>40580</v>
      </c>
      <c r="C209">
        <v>1</v>
      </c>
      <c r="D209">
        <v>0</v>
      </c>
      <c r="E209">
        <v>2</v>
      </c>
      <c r="F209">
        <v>12</v>
      </c>
      <c r="G209" t="b">
        <v>0</v>
      </c>
      <c r="H209">
        <v>0</v>
      </c>
      <c r="I209">
        <v>1</v>
      </c>
      <c r="J209">
        <v>0.34</v>
      </c>
      <c r="K209">
        <v>0.33329999999999999</v>
      </c>
      <c r="L209">
        <v>0.46</v>
      </c>
      <c r="M209">
        <v>0</v>
      </c>
      <c r="N209">
        <v>48</v>
      </c>
      <c r="O209">
        <v>126</v>
      </c>
      <c r="P209">
        <v>174</v>
      </c>
    </row>
    <row r="210" spans="1:16" x14ac:dyDescent="0.3">
      <c r="A210">
        <v>819</v>
      </c>
      <c r="B210" s="1">
        <v>40580</v>
      </c>
      <c r="C210">
        <v>1</v>
      </c>
      <c r="D210">
        <v>0</v>
      </c>
      <c r="E210">
        <v>2</v>
      </c>
      <c r="F210">
        <v>13</v>
      </c>
      <c r="G210" t="b">
        <v>0</v>
      </c>
      <c r="H210">
        <v>0</v>
      </c>
      <c r="I210">
        <v>1</v>
      </c>
      <c r="J210">
        <v>0.34</v>
      </c>
      <c r="K210">
        <v>0.36359999999999998</v>
      </c>
      <c r="L210">
        <v>0.46</v>
      </c>
      <c r="M210">
        <v>0</v>
      </c>
      <c r="N210">
        <v>47</v>
      </c>
      <c r="O210">
        <v>135</v>
      </c>
      <c r="P210">
        <v>182</v>
      </c>
    </row>
    <row r="211" spans="1:16" x14ac:dyDescent="0.3">
      <c r="A211">
        <v>820</v>
      </c>
      <c r="B211" s="1">
        <v>40580</v>
      </c>
      <c r="C211">
        <v>1</v>
      </c>
      <c r="D211">
        <v>0</v>
      </c>
      <c r="E211">
        <v>2</v>
      </c>
      <c r="F211">
        <v>14</v>
      </c>
      <c r="G211" t="b">
        <v>0</v>
      </c>
      <c r="H211">
        <v>0</v>
      </c>
      <c r="I211">
        <v>1</v>
      </c>
      <c r="J211">
        <v>0.34</v>
      </c>
      <c r="K211">
        <v>0.34849999999999998</v>
      </c>
      <c r="L211">
        <v>0.46</v>
      </c>
      <c r="M211">
        <v>8.9599999999999999E-2</v>
      </c>
      <c r="N211">
        <v>47</v>
      </c>
      <c r="O211">
        <v>114</v>
      </c>
      <c r="P211">
        <v>161</v>
      </c>
    </row>
    <row r="212" spans="1:16" x14ac:dyDescent="0.3">
      <c r="A212">
        <v>821</v>
      </c>
      <c r="B212" s="1">
        <v>40580</v>
      </c>
      <c r="C212">
        <v>1</v>
      </c>
      <c r="D212">
        <v>0</v>
      </c>
      <c r="E212">
        <v>2</v>
      </c>
      <c r="F212">
        <v>15</v>
      </c>
      <c r="G212" t="b">
        <v>0</v>
      </c>
      <c r="H212">
        <v>0</v>
      </c>
      <c r="I212">
        <v>1</v>
      </c>
      <c r="J212">
        <v>0.34</v>
      </c>
      <c r="K212">
        <v>0.34849999999999998</v>
      </c>
      <c r="L212">
        <v>0.46</v>
      </c>
      <c r="M212">
        <v>8.9599999999999999E-2</v>
      </c>
      <c r="N212">
        <v>52</v>
      </c>
      <c r="O212">
        <v>130</v>
      </c>
      <c r="P212">
        <v>182</v>
      </c>
    </row>
    <row r="213" spans="1:16" x14ac:dyDescent="0.3">
      <c r="A213">
        <v>822</v>
      </c>
      <c r="B213" s="1">
        <v>40580</v>
      </c>
      <c r="C213">
        <v>1</v>
      </c>
      <c r="D213">
        <v>0</v>
      </c>
      <c r="E213">
        <v>2</v>
      </c>
      <c r="F213">
        <v>16</v>
      </c>
      <c r="G213" t="b">
        <v>0</v>
      </c>
      <c r="H213">
        <v>0</v>
      </c>
      <c r="I213">
        <v>1</v>
      </c>
      <c r="J213">
        <v>0.34</v>
      </c>
      <c r="K213">
        <v>0.34849999999999998</v>
      </c>
      <c r="L213">
        <v>0.49</v>
      </c>
      <c r="M213">
        <v>0.1045</v>
      </c>
      <c r="N213">
        <v>42</v>
      </c>
      <c r="O213">
        <v>115</v>
      </c>
      <c r="P213">
        <v>157</v>
      </c>
    </row>
    <row r="214" spans="1:16" x14ac:dyDescent="0.3">
      <c r="A214">
        <v>823</v>
      </c>
      <c r="B214" s="1">
        <v>40580</v>
      </c>
      <c r="C214">
        <v>1</v>
      </c>
      <c r="D214">
        <v>0</v>
      </c>
      <c r="E214">
        <v>2</v>
      </c>
      <c r="F214">
        <v>17</v>
      </c>
      <c r="G214" t="b">
        <v>0</v>
      </c>
      <c r="H214">
        <v>0</v>
      </c>
      <c r="I214">
        <v>1</v>
      </c>
      <c r="J214">
        <v>0.34</v>
      </c>
      <c r="K214">
        <v>0.36359999999999998</v>
      </c>
      <c r="L214">
        <v>0.46</v>
      </c>
      <c r="M214">
        <v>0</v>
      </c>
      <c r="N214">
        <v>24</v>
      </c>
      <c r="O214">
        <v>97</v>
      </c>
      <c r="P214">
        <v>121</v>
      </c>
    </row>
    <row r="215" spans="1:16" x14ac:dyDescent="0.3">
      <c r="A215">
        <v>824</v>
      </c>
      <c r="B215" s="1">
        <v>40580</v>
      </c>
      <c r="C215">
        <v>1</v>
      </c>
      <c r="D215">
        <v>0</v>
      </c>
      <c r="E215">
        <v>2</v>
      </c>
      <c r="F215">
        <v>18</v>
      </c>
      <c r="G215" t="b">
        <v>0</v>
      </c>
      <c r="H215">
        <v>0</v>
      </c>
      <c r="I215">
        <v>1</v>
      </c>
      <c r="J215">
        <v>0.3</v>
      </c>
      <c r="K215">
        <v>0.30299999999999999</v>
      </c>
      <c r="L215">
        <v>0.56000000000000005</v>
      </c>
      <c r="M215">
        <v>0.16420000000000001</v>
      </c>
      <c r="N215">
        <v>13</v>
      </c>
      <c r="O215">
        <v>65</v>
      </c>
      <c r="P215">
        <v>78</v>
      </c>
    </row>
    <row r="216" spans="1:16" x14ac:dyDescent="0.3">
      <c r="A216">
        <v>825</v>
      </c>
      <c r="B216" s="1">
        <v>40580</v>
      </c>
      <c r="C216">
        <v>1</v>
      </c>
      <c r="D216">
        <v>0</v>
      </c>
      <c r="E216">
        <v>2</v>
      </c>
      <c r="F216">
        <v>19</v>
      </c>
      <c r="G216" t="b">
        <v>0</v>
      </c>
      <c r="H216">
        <v>0</v>
      </c>
      <c r="I216">
        <v>1</v>
      </c>
      <c r="J216">
        <v>0.28000000000000003</v>
      </c>
      <c r="K216">
        <v>0.28789999999999999</v>
      </c>
      <c r="L216">
        <v>0.61</v>
      </c>
      <c r="M216">
        <v>0.1343</v>
      </c>
      <c r="N216">
        <v>1</v>
      </c>
      <c r="O216">
        <v>20</v>
      </c>
      <c r="P216">
        <v>21</v>
      </c>
    </row>
    <row r="217" spans="1:16" x14ac:dyDescent="0.3">
      <c r="A217">
        <v>826</v>
      </c>
      <c r="B217" s="1">
        <v>40580</v>
      </c>
      <c r="C217">
        <v>1</v>
      </c>
      <c r="D217">
        <v>0</v>
      </c>
      <c r="E217">
        <v>2</v>
      </c>
      <c r="F217">
        <v>20</v>
      </c>
      <c r="G217" t="b">
        <v>0</v>
      </c>
      <c r="H217">
        <v>0</v>
      </c>
      <c r="I217">
        <v>1</v>
      </c>
      <c r="J217">
        <v>0.28000000000000003</v>
      </c>
      <c r="K217">
        <v>0.28789999999999999</v>
      </c>
      <c r="L217">
        <v>0.61</v>
      </c>
      <c r="M217">
        <v>0.1045</v>
      </c>
      <c r="N217">
        <v>5</v>
      </c>
      <c r="O217">
        <v>21</v>
      </c>
      <c r="P217">
        <v>26</v>
      </c>
    </row>
    <row r="218" spans="1:16" x14ac:dyDescent="0.3">
      <c r="A218">
        <v>827</v>
      </c>
      <c r="B218" s="1">
        <v>40580</v>
      </c>
      <c r="C218">
        <v>1</v>
      </c>
      <c r="D218">
        <v>0</v>
      </c>
      <c r="E218">
        <v>2</v>
      </c>
      <c r="F218">
        <v>21</v>
      </c>
      <c r="G218" t="b">
        <v>0</v>
      </c>
      <c r="H218">
        <v>0</v>
      </c>
      <c r="I218">
        <v>1</v>
      </c>
      <c r="J218">
        <v>0.26</v>
      </c>
      <c r="K218">
        <v>0.30299999999999999</v>
      </c>
      <c r="L218">
        <v>0.6</v>
      </c>
      <c r="M218">
        <v>0</v>
      </c>
      <c r="N218">
        <v>5</v>
      </c>
      <c r="O218">
        <v>22</v>
      </c>
      <c r="P218">
        <v>27</v>
      </c>
    </row>
    <row r="219" spans="1:16" x14ac:dyDescent="0.3">
      <c r="A219">
        <v>828</v>
      </c>
      <c r="B219" s="1">
        <v>40580</v>
      </c>
      <c r="C219">
        <v>1</v>
      </c>
      <c r="D219">
        <v>0</v>
      </c>
      <c r="E219">
        <v>2</v>
      </c>
      <c r="F219">
        <v>22</v>
      </c>
      <c r="G219" t="b">
        <v>0</v>
      </c>
      <c r="H219">
        <v>0</v>
      </c>
      <c r="I219">
        <v>1</v>
      </c>
      <c r="J219">
        <v>0.26</v>
      </c>
      <c r="K219">
        <v>0.30299999999999999</v>
      </c>
      <c r="L219">
        <v>0.6</v>
      </c>
      <c r="M219">
        <v>0</v>
      </c>
      <c r="N219">
        <v>5</v>
      </c>
      <c r="O219">
        <v>57</v>
      </c>
      <c r="P219">
        <v>62</v>
      </c>
    </row>
    <row r="220" spans="1:16" x14ac:dyDescent="0.3">
      <c r="A220">
        <v>829</v>
      </c>
      <c r="B220" s="1">
        <v>40580</v>
      </c>
      <c r="C220">
        <v>1</v>
      </c>
      <c r="D220">
        <v>0</v>
      </c>
      <c r="E220">
        <v>2</v>
      </c>
      <c r="F220">
        <v>23</v>
      </c>
      <c r="G220" t="b">
        <v>0</v>
      </c>
      <c r="H220">
        <v>0</v>
      </c>
      <c r="I220">
        <v>1</v>
      </c>
      <c r="J220">
        <v>0.24</v>
      </c>
      <c r="K220">
        <v>0.28789999999999999</v>
      </c>
      <c r="L220">
        <v>0.65</v>
      </c>
      <c r="M220">
        <v>0</v>
      </c>
      <c r="N220">
        <v>4</v>
      </c>
      <c r="O220">
        <v>26</v>
      </c>
      <c r="P220">
        <v>30</v>
      </c>
    </row>
    <row r="221" spans="1:16" x14ac:dyDescent="0.3">
      <c r="A221">
        <v>830</v>
      </c>
      <c r="B221" s="1">
        <v>40581</v>
      </c>
      <c r="C221">
        <v>1</v>
      </c>
      <c r="D221">
        <v>0</v>
      </c>
      <c r="E221">
        <v>2</v>
      </c>
      <c r="F221">
        <v>0</v>
      </c>
      <c r="G221" t="b">
        <v>0</v>
      </c>
      <c r="H221">
        <v>1</v>
      </c>
      <c r="I221">
        <v>1</v>
      </c>
      <c r="J221">
        <v>0.24</v>
      </c>
      <c r="K221">
        <v>0.28789999999999999</v>
      </c>
      <c r="L221">
        <v>0.65</v>
      </c>
      <c r="M221">
        <v>0</v>
      </c>
      <c r="N221">
        <v>1</v>
      </c>
      <c r="O221">
        <v>14</v>
      </c>
      <c r="P221">
        <v>15</v>
      </c>
    </row>
    <row r="222" spans="1:16" x14ac:dyDescent="0.3">
      <c r="A222">
        <v>831</v>
      </c>
      <c r="B222" s="1">
        <v>40581</v>
      </c>
      <c r="C222">
        <v>1</v>
      </c>
      <c r="D222">
        <v>0</v>
      </c>
      <c r="E222">
        <v>2</v>
      </c>
      <c r="F222">
        <v>1</v>
      </c>
      <c r="G222" t="b">
        <v>0</v>
      </c>
      <c r="H222">
        <v>1</v>
      </c>
      <c r="I222">
        <v>1</v>
      </c>
      <c r="J222">
        <v>0.22</v>
      </c>
      <c r="K222">
        <v>0.2727</v>
      </c>
      <c r="L222">
        <v>0.75</v>
      </c>
      <c r="M222">
        <v>0</v>
      </c>
      <c r="N222">
        <v>1</v>
      </c>
      <c r="O222">
        <v>4</v>
      </c>
      <c r="P222">
        <v>5</v>
      </c>
    </row>
    <row r="223" spans="1:16" x14ac:dyDescent="0.3">
      <c r="A223">
        <v>832</v>
      </c>
      <c r="B223" s="1">
        <v>40581</v>
      </c>
      <c r="C223">
        <v>1</v>
      </c>
      <c r="D223">
        <v>0</v>
      </c>
      <c r="E223">
        <v>2</v>
      </c>
      <c r="F223">
        <v>2</v>
      </c>
      <c r="G223" t="b">
        <v>0</v>
      </c>
      <c r="H223">
        <v>1</v>
      </c>
      <c r="I223">
        <v>1</v>
      </c>
      <c r="J223">
        <v>0.2</v>
      </c>
      <c r="K223">
        <v>0.2576</v>
      </c>
      <c r="L223">
        <v>0.8</v>
      </c>
      <c r="M223">
        <v>0</v>
      </c>
      <c r="N223">
        <v>0</v>
      </c>
      <c r="O223">
        <v>3</v>
      </c>
      <c r="P223">
        <v>3</v>
      </c>
    </row>
    <row r="224" spans="1:16" x14ac:dyDescent="0.3">
      <c r="A224">
        <v>833</v>
      </c>
      <c r="B224" s="1">
        <v>40581</v>
      </c>
      <c r="C224">
        <v>1</v>
      </c>
      <c r="D224">
        <v>0</v>
      </c>
      <c r="E224">
        <v>2</v>
      </c>
      <c r="F224">
        <v>3</v>
      </c>
      <c r="G224" t="b">
        <v>0</v>
      </c>
      <c r="H224">
        <v>1</v>
      </c>
      <c r="I224">
        <v>1</v>
      </c>
      <c r="J224">
        <v>0.2</v>
      </c>
      <c r="K224">
        <v>0.2576</v>
      </c>
      <c r="L224">
        <v>0.86</v>
      </c>
      <c r="M224">
        <v>0</v>
      </c>
      <c r="N224">
        <v>0</v>
      </c>
      <c r="O224">
        <v>1</v>
      </c>
      <c r="P224">
        <v>1</v>
      </c>
    </row>
    <row r="225" spans="1:16" x14ac:dyDescent="0.3">
      <c r="A225">
        <v>834</v>
      </c>
      <c r="B225" s="1">
        <v>40581</v>
      </c>
      <c r="C225">
        <v>1</v>
      </c>
      <c r="D225">
        <v>0</v>
      </c>
      <c r="E225">
        <v>2</v>
      </c>
      <c r="F225">
        <v>4</v>
      </c>
      <c r="G225" t="b">
        <v>0</v>
      </c>
      <c r="H225">
        <v>1</v>
      </c>
      <c r="I225">
        <v>1</v>
      </c>
      <c r="J225">
        <v>0.2</v>
      </c>
      <c r="K225">
        <v>0.2576</v>
      </c>
      <c r="L225">
        <v>0.86</v>
      </c>
      <c r="M225">
        <v>0</v>
      </c>
      <c r="N225">
        <v>1</v>
      </c>
      <c r="O225">
        <v>1</v>
      </c>
      <c r="P225">
        <v>2</v>
      </c>
    </row>
    <row r="226" spans="1:16" x14ac:dyDescent="0.3">
      <c r="A226">
        <v>835</v>
      </c>
      <c r="B226" s="1">
        <v>40581</v>
      </c>
      <c r="C226">
        <v>1</v>
      </c>
      <c r="D226">
        <v>0</v>
      </c>
      <c r="E226">
        <v>2</v>
      </c>
      <c r="F226">
        <v>5</v>
      </c>
      <c r="G226" t="b">
        <v>0</v>
      </c>
      <c r="H226">
        <v>1</v>
      </c>
      <c r="I226">
        <v>1</v>
      </c>
      <c r="J226">
        <v>0.2</v>
      </c>
      <c r="K226">
        <v>0.2576</v>
      </c>
      <c r="L226">
        <v>0.86</v>
      </c>
      <c r="M226">
        <v>0</v>
      </c>
      <c r="N226">
        <v>1</v>
      </c>
      <c r="O226">
        <v>9</v>
      </c>
      <c r="P226">
        <v>10</v>
      </c>
    </row>
    <row r="227" spans="1:16" x14ac:dyDescent="0.3">
      <c r="A227">
        <v>836</v>
      </c>
      <c r="B227" s="1">
        <v>40581</v>
      </c>
      <c r="C227">
        <v>1</v>
      </c>
      <c r="D227">
        <v>0</v>
      </c>
      <c r="E227">
        <v>2</v>
      </c>
      <c r="F227">
        <v>6</v>
      </c>
      <c r="G227" t="b">
        <v>0</v>
      </c>
      <c r="H227">
        <v>1</v>
      </c>
      <c r="I227">
        <v>1</v>
      </c>
      <c r="J227">
        <v>0.18</v>
      </c>
      <c r="K227">
        <v>0.2424</v>
      </c>
      <c r="L227">
        <v>0.93</v>
      </c>
      <c r="M227">
        <v>0</v>
      </c>
      <c r="N227">
        <v>1</v>
      </c>
      <c r="O227">
        <v>29</v>
      </c>
      <c r="P227">
        <v>30</v>
      </c>
    </row>
    <row r="228" spans="1:16" x14ac:dyDescent="0.3">
      <c r="A228">
        <v>837</v>
      </c>
      <c r="B228" s="1">
        <v>40581</v>
      </c>
      <c r="C228">
        <v>1</v>
      </c>
      <c r="D228">
        <v>0</v>
      </c>
      <c r="E228">
        <v>2</v>
      </c>
      <c r="F228">
        <v>7</v>
      </c>
      <c r="G228" t="b">
        <v>0</v>
      </c>
      <c r="H228">
        <v>1</v>
      </c>
      <c r="I228">
        <v>1</v>
      </c>
      <c r="J228">
        <v>0.18</v>
      </c>
      <c r="K228">
        <v>0.2424</v>
      </c>
      <c r="L228">
        <v>0.86</v>
      </c>
      <c r="M228">
        <v>0</v>
      </c>
      <c r="N228">
        <v>6</v>
      </c>
      <c r="O228">
        <v>89</v>
      </c>
      <c r="P228">
        <v>95</v>
      </c>
    </row>
    <row r="229" spans="1:16" x14ac:dyDescent="0.3">
      <c r="A229">
        <v>838</v>
      </c>
      <c r="B229" s="1">
        <v>40581</v>
      </c>
      <c r="C229">
        <v>1</v>
      </c>
      <c r="D229">
        <v>0</v>
      </c>
      <c r="E229">
        <v>2</v>
      </c>
      <c r="F229">
        <v>8</v>
      </c>
      <c r="G229" t="b">
        <v>0</v>
      </c>
      <c r="H229">
        <v>1</v>
      </c>
      <c r="I229">
        <v>2</v>
      </c>
      <c r="J229">
        <v>0.16</v>
      </c>
      <c r="K229">
        <v>0.2273</v>
      </c>
      <c r="L229">
        <v>1</v>
      </c>
      <c r="M229">
        <v>0</v>
      </c>
      <c r="N229">
        <v>7</v>
      </c>
      <c r="O229">
        <v>223</v>
      </c>
      <c r="P229">
        <v>230</v>
      </c>
    </row>
    <row r="230" spans="1:16" x14ac:dyDescent="0.3">
      <c r="A230">
        <v>839</v>
      </c>
      <c r="B230" s="1">
        <v>40581</v>
      </c>
      <c r="C230">
        <v>1</v>
      </c>
      <c r="D230">
        <v>0</v>
      </c>
      <c r="E230">
        <v>2</v>
      </c>
      <c r="F230">
        <v>9</v>
      </c>
      <c r="G230" t="b">
        <v>0</v>
      </c>
      <c r="H230">
        <v>1</v>
      </c>
      <c r="I230">
        <v>1</v>
      </c>
      <c r="J230">
        <v>0.22</v>
      </c>
      <c r="K230">
        <v>0.2727</v>
      </c>
      <c r="L230">
        <v>0.8</v>
      </c>
      <c r="M230">
        <v>0</v>
      </c>
      <c r="N230">
        <v>3</v>
      </c>
      <c r="O230">
        <v>115</v>
      </c>
      <c r="P230">
        <v>118</v>
      </c>
    </row>
    <row r="231" spans="1:16" x14ac:dyDescent="0.3">
      <c r="A231">
        <v>840</v>
      </c>
      <c r="B231" s="1">
        <v>40581</v>
      </c>
      <c r="C231">
        <v>1</v>
      </c>
      <c r="D231">
        <v>0</v>
      </c>
      <c r="E231">
        <v>2</v>
      </c>
      <c r="F231">
        <v>10</v>
      </c>
      <c r="G231" t="b">
        <v>0</v>
      </c>
      <c r="H231">
        <v>1</v>
      </c>
      <c r="I231">
        <v>1</v>
      </c>
      <c r="J231">
        <v>0.24</v>
      </c>
      <c r="K231">
        <v>0.2576</v>
      </c>
      <c r="L231">
        <v>0.75</v>
      </c>
      <c r="M231">
        <v>0.1045</v>
      </c>
      <c r="N231">
        <v>6</v>
      </c>
      <c r="O231">
        <v>49</v>
      </c>
      <c r="P231">
        <v>55</v>
      </c>
    </row>
    <row r="232" spans="1:16" x14ac:dyDescent="0.3">
      <c r="A232">
        <v>841</v>
      </c>
      <c r="B232" s="1">
        <v>40581</v>
      </c>
      <c r="C232">
        <v>1</v>
      </c>
      <c r="D232">
        <v>0</v>
      </c>
      <c r="E232">
        <v>2</v>
      </c>
      <c r="F232">
        <v>11</v>
      </c>
      <c r="G232" t="b">
        <v>0</v>
      </c>
      <c r="H232">
        <v>1</v>
      </c>
      <c r="I232">
        <v>1</v>
      </c>
      <c r="J232">
        <v>0.3</v>
      </c>
      <c r="K232">
        <v>0.31819999999999998</v>
      </c>
      <c r="L232">
        <v>0.65</v>
      </c>
      <c r="M232">
        <v>8.9599999999999999E-2</v>
      </c>
      <c r="N232">
        <v>11</v>
      </c>
      <c r="O232">
        <v>36</v>
      </c>
      <c r="P232">
        <v>47</v>
      </c>
    </row>
    <row r="233" spans="1:16" x14ac:dyDescent="0.3">
      <c r="A233">
        <v>842</v>
      </c>
      <c r="B233" s="1">
        <v>40581</v>
      </c>
      <c r="C233">
        <v>1</v>
      </c>
      <c r="D233">
        <v>0</v>
      </c>
      <c r="E233">
        <v>2</v>
      </c>
      <c r="F233">
        <v>12</v>
      </c>
      <c r="G233" t="b">
        <v>0</v>
      </c>
      <c r="H233">
        <v>1</v>
      </c>
      <c r="I233">
        <v>2</v>
      </c>
      <c r="J233">
        <v>0.32</v>
      </c>
      <c r="K233">
        <v>0.34849999999999998</v>
      </c>
      <c r="L233">
        <v>0.62</v>
      </c>
      <c r="M233">
        <v>0</v>
      </c>
      <c r="N233">
        <v>7</v>
      </c>
      <c r="O233">
        <v>59</v>
      </c>
      <c r="P233">
        <v>66</v>
      </c>
    </row>
    <row r="234" spans="1:16" x14ac:dyDescent="0.3">
      <c r="A234">
        <v>843</v>
      </c>
      <c r="B234" s="1">
        <v>40581</v>
      </c>
      <c r="C234">
        <v>1</v>
      </c>
      <c r="D234">
        <v>0</v>
      </c>
      <c r="E234">
        <v>2</v>
      </c>
      <c r="F234">
        <v>13</v>
      </c>
      <c r="G234" t="b">
        <v>0</v>
      </c>
      <c r="H234">
        <v>1</v>
      </c>
      <c r="I234">
        <v>2</v>
      </c>
      <c r="J234">
        <v>0.36</v>
      </c>
      <c r="K234">
        <v>0.36359999999999998</v>
      </c>
      <c r="L234">
        <v>0.56999999999999995</v>
      </c>
      <c r="M234">
        <v>8.9599999999999999E-2</v>
      </c>
      <c r="N234">
        <v>10</v>
      </c>
      <c r="O234">
        <v>54</v>
      </c>
      <c r="P234">
        <v>64</v>
      </c>
    </row>
    <row r="235" spans="1:16" x14ac:dyDescent="0.3">
      <c r="A235">
        <v>844</v>
      </c>
      <c r="B235" s="1">
        <v>40581</v>
      </c>
      <c r="C235">
        <v>1</v>
      </c>
      <c r="D235">
        <v>0</v>
      </c>
      <c r="E235">
        <v>2</v>
      </c>
      <c r="F235">
        <v>14</v>
      </c>
      <c r="G235" t="b">
        <v>0</v>
      </c>
      <c r="H235">
        <v>1</v>
      </c>
      <c r="I235">
        <v>2</v>
      </c>
      <c r="J235">
        <v>0.36</v>
      </c>
      <c r="K235">
        <v>0.36359999999999998</v>
      </c>
      <c r="L235">
        <v>0.56999999999999995</v>
      </c>
      <c r="M235">
        <v>8.9599999999999999E-2</v>
      </c>
      <c r="N235">
        <v>8</v>
      </c>
      <c r="O235">
        <v>52</v>
      </c>
      <c r="P235">
        <v>60</v>
      </c>
    </row>
    <row r="236" spans="1:16" x14ac:dyDescent="0.3">
      <c r="A236">
        <v>845</v>
      </c>
      <c r="B236" s="1">
        <v>40581</v>
      </c>
      <c r="C236">
        <v>1</v>
      </c>
      <c r="D236">
        <v>0</v>
      </c>
      <c r="E236">
        <v>2</v>
      </c>
      <c r="F236">
        <v>15</v>
      </c>
      <c r="G236" t="b">
        <v>0</v>
      </c>
      <c r="H236">
        <v>1</v>
      </c>
      <c r="I236">
        <v>2</v>
      </c>
      <c r="J236">
        <v>0.38</v>
      </c>
      <c r="K236">
        <v>0.39389999999999997</v>
      </c>
      <c r="L236">
        <v>0.54</v>
      </c>
      <c r="M236">
        <v>8.9599999999999999E-2</v>
      </c>
      <c r="N236">
        <v>4</v>
      </c>
      <c r="O236">
        <v>46</v>
      </c>
      <c r="P236">
        <v>50</v>
      </c>
    </row>
    <row r="237" spans="1:16" x14ac:dyDescent="0.3">
      <c r="A237">
        <v>846</v>
      </c>
      <c r="B237" s="1">
        <v>40581</v>
      </c>
      <c r="C237">
        <v>1</v>
      </c>
      <c r="D237">
        <v>0</v>
      </c>
      <c r="E237">
        <v>2</v>
      </c>
      <c r="F237">
        <v>16</v>
      </c>
      <c r="G237" t="b">
        <v>0</v>
      </c>
      <c r="H237">
        <v>1</v>
      </c>
      <c r="I237">
        <v>2</v>
      </c>
      <c r="J237">
        <v>0.36</v>
      </c>
      <c r="K237">
        <v>0.34849999999999998</v>
      </c>
      <c r="L237">
        <v>0.56999999999999995</v>
      </c>
      <c r="M237">
        <v>0.1343</v>
      </c>
      <c r="N237">
        <v>16</v>
      </c>
      <c r="O237">
        <v>98</v>
      </c>
      <c r="P237">
        <v>114</v>
      </c>
    </row>
    <row r="238" spans="1:16" x14ac:dyDescent="0.3">
      <c r="A238">
        <v>847</v>
      </c>
      <c r="B238" s="1">
        <v>40581</v>
      </c>
      <c r="C238">
        <v>1</v>
      </c>
      <c r="D238">
        <v>0</v>
      </c>
      <c r="E238">
        <v>2</v>
      </c>
      <c r="F238">
        <v>17</v>
      </c>
      <c r="G238" t="b">
        <v>0</v>
      </c>
      <c r="H238">
        <v>1</v>
      </c>
      <c r="I238">
        <v>2</v>
      </c>
      <c r="J238">
        <v>0.32</v>
      </c>
      <c r="K238">
        <v>0.31819999999999998</v>
      </c>
      <c r="L238">
        <v>0.7</v>
      </c>
      <c r="M238">
        <v>0.16420000000000001</v>
      </c>
      <c r="N238">
        <v>9</v>
      </c>
      <c r="O238">
        <v>207</v>
      </c>
      <c r="P238">
        <v>216</v>
      </c>
    </row>
    <row r="239" spans="1:16" x14ac:dyDescent="0.3">
      <c r="A239">
        <v>848</v>
      </c>
      <c r="B239" s="1">
        <v>40581</v>
      </c>
      <c r="C239">
        <v>1</v>
      </c>
      <c r="D239">
        <v>0</v>
      </c>
      <c r="E239">
        <v>2</v>
      </c>
      <c r="F239">
        <v>18</v>
      </c>
      <c r="G239" t="b">
        <v>0</v>
      </c>
      <c r="H239">
        <v>1</v>
      </c>
      <c r="I239">
        <v>2</v>
      </c>
      <c r="J239">
        <v>0.34</v>
      </c>
      <c r="K239">
        <v>0.33329999999999999</v>
      </c>
      <c r="L239">
        <v>0.66</v>
      </c>
      <c r="M239">
        <v>0.1343</v>
      </c>
      <c r="N239">
        <v>5</v>
      </c>
      <c r="O239">
        <v>170</v>
      </c>
      <c r="P239">
        <v>175</v>
      </c>
    </row>
    <row r="240" spans="1:16" x14ac:dyDescent="0.3">
      <c r="A240">
        <v>849</v>
      </c>
      <c r="B240" s="1">
        <v>40581</v>
      </c>
      <c r="C240">
        <v>1</v>
      </c>
      <c r="D240">
        <v>0</v>
      </c>
      <c r="E240">
        <v>2</v>
      </c>
      <c r="F240">
        <v>19</v>
      </c>
      <c r="G240" t="b">
        <v>0</v>
      </c>
      <c r="H240">
        <v>1</v>
      </c>
      <c r="I240">
        <v>2</v>
      </c>
      <c r="J240">
        <v>0.32</v>
      </c>
      <c r="K240">
        <v>0.34849999999999998</v>
      </c>
      <c r="L240">
        <v>0.7</v>
      </c>
      <c r="M240">
        <v>0</v>
      </c>
      <c r="N240">
        <v>5</v>
      </c>
      <c r="O240">
        <v>123</v>
      </c>
      <c r="P240">
        <v>128</v>
      </c>
    </row>
    <row r="241" spans="1:16" x14ac:dyDescent="0.3">
      <c r="A241">
        <v>850</v>
      </c>
      <c r="B241" s="1">
        <v>40581</v>
      </c>
      <c r="C241">
        <v>1</v>
      </c>
      <c r="D241">
        <v>0</v>
      </c>
      <c r="E241">
        <v>2</v>
      </c>
      <c r="F241">
        <v>20</v>
      </c>
      <c r="G241" t="b">
        <v>0</v>
      </c>
      <c r="H241">
        <v>1</v>
      </c>
      <c r="I241">
        <v>2</v>
      </c>
      <c r="J241">
        <v>0.32</v>
      </c>
      <c r="K241">
        <v>0.33329999999999999</v>
      </c>
      <c r="L241">
        <v>0.7</v>
      </c>
      <c r="M241">
        <v>0.1045</v>
      </c>
      <c r="N241">
        <v>6</v>
      </c>
      <c r="O241">
        <v>82</v>
      </c>
      <c r="P241">
        <v>88</v>
      </c>
    </row>
    <row r="242" spans="1:16" x14ac:dyDescent="0.3">
      <c r="A242">
        <v>851</v>
      </c>
      <c r="B242" s="1">
        <v>40581</v>
      </c>
      <c r="C242">
        <v>1</v>
      </c>
      <c r="D242">
        <v>0</v>
      </c>
      <c r="E242">
        <v>2</v>
      </c>
      <c r="F242">
        <v>21</v>
      </c>
      <c r="G242" t="b">
        <v>0</v>
      </c>
      <c r="H242">
        <v>1</v>
      </c>
      <c r="I242">
        <v>1</v>
      </c>
      <c r="J242">
        <v>0.32</v>
      </c>
      <c r="K242">
        <v>0.34849999999999998</v>
      </c>
      <c r="L242">
        <v>0.7</v>
      </c>
      <c r="M242">
        <v>0</v>
      </c>
      <c r="N242">
        <v>3</v>
      </c>
      <c r="O242">
        <v>75</v>
      </c>
      <c r="P242">
        <v>78</v>
      </c>
    </row>
    <row r="243" spans="1:16" x14ac:dyDescent="0.3">
      <c r="A243">
        <v>852</v>
      </c>
      <c r="B243" s="1">
        <v>40581</v>
      </c>
      <c r="C243">
        <v>1</v>
      </c>
      <c r="D243">
        <v>0</v>
      </c>
      <c r="E243">
        <v>2</v>
      </c>
      <c r="F243">
        <v>22</v>
      </c>
      <c r="G243" t="b">
        <v>0</v>
      </c>
      <c r="H243">
        <v>1</v>
      </c>
      <c r="I243">
        <v>1</v>
      </c>
      <c r="J243">
        <v>0.28000000000000003</v>
      </c>
      <c r="K243">
        <v>0.30299999999999999</v>
      </c>
      <c r="L243">
        <v>0.81</v>
      </c>
      <c r="M243">
        <v>8.9599999999999999E-2</v>
      </c>
      <c r="N243">
        <v>3</v>
      </c>
      <c r="O243">
        <v>34</v>
      </c>
      <c r="P243">
        <v>37</v>
      </c>
    </row>
    <row r="244" spans="1:16" x14ac:dyDescent="0.3">
      <c r="A244">
        <v>853</v>
      </c>
      <c r="B244" s="1">
        <v>40581</v>
      </c>
      <c r="C244">
        <v>1</v>
      </c>
      <c r="D244">
        <v>0</v>
      </c>
      <c r="E244">
        <v>2</v>
      </c>
      <c r="F244">
        <v>23</v>
      </c>
      <c r="G244" t="b">
        <v>0</v>
      </c>
      <c r="H244">
        <v>1</v>
      </c>
      <c r="I244">
        <v>2</v>
      </c>
      <c r="J244">
        <v>0.3</v>
      </c>
      <c r="K244">
        <v>0.33329999999999999</v>
      </c>
      <c r="L244">
        <v>0.81</v>
      </c>
      <c r="M244">
        <v>0</v>
      </c>
      <c r="N244">
        <v>6</v>
      </c>
      <c r="O244">
        <v>19</v>
      </c>
      <c r="P244">
        <v>25</v>
      </c>
    </row>
    <row r="245" spans="1:16" x14ac:dyDescent="0.3">
      <c r="A245">
        <v>854</v>
      </c>
      <c r="B245" s="1">
        <v>40582</v>
      </c>
      <c r="C245">
        <v>1</v>
      </c>
      <c r="D245">
        <v>0</v>
      </c>
      <c r="E245">
        <v>2</v>
      </c>
      <c r="F245">
        <v>0</v>
      </c>
      <c r="G245" t="b">
        <v>0</v>
      </c>
      <c r="H245">
        <v>2</v>
      </c>
      <c r="I245">
        <v>2</v>
      </c>
      <c r="J245">
        <v>0.28000000000000003</v>
      </c>
      <c r="K245">
        <v>0.31819999999999998</v>
      </c>
      <c r="L245">
        <v>0.87</v>
      </c>
      <c r="M245">
        <v>0</v>
      </c>
      <c r="N245">
        <v>4</v>
      </c>
      <c r="O245">
        <v>6</v>
      </c>
      <c r="P245">
        <v>10</v>
      </c>
    </row>
    <row r="246" spans="1:16" x14ac:dyDescent="0.3">
      <c r="A246">
        <v>855</v>
      </c>
      <c r="B246" s="1">
        <v>40582</v>
      </c>
      <c r="C246">
        <v>1</v>
      </c>
      <c r="D246">
        <v>0</v>
      </c>
      <c r="E246">
        <v>2</v>
      </c>
      <c r="F246">
        <v>1</v>
      </c>
      <c r="G246" t="b">
        <v>0</v>
      </c>
      <c r="H246">
        <v>2</v>
      </c>
      <c r="I246">
        <v>2</v>
      </c>
      <c r="J246">
        <v>0.28000000000000003</v>
      </c>
      <c r="K246">
        <v>0.31819999999999998</v>
      </c>
      <c r="L246">
        <v>0.87</v>
      </c>
      <c r="M246">
        <v>0</v>
      </c>
      <c r="N246">
        <v>0</v>
      </c>
      <c r="O246">
        <v>4</v>
      </c>
      <c r="P246">
        <v>4</v>
      </c>
    </row>
    <row r="247" spans="1:16" x14ac:dyDescent="0.3">
      <c r="A247">
        <v>856</v>
      </c>
      <c r="B247" s="1">
        <v>40582</v>
      </c>
      <c r="C247">
        <v>1</v>
      </c>
      <c r="D247">
        <v>0</v>
      </c>
      <c r="E247">
        <v>2</v>
      </c>
      <c r="F247">
        <v>2</v>
      </c>
      <c r="G247" t="b">
        <v>0</v>
      </c>
      <c r="H247">
        <v>2</v>
      </c>
      <c r="I247">
        <v>2</v>
      </c>
      <c r="J247">
        <v>0.26</v>
      </c>
      <c r="K247">
        <v>0.2727</v>
      </c>
      <c r="L247">
        <v>0.93</v>
      </c>
      <c r="M247">
        <v>0.1045</v>
      </c>
      <c r="N247">
        <v>1</v>
      </c>
      <c r="O247">
        <v>1</v>
      </c>
      <c r="P247">
        <v>2</v>
      </c>
    </row>
    <row r="248" spans="1:16" x14ac:dyDescent="0.3">
      <c r="A248">
        <v>857</v>
      </c>
      <c r="B248" s="1">
        <v>40582</v>
      </c>
      <c r="C248">
        <v>1</v>
      </c>
      <c r="D248">
        <v>0</v>
      </c>
      <c r="E248">
        <v>2</v>
      </c>
      <c r="F248">
        <v>3</v>
      </c>
      <c r="G248" t="b">
        <v>0</v>
      </c>
      <c r="H248">
        <v>2</v>
      </c>
      <c r="I248">
        <v>3</v>
      </c>
      <c r="J248">
        <v>0.28000000000000003</v>
      </c>
      <c r="K248">
        <v>0.2727</v>
      </c>
      <c r="L248">
        <v>0.93</v>
      </c>
      <c r="M248">
        <v>0.16420000000000001</v>
      </c>
      <c r="N248">
        <v>0</v>
      </c>
      <c r="O248">
        <v>1</v>
      </c>
      <c r="P248">
        <v>1</v>
      </c>
    </row>
    <row r="249" spans="1:16" x14ac:dyDescent="0.3">
      <c r="A249">
        <v>858</v>
      </c>
      <c r="B249" s="1">
        <v>40582</v>
      </c>
      <c r="C249">
        <v>1</v>
      </c>
      <c r="D249">
        <v>0</v>
      </c>
      <c r="E249">
        <v>2</v>
      </c>
      <c r="F249">
        <v>4</v>
      </c>
      <c r="G249" t="b">
        <v>0</v>
      </c>
      <c r="H249">
        <v>2</v>
      </c>
      <c r="I249">
        <v>1</v>
      </c>
      <c r="J249">
        <v>0.26</v>
      </c>
      <c r="K249">
        <v>0.2576</v>
      </c>
      <c r="L249">
        <v>0.93</v>
      </c>
      <c r="M249">
        <v>0.16420000000000001</v>
      </c>
      <c r="N249">
        <v>0</v>
      </c>
      <c r="O249">
        <v>3</v>
      </c>
      <c r="P249">
        <v>3</v>
      </c>
    </row>
    <row r="250" spans="1:16" x14ac:dyDescent="0.3">
      <c r="A250">
        <v>859</v>
      </c>
      <c r="B250" s="1">
        <v>40582</v>
      </c>
      <c r="C250">
        <v>1</v>
      </c>
      <c r="D250">
        <v>0</v>
      </c>
      <c r="E250">
        <v>2</v>
      </c>
      <c r="F250">
        <v>5</v>
      </c>
      <c r="G250" t="b">
        <v>0</v>
      </c>
      <c r="H250">
        <v>2</v>
      </c>
      <c r="I250">
        <v>1</v>
      </c>
      <c r="J250">
        <v>0.26</v>
      </c>
      <c r="K250">
        <v>0.2273</v>
      </c>
      <c r="L250">
        <v>0.81</v>
      </c>
      <c r="M250">
        <v>0.32840000000000003</v>
      </c>
      <c r="N250">
        <v>0</v>
      </c>
      <c r="O250">
        <v>2</v>
      </c>
      <c r="P250">
        <v>2</v>
      </c>
    </row>
    <row r="251" spans="1:16" x14ac:dyDescent="0.3">
      <c r="A251">
        <v>860</v>
      </c>
      <c r="B251" s="1">
        <v>40582</v>
      </c>
      <c r="C251">
        <v>1</v>
      </c>
      <c r="D251">
        <v>0</v>
      </c>
      <c r="E251">
        <v>2</v>
      </c>
      <c r="F251">
        <v>6</v>
      </c>
      <c r="G251" t="b">
        <v>0</v>
      </c>
      <c r="H251">
        <v>2</v>
      </c>
      <c r="I251">
        <v>1</v>
      </c>
      <c r="J251">
        <v>0.26</v>
      </c>
      <c r="K251">
        <v>0.2273</v>
      </c>
      <c r="L251">
        <v>0.7</v>
      </c>
      <c r="M251">
        <v>0.32840000000000003</v>
      </c>
      <c r="N251">
        <v>0</v>
      </c>
      <c r="O251">
        <v>39</v>
      </c>
      <c r="P251">
        <v>39</v>
      </c>
    </row>
    <row r="252" spans="1:16" x14ac:dyDescent="0.3">
      <c r="A252">
        <v>861</v>
      </c>
      <c r="B252" s="1">
        <v>40582</v>
      </c>
      <c r="C252">
        <v>1</v>
      </c>
      <c r="D252">
        <v>0</v>
      </c>
      <c r="E252">
        <v>2</v>
      </c>
      <c r="F252">
        <v>7</v>
      </c>
      <c r="G252" t="b">
        <v>0</v>
      </c>
      <c r="H252">
        <v>2</v>
      </c>
      <c r="I252">
        <v>1</v>
      </c>
      <c r="J252">
        <v>0.24</v>
      </c>
      <c r="K252">
        <v>0.19700000000000001</v>
      </c>
      <c r="L252">
        <v>0.65</v>
      </c>
      <c r="M252">
        <v>0.41789999999999999</v>
      </c>
      <c r="N252">
        <v>3</v>
      </c>
      <c r="O252">
        <v>97</v>
      </c>
      <c r="P252">
        <v>100</v>
      </c>
    </row>
    <row r="253" spans="1:16" x14ac:dyDescent="0.3">
      <c r="A253">
        <v>862</v>
      </c>
      <c r="B253" s="1">
        <v>40582</v>
      </c>
      <c r="C253">
        <v>1</v>
      </c>
      <c r="D253">
        <v>0</v>
      </c>
      <c r="E253">
        <v>2</v>
      </c>
      <c r="F253">
        <v>8</v>
      </c>
      <c r="G253" t="b">
        <v>0</v>
      </c>
      <c r="H253">
        <v>2</v>
      </c>
      <c r="I253">
        <v>1</v>
      </c>
      <c r="J253">
        <v>0.24</v>
      </c>
      <c r="K253">
        <v>0.19700000000000001</v>
      </c>
      <c r="L253">
        <v>0.56000000000000005</v>
      </c>
      <c r="M253">
        <v>0.49249999999999999</v>
      </c>
      <c r="N253">
        <v>7</v>
      </c>
      <c r="O253">
        <v>236</v>
      </c>
      <c r="P253">
        <v>243</v>
      </c>
    </row>
    <row r="254" spans="1:16" x14ac:dyDescent="0.3">
      <c r="A254">
        <v>863</v>
      </c>
      <c r="B254" s="1">
        <v>40582</v>
      </c>
      <c r="C254">
        <v>1</v>
      </c>
      <c r="D254">
        <v>0</v>
      </c>
      <c r="E254">
        <v>2</v>
      </c>
      <c r="F254">
        <v>9</v>
      </c>
      <c r="G254" t="b">
        <v>0</v>
      </c>
      <c r="H254">
        <v>2</v>
      </c>
      <c r="I254">
        <v>1</v>
      </c>
      <c r="J254">
        <v>0.24</v>
      </c>
      <c r="K254">
        <v>0.19700000000000001</v>
      </c>
      <c r="L254">
        <v>0.52</v>
      </c>
      <c r="M254">
        <v>0.49249999999999999</v>
      </c>
      <c r="N254">
        <v>7</v>
      </c>
      <c r="O254">
        <v>128</v>
      </c>
      <c r="P254">
        <v>135</v>
      </c>
    </row>
    <row r="255" spans="1:16" x14ac:dyDescent="0.3">
      <c r="A255">
        <v>864</v>
      </c>
      <c r="B255" s="1">
        <v>40582</v>
      </c>
      <c r="C255">
        <v>1</v>
      </c>
      <c r="D255">
        <v>0</v>
      </c>
      <c r="E255">
        <v>2</v>
      </c>
      <c r="F255">
        <v>10</v>
      </c>
      <c r="G255" t="b">
        <v>0</v>
      </c>
      <c r="H255">
        <v>2</v>
      </c>
      <c r="I255">
        <v>1</v>
      </c>
      <c r="J255">
        <v>0.22</v>
      </c>
      <c r="K255">
        <v>0.18179999999999999</v>
      </c>
      <c r="L255">
        <v>0.47</v>
      </c>
      <c r="M255">
        <v>0.55220000000000002</v>
      </c>
      <c r="N255">
        <v>4</v>
      </c>
      <c r="O255">
        <v>44</v>
      </c>
      <c r="P255">
        <v>48</v>
      </c>
    </row>
    <row r="256" spans="1:16" x14ac:dyDescent="0.3">
      <c r="A256">
        <v>865</v>
      </c>
      <c r="B256" s="1">
        <v>40582</v>
      </c>
      <c r="C256">
        <v>1</v>
      </c>
      <c r="D256">
        <v>0</v>
      </c>
      <c r="E256">
        <v>2</v>
      </c>
      <c r="F256">
        <v>11</v>
      </c>
      <c r="G256" t="b">
        <v>0</v>
      </c>
      <c r="H256">
        <v>2</v>
      </c>
      <c r="I256">
        <v>1</v>
      </c>
      <c r="J256">
        <v>0.22</v>
      </c>
      <c r="K256">
        <v>0.18179999999999999</v>
      </c>
      <c r="L256">
        <v>0.47</v>
      </c>
      <c r="M256">
        <v>0.4627</v>
      </c>
      <c r="N256">
        <v>1</v>
      </c>
      <c r="O256">
        <v>49</v>
      </c>
      <c r="P256">
        <v>50</v>
      </c>
    </row>
    <row r="257" spans="1:16" x14ac:dyDescent="0.3">
      <c r="A257">
        <v>866</v>
      </c>
      <c r="B257" s="1">
        <v>40582</v>
      </c>
      <c r="C257">
        <v>1</v>
      </c>
      <c r="D257">
        <v>0</v>
      </c>
      <c r="E257">
        <v>2</v>
      </c>
      <c r="F257">
        <v>12</v>
      </c>
      <c r="G257" t="b">
        <v>0</v>
      </c>
      <c r="H257">
        <v>2</v>
      </c>
      <c r="I257">
        <v>1</v>
      </c>
      <c r="J257">
        <v>0.24</v>
      </c>
      <c r="K257">
        <v>0.19700000000000001</v>
      </c>
      <c r="L257">
        <v>0.38</v>
      </c>
      <c r="M257">
        <v>0.49249999999999999</v>
      </c>
      <c r="N257">
        <v>2</v>
      </c>
      <c r="O257">
        <v>63</v>
      </c>
      <c r="P257">
        <v>65</v>
      </c>
    </row>
    <row r="258" spans="1:16" x14ac:dyDescent="0.3">
      <c r="A258">
        <v>867</v>
      </c>
      <c r="B258" s="1">
        <v>40582</v>
      </c>
      <c r="C258">
        <v>1</v>
      </c>
      <c r="D258">
        <v>0</v>
      </c>
      <c r="E258">
        <v>2</v>
      </c>
      <c r="F258">
        <v>13</v>
      </c>
      <c r="G258" t="b">
        <v>0</v>
      </c>
      <c r="H258">
        <v>2</v>
      </c>
      <c r="I258">
        <v>2</v>
      </c>
      <c r="J258">
        <v>0.24</v>
      </c>
      <c r="K258">
        <v>0.19700000000000001</v>
      </c>
      <c r="L258">
        <v>0.32</v>
      </c>
      <c r="M258">
        <v>0.44779999999999998</v>
      </c>
      <c r="N258">
        <v>2</v>
      </c>
      <c r="O258">
        <v>48</v>
      </c>
      <c r="P258">
        <v>50</v>
      </c>
    </row>
    <row r="259" spans="1:16" x14ac:dyDescent="0.3">
      <c r="A259">
        <v>868</v>
      </c>
      <c r="B259" s="1">
        <v>40582</v>
      </c>
      <c r="C259">
        <v>1</v>
      </c>
      <c r="D259">
        <v>0</v>
      </c>
      <c r="E259">
        <v>2</v>
      </c>
      <c r="F259">
        <v>14</v>
      </c>
      <c r="G259" t="b">
        <v>0</v>
      </c>
      <c r="H259">
        <v>2</v>
      </c>
      <c r="I259">
        <v>1</v>
      </c>
      <c r="J259">
        <v>0.22</v>
      </c>
      <c r="K259">
        <v>0.19700000000000001</v>
      </c>
      <c r="L259">
        <v>0.37</v>
      </c>
      <c r="M259">
        <v>0.41789999999999999</v>
      </c>
      <c r="N259">
        <v>3</v>
      </c>
      <c r="O259">
        <v>61</v>
      </c>
      <c r="P259">
        <v>64</v>
      </c>
    </row>
    <row r="260" spans="1:16" x14ac:dyDescent="0.3">
      <c r="A260">
        <v>869</v>
      </c>
      <c r="B260" s="1">
        <v>40582</v>
      </c>
      <c r="C260">
        <v>1</v>
      </c>
      <c r="D260">
        <v>0</v>
      </c>
      <c r="E260">
        <v>2</v>
      </c>
      <c r="F260">
        <v>15</v>
      </c>
      <c r="G260" t="b">
        <v>0</v>
      </c>
      <c r="H260">
        <v>2</v>
      </c>
      <c r="I260">
        <v>1</v>
      </c>
      <c r="J260">
        <v>0.22</v>
      </c>
      <c r="K260">
        <v>0.19700000000000001</v>
      </c>
      <c r="L260">
        <v>0.35</v>
      </c>
      <c r="M260">
        <v>0.3881</v>
      </c>
      <c r="N260">
        <v>6</v>
      </c>
      <c r="O260">
        <v>45</v>
      </c>
      <c r="P260">
        <v>51</v>
      </c>
    </row>
    <row r="261" spans="1:16" x14ac:dyDescent="0.3">
      <c r="A261">
        <v>870</v>
      </c>
      <c r="B261" s="1">
        <v>40582</v>
      </c>
      <c r="C261">
        <v>1</v>
      </c>
      <c r="D261">
        <v>0</v>
      </c>
      <c r="E261">
        <v>2</v>
      </c>
      <c r="F261">
        <v>16</v>
      </c>
      <c r="G261" t="b">
        <v>0</v>
      </c>
      <c r="H261">
        <v>2</v>
      </c>
      <c r="I261">
        <v>1</v>
      </c>
      <c r="J261">
        <v>0.22</v>
      </c>
      <c r="K261">
        <v>0.18179999999999999</v>
      </c>
      <c r="L261">
        <v>0.35</v>
      </c>
      <c r="M261">
        <v>0.52239999999999998</v>
      </c>
      <c r="N261">
        <v>4</v>
      </c>
      <c r="O261">
        <v>79</v>
      </c>
      <c r="P261">
        <v>83</v>
      </c>
    </row>
    <row r="262" spans="1:16" x14ac:dyDescent="0.3">
      <c r="A262">
        <v>871</v>
      </c>
      <c r="B262" s="1">
        <v>40582</v>
      </c>
      <c r="C262">
        <v>1</v>
      </c>
      <c r="D262">
        <v>0</v>
      </c>
      <c r="E262">
        <v>2</v>
      </c>
      <c r="F262">
        <v>17</v>
      </c>
      <c r="G262" t="b">
        <v>0</v>
      </c>
      <c r="H262">
        <v>2</v>
      </c>
      <c r="I262">
        <v>1</v>
      </c>
      <c r="J262">
        <v>0.22</v>
      </c>
      <c r="K262">
        <v>0.18179999999999999</v>
      </c>
      <c r="L262">
        <v>0.32</v>
      </c>
      <c r="M262">
        <v>0.58209999999999995</v>
      </c>
      <c r="N262">
        <v>4</v>
      </c>
      <c r="O262">
        <v>172</v>
      </c>
      <c r="P262">
        <v>176</v>
      </c>
    </row>
    <row r="263" spans="1:16" x14ac:dyDescent="0.3">
      <c r="A263">
        <v>872</v>
      </c>
      <c r="B263" s="1">
        <v>40582</v>
      </c>
      <c r="C263">
        <v>1</v>
      </c>
      <c r="D263">
        <v>0</v>
      </c>
      <c r="E263">
        <v>2</v>
      </c>
      <c r="F263">
        <v>18</v>
      </c>
      <c r="G263" t="b">
        <v>0</v>
      </c>
      <c r="H263">
        <v>2</v>
      </c>
      <c r="I263">
        <v>1</v>
      </c>
      <c r="J263">
        <v>0.2</v>
      </c>
      <c r="K263">
        <v>0.18179999999999999</v>
      </c>
      <c r="L263">
        <v>0.32</v>
      </c>
      <c r="M263">
        <v>0.3881</v>
      </c>
      <c r="N263">
        <v>1</v>
      </c>
      <c r="O263">
        <v>151</v>
      </c>
      <c r="P263">
        <v>152</v>
      </c>
    </row>
    <row r="264" spans="1:16" x14ac:dyDescent="0.3">
      <c r="A264">
        <v>873</v>
      </c>
      <c r="B264" s="1">
        <v>40582</v>
      </c>
      <c r="C264">
        <v>1</v>
      </c>
      <c r="D264">
        <v>0</v>
      </c>
      <c r="E264">
        <v>2</v>
      </c>
      <c r="F264">
        <v>19</v>
      </c>
      <c r="G264" t="b">
        <v>0</v>
      </c>
      <c r="H264">
        <v>2</v>
      </c>
      <c r="I264">
        <v>1</v>
      </c>
      <c r="J264">
        <v>0.16</v>
      </c>
      <c r="K264">
        <v>0.1212</v>
      </c>
      <c r="L264">
        <v>0.4</v>
      </c>
      <c r="M264">
        <v>0.4627</v>
      </c>
      <c r="N264">
        <v>1</v>
      </c>
      <c r="O264">
        <v>100</v>
      </c>
      <c r="P264">
        <v>101</v>
      </c>
    </row>
    <row r="265" spans="1:16" x14ac:dyDescent="0.3">
      <c r="A265">
        <v>874</v>
      </c>
      <c r="B265" s="1">
        <v>40582</v>
      </c>
      <c r="C265">
        <v>1</v>
      </c>
      <c r="D265">
        <v>0</v>
      </c>
      <c r="E265">
        <v>2</v>
      </c>
      <c r="F265">
        <v>20</v>
      </c>
      <c r="G265" t="b">
        <v>0</v>
      </c>
      <c r="H265">
        <v>2</v>
      </c>
      <c r="I265">
        <v>1</v>
      </c>
      <c r="J265">
        <v>0.16</v>
      </c>
      <c r="K265">
        <v>0.13639999999999999</v>
      </c>
      <c r="L265">
        <v>0.4</v>
      </c>
      <c r="M265">
        <v>0.32840000000000003</v>
      </c>
      <c r="N265">
        <v>3</v>
      </c>
      <c r="O265">
        <v>53</v>
      </c>
      <c r="P265">
        <v>56</v>
      </c>
    </row>
    <row r="266" spans="1:16" x14ac:dyDescent="0.3">
      <c r="A266">
        <v>875</v>
      </c>
      <c r="B266" s="1">
        <v>40582</v>
      </c>
      <c r="C266">
        <v>1</v>
      </c>
      <c r="D266">
        <v>0</v>
      </c>
      <c r="E266">
        <v>2</v>
      </c>
      <c r="F266">
        <v>21</v>
      </c>
      <c r="G266" t="b">
        <v>0</v>
      </c>
      <c r="H266">
        <v>2</v>
      </c>
      <c r="I266">
        <v>1</v>
      </c>
      <c r="J266">
        <v>0.14000000000000001</v>
      </c>
      <c r="K266">
        <v>0.1061</v>
      </c>
      <c r="L266">
        <v>0.33</v>
      </c>
      <c r="M266">
        <v>0.4627</v>
      </c>
      <c r="N266">
        <v>8</v>
      </c>
      <c r="O266">
        <v>46</v>
      </c>
      <c r="P266">
        <v>54</v>
      </c>
    </row>
    <row r="267" spans="1:16" x14ac:dyDescent="0.3">
      <c r="A267">
        <v>876</v>
      </c>
      <c r="B267" s="1">
        <v>40582</v>
      </c>
      <c r="C267">
        <v>1</v>
      </c>
      <c r="D267">
        <v>0</v>
      </c>
      <c r="E267">
        <v>2</v>
      </c>
      <c r="F267">
        <v>22</v>
      </c>
      <c r="G267" t="b">
        <v>0</v>
      </c>
      <c r="H267">
        <v>2</v>
      </c>
      <c r="I267">
        <v>1</v>
      </c>
      <c r="J267">
        <v>0.12</v>
      </c>
      <c r="K267">
        <v>0.1061</v>
      </c>
      <c r="L267">
        <v>0.33</v>
      </c>
      <c r="M267">
        <v>0.35820000000000002</v>
      </c>
      <c r="N267">
        <v>0</v>
      </c>
      <c r="O267">
        <v>29</v>
      </c>
      <c r="P267">
        <v>29</v>
      </c>
    </row>
    <row r="268" spans="1:16" x14ac:dyDescent="0.3">
      <c r="A268">
        <v>877</v>
      </c>
      <c r="B268" s="1">
        <v>40582</v>
      </c>
      <c r="C268">
        <v>1</v>
      </c>
      <c r="D268">
        <v>0</v>
      </c>
      <c r="E268">
        <v>2</v>
      </c>
      <c r="F268">
        <v>23</v>
      </c>
      <c r="G268" t="b">
        <v>0</v>
      </c>
      <c r="H268">
        <v>2</v>
      </c>
      <c r="I268">
        <v>1</v>
      </c>
      <c r="J268">
        <v>0.12</v>
      </c>
      <c r="K268">
        <v>0.1061</v>
      </c>
      <c r="L268">
        <v>0.33</v>
      </c>
      <c r="M268">
        <v>0.32840000000000003</v>
      </c>
      <c r="N268">
        <v>3</v>
      </c>
      <c r="O268">
        <v>9</v>
      </c>
      <c r="P268">
        <v>12</v>
      </c>
    </row>
    <row r="269" spans="1:16" x14ac:dyDescent="0.3">
      <c r="A269">
        <v>878</v>
      </c>
      <c r="B269" s="1">
        <v>40583</v>
      </c>
      <c r="C269">
        <v>1</v>
      </c>
      <c r="D269">
        <v>0</v>
      </c>
      <c r="E269">
        <v>2</v>
      </c>
      <c r="F269">
        <v>0</v>
      </c>
      <c r="G269" t="b">
        <v>0</v>
      </c>
      <c r="H269">
        <v>3</v>
      </c>
      <c r="I269">
        <v>1</v>
      </c>
      <c r="J269">
        <v>0.1</v>
      </c>
      <c r="K269">
        <v>7.5800000000000006E-2</v>
      </c>
      <c r="L269">
        <v>0.36</v>
      </c>
      <c r="M269">
        <v>0.35820000000000002</v>
      </c>
      <c r="N269">
        <v>0</v>
      </c>
      <c r="O269">
        <v>17</v>
      </c>
      <c r="P269">
        <v>17</v>
      </c>
    </row>
    <row r="270" spans="1:16" x14ac:dyDescent="0.3">
      <c r="A270">
        <v>879</v>
      </c>
      <c r="B270" s="1">
        <v>40583</v>
      </c>
      <c r="C270">
        <v>1</v>
      </c>
      <c r="D270">
        <v>0</v>
      </c>
      <c r="E270">
        <v>2</v>
      </c>
      <c r="F270">
        <v>1</v>
      </c>
      <c r="G270" t="b">
        <v>0</v>
      </c>
      <c r="H270">
        <v>3</v>
      </c>
      <c r="I270">
        <v>1</v>
      </c>
      <c r="J270">
        <v>0.1</v>
      </c>
      <c r="K270">
        <v>0.1061</v>
      </c>
      <c r="L270">
        <v>0.36</v>
      </c>
      <c r="M270">
        <v>0.22389999999999999</v>
      </c>
      <c r="N270">
        <v>0</v>
      </c>
      <c r="O270">
        <v>7</v>
      </c>
      <c r="P270">
        <v>7</v>
      </c>
    </row>
    <row r="271" spans="1:16" x14ac:dyDescent="0.3">
      <c r="A271">
        <v>880</v>
      </c>
      <c r="B271" s="1">
        <v>40583</v>
      </c>
      <c r="C271">
        <v>1</v>
      </c>
      <c r="D271">
        <v>0</v>
      </c>
      <c r="E271">
        <v>2</v>
      </c>
      <c r="F271">
        <v>2</v>
      </c>
      <c r="G271" t="b">
        <v>0</v>
      </c>
      <c r="H271">
        <v>3</v>
      </c>
      <c r="I271">
        <v>1</v>
      </c>
      <c r="J271">
        <v>0.08</v>
      </c>
      <c r="K271">
        <v>7.5800000000000006E-2</v>
      </c>
      <c r="L271">
        <v>0.38</v>
      </c>
      <c r="M271">
        <v>0.28360000000000002</v>
      </c>
      <c r="N271">
        <v>1</v>
      </c>
      <c r="O271">
        <v>2</v>
      </c>
      <c r="P271">
        <v>3</v>
      </c>
    </row>
    <row r="272" spans="1:16" x14ac:dyDescent="0.3">
      <c r="A272">
        <v>881</v>
      </c>
      <c r="B272" s="1">
        <v>40583</v>
      </c>
      <c r="C272">
        <v>1</v>
      </c>
      <c r="D272">
        <v>0</v>
      </c>
      <c r="E272">
        <v>2</v>
      </c>
      <c r="F272">
        <v>3</v>
      </c>
      <c r="G272" t="b">
        <v>0</v>
      </c>
      <c r="H272">
        <v>3</v>
      </c>
      <c r="I272">
        <v>1</v>
      </c>
      <c r="J272">
        <v>0.06</v>
      </c>
      <c r="K272">
        <v>7.5800000000000006E-2</v>
      </c>
      <c r="L272">
        <v>0.45</v>
      </c>
      <c r="M272">
        <v>0.1343</v>
      </c>
      <c r="N272">
        <v>0</v>
      </c>
      <c r="O272">
        <v>2</v>
      </c>
      <c r="P272">
        <v>2</v>
      </c>
    </row>
    <row r="273" spans="1:16" x14ac:dyDescent="0.3">
      <c r="A273">
        <v>882</v>
      </c>
      <c r="B273" s="1">
        <v>40583</v>
      </c>
      <c r="C273">
        <v>1</v>
      </c>
      <c r="D273">
        <v>0</v>
      </c>
      <c r="E273">
        <v>2</v>
      </c>
      <c r="F273">
        <v>5</v>
      </c>
      <c r="G273" t="b">
        <v>0</v>
      </c>
      <c r="H273">
        <v>3</v>
      </c>
      <c r="I273">
        <v>1</v>
      </c>
      <c r="J273">
        <v>0.06</v>
      </c>
      <c r="K273">
        <v>0.1061</v>
      </c>
      <c r="L273">
        <v>0.45</v>
      </c>
      <c r="M273">
        <v>0.1045</v>
      </c>
      <c r="N273">
        <v>0</v>
      </c>
      <c r="O273">
        <v>7</v>
      </c>
      <c r="P273">
        <v>7</v>
      </c>
    </row>
    <row r="274" spans="1:16" x14ac:dyDescent="0.3">
      <c r="A274">
        <v>883</v>
      </c>
      <c r="B274" s="1">
        <v>40583</v>
      </c>
      <c r="C274">
        <v>1</v>
      </c>
      <c r="D274">
        <v>0</v>
      </c>
      <c r="E274">
        <v>2</v>
      </c>
      <c r="F274">
        <v>6</v>
      </c>
      <c r="G274" t="b">
        <v>0</v>
      </c>
      <c r="H274">
        <v>3</v>
      </c>
      <c r="I274">
        <v>1</v>
      </c>
      <c r="J274">
        <v>0.06</v>
      </c>
      <c r="K274">
        <v>0.1515</v>
      </c>
      <c r="L274">
        <v>0.45</v>
      </c>
      <c r="M274">
        <v>0</v>
      </c>
      <c r="N274">
        <v>0</v>
      </c>
      <c r="O274">
        <v>43</v>
      </c>
      <c r="P274">
        <v>43</v>
      </c>
    </row>
    <row r="275" spans="1:16" x14ac:dyDescent="0.3">
      <c r="A275">
        <v>884</v>
      </c>
      <c r="B275" s="1">
        <v>40583</v>
      </c>
      <c r="C275">
        <v>1</v>
      </c>
      <c r="D275">
        <v>0</v>
      </c>
      <c r="E275">
        <v>2</v>
      </c>
      <c r="F275">
        <v>7</v>
      </c>
      <c r="G275" t="b">
        <v>0</v>
      </c>
      <c r="H275">
        <v>3</v>
      </c>
      <c r="I275">
        <v>1</v>
      </c>
      <c r="J275">
        <v>0.06</v>
      </c>
      <c r="K275">
        <v>0.1061</v>
      </c>
      <c r="L275">
        <v>0.49</v>
      </c>
      <c r="M275">
        <v>0.1045</v>
      </c>
      <c r="N275">
        <v>4</v>
      </c>
      <c r="O275">
        <v>95</v>
      </c>
      <c r="P275">
        <v>99</v>
      </c>
    </row>
    <row r="276" spans="1:16" x14ac:dyDescent="0.3">
      <c r="A276">
        <v>885</v>
      </c>
      <c r="B276" s="1">
        <v>40583</v>
      </c>
      <c r="C276">
        <v>1</v>
      </c>
      <c r="D276">
        <v>0</v>
      </c>
      <c r="E276">
        <v>2</v>
      </c>
      <c r="F276">
        <v>8</v>
      </c>
      <c r="G276" t="b">
        <v>0</v>
      </c>
      <c r="H276">
        <v>3</v>
      </c>
      <c r="I276">
        <v>1</v>
      </c>
      <c r="J276">
        <v>0.1</v>
      </c>
      <c r="K276">
        <v>0.13639999999999999</v>
      </c>
      <c r="L276">
        <v>0.42</v>
      </c>
      <c r="M276">
        <v>0</v>
      </c>
      <c r="N276">
        <v>1</v>
      </c>
      <c r="O276">
        <v>198</v>
      </c>
      <c r="P276">
        <v>199</v>
      </c>
    </row>
    <row r="277" spans="1:16" x14ac:dyDescent="0.3">
      <c r="A277">
        <v>886</v>
      </c>
      <c r="B277" s="1">
        <v>40583</v>
      </c>
      <c r="C277">
        <v>1</v>
      </c>
      <c r="D277">
        <v>0</v>
      </c>
      <c r="E277">
        <v>2</v>
      </c>
      <c r="F277">
        <v>9</v>
      </c>
      <c r="G277" t="b">
        <v>0</v>
      </c>
      <c r="H277">
        <v>3</v>
      </c>
      <c r="I277">
        <v>1</v>
      </c>
      <c r="J277">
        <v>0.12</v>
      </c>
      <c r="K277">
        <v>0.13639999999999999</v>
      </c>
      <c r="L277">
        <v>0.39</v>
      </c>
      <c r="M277">
        <v>0.16420000000000001</v>
      </c>
      <c r="N277">
        <v>4</v>
      </c>
      <c r="O277">
        <v>119</v>
      </c>
      <c r="P277">
        <v>123</v>
      </c>
    </row>
    <row r="278" spans="1:16" x14ac:dyDescent="0.3">
      <c r="A278">
        <v>887</v>
      </c>
      <c r="B278" s="1">
        <v>40583</v>
      </c>
      <c r="C278">
        <v>1</v>
      </c>
      <c r="D278">
        <v>0</v>
      </c>
      <c r="E278">
        <v>2</v>
      </c>
      <c r="F278">
        <v>10</v>
      </c>
      <c r="G278" t="b">
        <v>0</v>
      </c>
      <c r="H278">
        <v>3</v>
      </c>
      <c r="I278">
        <v>1</v>
      </c>
      <c r="J278">
        <v>0.14000000000000001</v>
      </c>
      <c r="K278">
        <v>0.18179999999999999</v>
      </c>
      <c r="L278">
        <v>0.36</v>
      </c>
      <c r="M278">
        <v>0</v>
      </c>
      <c r="N278">
        <v>8</v>
      </c>
      <c r="O278">
        <v>51</v>
      </c>
      <c r="P278">
        <v>59</v>
      </c>
    </row>
    <row r="279" spans="1:16" x14ac:dyDescent="0.3">
      <c r="A279">
        <v>888</v>
      </c>
      <c r="B279" s="1">
        <v>40583</v>
      </c>
      <c r="C279">
        <v>1</v>
      </c>
      <c r="D279">
        <v>0</v>
      </c>
      <c r="E279">
        <v>2</v>
      </c>
      <c r="F279">
        <v>11</v>
      </c>
      <c r="G279" t="b">
        <v>0</v>
      </c>
      <c r="H279">
        <v>3</v>
      </c>
      <c r="I279">
        <v>2</v>
      </c>
      <c r="J279">
        <v>0.14000000000000001</v>
      </c>
      <c r="K279">
        <v>0.1515</v>
      </c>
      <c r="L279">
        <v>0.43</v>
      </c>
      <c r="M279">
        <v>0.16420000000000001</v>
      </c>
      <c r="N279">
        <v>1</v>
      </c>
      <c r="O279">
        <v>40</v>
      </c>
      <c r="P279">
        <v>41</v>
      </c>
    </row>
    <row r="280" spans="1:16" x14ac:dyDescent="0.3">
      <c r="A280">
        <v>889</v>
      </c>
      <c r="B280" s="1">
        <v>40583</v>
      </c>
      <c r="C280">
        <v>1</v>
      </c>
      <c r="D280">
        <v>0</v>
      </c>
      <c r="E280">
        <v>2</v>
      </c>
      <c r="F280">
        <v>12</v>
      </c>
      <c r="G280" t="b">
        <v>0</v>
      </c>
      <c r="H280">
        <v>3</v>
      </c>
      <c r="I280">
        <v>2</v>
      </c>
      <c r="J280">
        <v>0.18</v>
      </c>
      <c r="K280">
        <v>0.18179999999999999</v>
      </c>
      <c r="L280">
        <v>0.4</v>
      </c>
      <c r="M280">
        <v>0.22389999999999999</v>
      </c>
      <c r="N280">
        <v>4</v>
      </c>
      <c r="O280">
        <v>57</v>
      </c>
      <c r="P280">
        <v>61</v>
      </c>
    </row>
    <row r="281" spans="1:16" x14ac:dyDescent="0.3">
      <c r="A281">
        <v>890</v>
      </c>
      <c r="B281" s="1">
        <v>40583</v>
      </c>
      <c r="C281">
        <v>1</v>
      </c>
      <c r="D281">
        <v>0</v>
      </c>
      <c r="E281">
        <v>2</v>
      </c>
      <c r="F281">
        <v>13</v>
      </c>
      <c r="G281" t="b">
        <v>0</v>
      </c>
      <c r="H281">
        <v>3</v>
      </c>
      <c r="I281">
        <v>1</v>
      </c>
      <c r="J281">
        <v>0.18</v>
      </c>
      <c r="K281">
        <v>0.16669999999999999</v>
      </c>
      <c r="L281">
        <v>0.4</v>
      </c>
      <c r="M281">
        <v>0.25369999999999998</v>
      </c>
      <c r="N281">
        <v>2</v>
      </c>
      <c r="O281">
        <v>67</v>
      </c>
      <c r="P281">
        <v>69</v>
      </c>
    </row>
    <row r="282" spans="1:16" x14ac:dyDescent="0.3">
      <c r="A282">
        <v>891</v>
      </c>
      <c r="B282" s="1">
        <v>40583</v>
      </c>
      <c r="C282">
        <v>1</v>
      </c>
      <c r="D282">
        <v>0</v>
      </c>
      <c r="E282">
        <v>2</v>
      </c>
      <c r="F282">
        <v>14</v>
      </c>
      <c r="G282" t="b">
        <v>0</v>
      </c>
      <c r="H282">
        <v>3</v>
      </c>
      <c r="I282">
        <v>1</v>
      </c>
      <c r="J282">
        <v>0.2</v>
      </c>
      <c r="K282">
        <v>0.18179999999999999</v>
      </c>
      <c r="L282">
        <v>0.34</v>
      </c>
      <c r="M282">
        <v>0.29849999999999999</v>
      </c>
      <c r="N282">
        <v>2</v>
      </c>
      <c r="O282">
        <v>56</v>
      </c>
      <c r="P282">
        <v>58</v>
      </c>
    </row>
    <row r="283" spans="1:16" x14ac:dyDescent="0.3">
      <c r="A283">
        <v>892</v>
      </c>
      <c r="B283" s="1">
        <v>40583</v>
      </c>
      <c r="C283">
        <v>1</v>
      </c>
      <c r="D283">
        <v>0</v>
      </c>
      <c r="E283">
        <v>2</v>
      </c>
      <c r="F283">
        <v>15</v>
      </c>
      <c r="G283" t="b">
        <v>0</v>
      </c>
      <c r="H283">
        <v>3</v>
      </c>
      <c r="I283">
        <v>2</v>
      </c>
      <c r="J283">
        <v>0.2</v>
      </c>
      <c r="K283">
        <v>0.18179999999999999</v>
      </c>
      <c r="L283">
        <v>0.34</v>
      </c>
      <c r="M283">
        <v>0.28360000000000002</v>
      </c>
      <c r="N283">
        <v>3</v>
      </c>
      <c r="O283">
        <v>61</v>
      </c>
      <c r="P283">
        <v>64</v>
      </c>
    </row>
    <row r="284" spans="1:16" x14ac:dyDescent="0.3">
      <c r="A284">
        <v>893</v>
      </c>
      <c r="B284" s="1">
        <v>40583</v>
      </c>
      <c r="C284">
        <v>1</v>
      </c>
      <c r="D284">
        <v>0</v>
      </c>
      <c r="E284">
        <v>2</v>
      </c>
      <c r="F284">
        <v>16</v>
      </c>
      <c r="G284" t="b">
        <v>0</v>
      </c>
      <c r="H284">
        <v>3</v>
      </c>
      <c r="I284">
        <v>2</v>
      </c>
      <c r="J284">
        <v>0.2</v>
      </c>
      <c r="K284">
        <v>0.19700000000000001</v>
      </c>
      <c r="L284">
        <v>0.37</v>
      </c>
      <c r="M284">
        <v>0.25369999999999998</v>
      </c>
      <c r="N284">
        <v>7</v>
      </c>
      <c r="O284">
        <v>72</v>
      </c>
      <c r="P284">
        <v>79</v>
      </c>
    </row>
    <row r="285" spans="1:16" x14ac:dyDescent="0.3">
      <c r="A285">
        <v>894</v>
      </c>
      <c r="B285" s="1">
        <v>40583</v>
      </c>
      <c r="C285">
        <v>1</v>
      </c>
      <c r="D285">
        <v>0</v>
      </c>
      <c r="E285">
        <v>2</v>
      </c>
      <c r="F285">
        <v>17</v>
      </c>
      <c r="G285" t="b">
        <v>0</v>
      </c>
      <c r="H285">
        <v>3</v>
      </c>
      <c r="I285">
        <v>2</v>
      </c>
      <c r="J285">
        <v>0.2</v>
      </c>
      <c r="K285">
        <v>0.19700000000000001</v>
      </c>
      <c r="L285">
        <v>0.34</v>
      </c>
      <c r="M285">
        <v>0.25369999999999998</v>
      </c>
      <c r="N285">
        <v>9</v>
      </c>
      <c r="O285">
        <v>157</v>
      </c>
      <c r="P285">
        <v>166</v>
      </c>
    </row>
    <row r="286" spans="1:16" x14ac:dyDescent="0.3">
      <c r="A286">
        <v>895</v>
      </c>
      <c r="B286" s="1">
        <v>40583</v>
      </c>
      <c r="C286">
        <v>1</v>
      </c>
      <c r="D286">
        <v>0</v>
      </c>
      <c r="E286">
        <v>2</v>
      </c>
      <c r="F286">
        <v>18</v>
      </c>
      <c r="G286" t="b">
        <v>0</v>
      </c>
      <c r="H286">
        <v>3</v>
      </c>
      <c r="I286">
        <v>2</v>
      </c>
      <c r="J286">
        <v>0.18</v>
      </c>
      <c r="K286">
        <v>0.16669999999999999</v>
      </c>
      <c r="L286">
        <v>0.47</v>
      </c>
      <c r="M286">
        <v>0.29849999999999999</v>
      </c>
      <c r="N286">
        <v>2</v>
      </c>
      <c r="O286">
        <v>168</v>
      </c>
      <c r="P286">
        <v>170</v>
      </c>
    </row>
    <row r="287" spans="1:16" x14ac:dyDescent="0.3">
      <c r="A287">
        <v>896</v>
      </c>
      <c r="B287" s="1">
        <v>40583</v>
      </c>
      <c r="C287">
        <v>1</v>
      </c>
      <c r="D287">
        <v>0</v>
      </c>
      <c r="E287">
        <v>2</v>
      </c>
      <c r="F287">
        <v>19</v>
      </c>
      <c r="G287" t="b">
        <v>0</v>
      </c>
      <c r="H287">
        <v>3</v>
      </c>
      <c r="I287">
        <v>3</v>
      </c>
      <c r="J287">
        <v>0.14000000000000001</v>
      </c>
      <c r="K287">
        <v>0.1212</v>
      </c>
      <c r="L287">
        <v>0.86</v>
      </c>
      <c r="M287">
        <v>0.25369999999999998</v>
      </c>
      <c r="N287">
        <v>1</v>
      </c>
      <c r="O287">
        <v>87</v>
      </c>
      <c r="P287">
        <v>88</v>
      </c>
    </row>
    <row r="288" spans="1:16" x14ac:dyDescent="0.3">
      <c r="A288">
        <v>897</v>
      </c>
      <c r="B288" s="1">
        <v>40583</v>
      </c>
      <c r="C288">
        <v>1</v>
      </c>
      <c r="D288">
        <v>0</v>
      </c>
      <c r="E288">
        <v>2</v>
      </c>
      <c r="F288">
        <v>20</v>
      </c>
      <c r="G288" t="b">
        <v>0</v>
      </c>
      <c r="H288">
        <v>3</v>
      </c>
      <c r="I288">
        <v>3</v>
      </c>
      <c r="J288">
        <v>0.14000000000000001</v>
      </c>
      <c r="K288">
        <v>0.1515</v>
      </c>
      <c r="L288">
        <v>0.86</v>
      </c>
      <c r="M288">
        <v>0.16420000000000001</v>
      </c>
      <c r="N288">
        <v>0</v>
      </c>
      <c r="O288">
        <v>84</v>
      </c>
      <c r="P288">
        <v>84</v>
      </c>
    </row>
    <row r="289" spans="1:16" x14ac:dyDescent="0.3">
      <c r="A289">
        <v>898</v>
      </c>
      <c r="B289" s="1">
        <v>40583</v>
      </c>
      <c r="C289">
        <v>1</v>
      </c>
      <c r="D289">
        <v>0</v>
      </c>
      <c r="E289">
        <v>2</v>
      </c>
      <c r="F289">
        <v>21</v>
      </c>
      <c r="G289" t="b">
        <v>0</v>
      </c>
      <c r="H289">
        <v>3</v>
      </c>
      <c r="I289">
        <v>2</v>
      </c>
      <c r="J289">
        <v>0.14000000000000001</v>
      </c>
      <c r="K289">
        <v>0.1515</v>
      </c>
      <c r="L289">
        <v>0.86</v>
      </c>
      <c r="M289">
        <v>0.16420000000000001</v>
      </c>
      <c r="N289">
        <v>0</v>
      </c>
      <c r="O289">
        <v>83</v>
      </c>
      <c r="P289">
        <v>83</v>
      </c>
    </row>
    <row r="290" spans="1:16" x14ac:dyDescent="0.3">
      <c r="A290">
        <v>899</v>
      </c>
      <c r="B290" s="1">
        <v>40583</v>
      </c>
      <c r="C290">
        <v>1</v>
      </c>
      <c r="D290">
        <v>0</v>
      </c>
      <c r="E290">
        <v>2</v>
      </c>
      <c r="F290">
        <v>22</v>
      </c>
      <c r="G290" t="b">
        <v>0</v>
      </c>
      <c r="H290">
        <v>3</v>
      </c>
      <c r="I290">
        <v>3</v>
      </c>
      <c r="J290">
        <v>0.16</v>
      </c>
      <c r="K290">
        <v>0.16669999999999999</v>
      </c>
      <c r="L290">
        <v>0.8</v>
      </c>
      <c r="M290">
        <v>0.16420000000000001</v>
      </c>
      <c r="N290">
        <v>4</v>
      </c>
      <c r="O290">
        <v>42</v>
      </c>
      <c r="P290">
        <v>46</v>
      </c>
    </row>
    <row r="291" spans="1:16" x14ac:dyDescent="0.3">
      <c r="A291">
        <v>900</v>
      </c>
      <c r="B291" s="1">
        <v>40583</v>
      </c>
      <c r="C291">
        <v>1</v>
      </c>
      <c r="D291">
        <v>0</v>
      </c>
      <c r="E291">
        <v>2</v>
      </c>
      <c r="F291">
        <v>23</v>
      </c>
      <c r="G291" t="b">
        <v>0</v>
      </c>
      <c r="H291">
        <v>3</v>
      </c>
      <c r="I291">
        <v>3</v>
      </c>
      <c r="J291">
        <v>0.16</v>
      </c>
      <c r="K291">
        <v>0.1515</v>
      </c>
      <c r="L291">
        <v>0.8</v>
      </c>
      <c r="M291">
        <v>0.19400000000000001</v>
      </c>
      <c r="N291">
        <v>0</v>
      </c>
      <c r="O291">
        <v>37</v>
      </c>
      <c r="P291">
        <v>37</v>
      </c>
    </row>
    <row r="292" spans="1:16" x14ac:dyDescent="0.3">
      <c r="A292">
        <v>901</v>
      </c>
      <c r="B292" s="1">
        <v>40584</v>
      </c>
      <c r="C292">
        <v>1</v>
      </c>
      <c r="D292">
        <v>0</v>
      </c>
      <c r="E292">
        <v>2</v>
      </c>
      <c r="F292">
        <v>0</v>
      </c>
      <c r="G292" t="b">
        <v>0</v>
      </c>
      <c r="H292">
        <v>4</v>
      </c>
      <c r="I292">
        <v>3</v>
      </c>
      <c r="J292">
        <v>0.14000000000000001</v>
      </c>
      <c r="K292">
        <v>0.13639999999999999</v>
      </c>
      <c r="L292">
        <v>0.86</v>
      </c>
      <c r="M292">
        <v>0.19400000000000001</v>
      </c>
      <c r="N292">
        <v>0</v>
      </c>
      <c r="O292">
        <v>16</v>
      </c>
      <c r="P292">
        <v>16</v>
      </c>
    </row>
    <row r="293" spans="1:16" x14ac:dyDescent="0.3">
      <c r="A293">
        <v>902</v>
      </c>
      <c r="B293" s="1">
        <v>40584</v>
      </c>
      <c r="C293">
        <v>1</v>
      </c>
      <c r="D293">
        <v>0</v>
      </c>
      <c r="E293">
        <v>2</v>
      </c>
      <c r="F293">
        <v>1</v>
      </c>
      <c r="G293" t="b">
        <v>0</v>
      </c>
      <c r="H293">
        <v>4</v>
      </c>
      <c r="I293">
        <v>3</v>
      </c>
      <c r="J293">
        <v>0.14000000000000001</v>
      </c>
      <c r="K293">
        <v>0.1515</v>
      </c>
      <c r="L293">
        <v>0.8</v>
      </c>
      <c r="M293">
        <v>0.1343</v>
      </c>
      <c r="N293">
        <v>0</v>
      </c>
      <c r="O293">
        <v>7</v>
      </c>
      <c r="P293">
        <v>7</v>
      </c>
    </row>
    <row r="294" spans="1:16" x14ac:dyDescent="0.3">
      <c r="A294">
        <v>903</v>
      </c>
      <c r="B294" s="1">
        <v>40584</v>
      </c>
      <c r="C294">
        <v>1</v>
      </c>
      <c r="D294">
        <v>0</v>
      </c>
      <c r="E294">
        <v>2</v>
      </c>
      <c r="F294">
        <v>2</v>
      </c>
      <c r="G294" t="b">
        <v>0</v>
      </c>
      <c r="H294">
        <v>4</v>
      </c>
      <c r="I294">
        <v>3</v>
      </c>
      <c r="J294">
        <v>0.14000000000000001</v>
      </c>
      <c r="K294">
        <v>0.1515</v>
      </c>
      <c r="L294">
        <v>0.8</v>
      </c>
      <c r="M294">
        <v>0.1343</v>
      </c>
      <c r="N294">
        <v>0</v>
      </c>
      <c r="O294">
        <v>3</v>
      </c>
      <c r="P294">
        <v>3</v>
      </c>
    </row>
    <row r="295" spans="1:16" x14ac:dyDescent="0.3">
      <c r="A295">
        <v>904</v>
      </c>
      <c r="B295" s="1">
        <v>40584</v>
      </c>
      <c r="C295">
        <v>1</v>
      </c>
      <c r="D295">
        <v>0</v>
      </c>
      <c r="E295">
        <v>2</v>
      </c>
      <c r="F295">
        <v>4</v>
      </c>
      <c r="G295" t="b">
        <v>0</v>
      </c>
      <c r="H295">
        <v>4</v>
      </c>
      <c r="I295">
        <v>2</v>
      </c>
      <c r="J295">
        <v>0.14000000000000001</v>
      </c>
      <c r="K295">
        <v>0.13639999999999999</v>
      </c>
      <c r="L295">
        <v>0.59</v>
      </c>
      <c r="M295">
        <v>0.22389999999999999</v>
      </c>
      <c r="N295">
        <v>0</v>
      </c>
      <c r="O295">
        <v>1</v>
      </c>
      <c r="P295">
        <v>1</v>
      </c>
    </row>
    <row r="296" spans="1:16" x14ac:dyDescent="0.3">
      <c r="A296">
        <v>905</v>
      </c>
      <c r="B296" s="1">
        <v>40584</v>
      </c>
      <c r="C296">
        <v>1</v>
      </c>
      <c r="D296">
        <v>0</v>
      </c>
      <c r="E296">
        <v>2</v>
      </c>
      <c r="F296">
        <v>5</v>
      </c>
      <c r="G296" t="b">
        <v>0</v>
      </c>
      <c r="H296">
        <v>4</v>
      </c>
      <c r="I296">
        <v>2</v>
      </c>
      <c r="J296">
        <v>0.12</v>
      </c>
      <c r="K296">
        <v>0.1212</v>
      </c>
      <c r="L296">
        <v>0.5</v>
      </c>
      <c r="M296">
        <v>0.22389999999999999</v>
      </c>
      <c r="N296">
        <v>0</v>
      </c>
      <c r="O296">
        <v>6</v>
      </c>
      <c r="P296">
        <v>6</v>
      </c>
    </row>
    <row r="297" spans="1:16" x14ac:dyDescent="0.3">
      <c r="A297">
        <v>906</v>
      </c>
      <c r="B297" s="1">
        <v>40584</v>
      </c>
      <c r="C297">
        <v>1</v>
      </c>
      <c r="D297">
        <v>0</v>
      </c>
      <c r="E297">
        <v>2</v>
      </c>
      <c r="F297">
        <v>6</v>
      </c>
      <c r="G297" t="b">
        <v>0</v>
      </c>
      <c r="H297">
        <v>4</v>
      </c>
      <c r="I297">
        <v>2</v>
      </c>
      <c r="J297">
        <v>0.12</v>
      </c>
      <c r="K297">
        <v>0.1212</v>
      </c>
      <c r="L297">
        <v>0.54</v>
      </c>
      <c r="M297">
        <v>0.28360000000000002</v>
      </c>
      <c r="N297">
        <v>0</v>
      </c>
      <c r="O297">
        <v>26</v>
      </c>
      <c r="P297">
        <v>26</v>
      </c>
    </row>
    <row r="298" spans="1:16" x14ac:dyDescent="0.3">
      <c r="A298">
        <v>907</v>
      </c>
      <c r="B298" s="1">
        <v>40584</v>
      </c>
      <c r="C298">
        <v>1</v>
      </c>
      <c r="D298">
        <v>0</v>
      </c>
      <c r="E298">
        <v>2</v>
      </c>
      <c r="F298">
        <v>7</v>
      </c>
      <c r="G298" t="b">
        <v>0</v>
      </c>
      <c r="H298">
        <v>4</v>
      </c>
      <c r="I298">
        <v>1</v>
      </c>
      <c r="J298">
        <v>0.1</v>
      </c>
      <c r="K298">
        <v>7.5800000000000006E-2</v>
      </c>
      <c r="L298">
        <v>0.5</v>
      </c>
      <c r="M298">
        <v>0.41789999999999999</v>
      </c>
      <c r="N298">
        <v>0</v>
      </c>
      <c r="O298">
        <v>99</v>
      </c>
      <c r="P298">
        <v>99</v>
      </c>
    </row>
    <row r="299" spans="1:16" x14ac:dyDescent="0.3">
      <c r="A299">
        <v>908</v>
      </c>
      <c r="B299" s="1">
        <v>40584</v>
      </c>
      <c r="C299">
        <v>1</v>
      </c>
      <c r="D299">
        <v>0</v>
      </c>
      <c r="E299">
        <v>2</v>
      </c>
      <c r="F299">
        <v>8</v>
      </c>
      <c r="G299" t="b">
        <v>0</v>
      </c>
      <c r="H299">
        <v>4</v>
      </c>
      <c r="I299">
        <v>1</v>
      </c>
      <c r="J299">
        <v>0.1</v>
      </c>
      <c r="K299">
        <v>7.5800000000000006E-2</v>
      </c>
      <c r="L299">
        <v>0.49</v>
      </c>
      <c r="M299">
        <v>0.32840000000000003</v>
      </c>
      <c r="N299">
        <v>5</v>
      </c>
      <c r="O299">
        <v>173</v>
      </c>
      <c r="P299">
        <v>178</v>
      </c>
    </row>
    <row r="300" spans="1:16" x14ac:dyDescent="0.3">
      <c r="A300">
        <v>909</v>
      </c>
      <c r="B300" s="1">
        <v>40584</v>
      </c>
      <c r="C300">
        <v>1</v>
      </c>
      <c r="D300">
        <v>0</v>
      </c>
      <c r="E300">
        <v>2</v>
      </c>
      <c r="F300">
        <v>9</v>
      </c>
      <c r="G300" t="b">
        <v>0</v>
      </c>
      <c r="H300">
        <v>4</v>
      </c>
      <c r="I300">
        <v>1</v>
      </c>
      <c r="J300">
        <v>0.12</v>
      </c>
      <c r="K300">
        <v>0.1061</v>
      </c>
      <c r="L300">
        <v>0.42</v>
      </c>
      <c r="M300">
        <v>0.35820000000000002</v>
      </c>
      <c r="N300">
        <v>1</v>
      </c>
      <c r="O300">
        <v>121</v>
      </c>
      <c r="P300">
        <v>122</v>
      </c>
    </row>
    <row r="301" spans="1:16" x14ac:dyDescent="0.3">
      <c r="A301">
        <v>910</v>
      </c>
      <c r="B301" s="1">
        <v>40584</v>
      </c>
      <c r="C301">
        <v>1</v>
      </c>
      <c r="D301">
        <v>0</v>
      </c>
      <c r="E301">
        <v>2</v>
      </c>
      <c r="F301">
        <v>10</v>
      </c>
      <c r="G301" t="b">
        <v>0</v>
      </c>
      <c r="H301">
        <v>4</v>
      </c>
      <c r="I301">
        <v>1</v>
      </c>
      <c r="J301">
        <v>0.12</v>
      </c>
      <c r="K301">
        <v>0.1061</v>
      </c>
      <c r="L301">
        <v>0.42</v>
      </c>
      <c r="M301">
        <v>0.29849999999999999</v>
      </c>
      <c r="N301">
        <v>1</v>
      </c>
      <c r="O301">
        <v>34</v>
      </c>
      <c r="P301">
        <v>35</v>
      </c>
    </row>
    <row r="302" spans="1:16" x14ac:dyDescent="0.3">
      <c r="A302">
        <v>911</v>
      </c>
      <c r="B302" s="1">
        <v>40584</v>
      </c>
      <c r="C302">
        <v>1</v>
      </c>
      <c r="D302">
        <v>0</v>
      </c>
      <c r="E302">
        <v>2</v>
      </c>
      <c r="F302">
        <v>11</v>
      </c>
      <c r="G302" t="b">
        <v>0</v>
      </c>
      <c r="H302">
        <v>4</v>
      </c>
      <c r="I302">
        <v>1</v>
      </c>
      <c r="J302">
        <v>0.14000000000000001</v>
      </c>
      <c r="K302">
        <v>0.1212</v>
      </c>
      <c r="L302">
        <v>0.39</v>
      </c>
      <c r="M302">
        <v>0.35820000000000002</v>
      </c>
      <c r="N302">
        <v>1</v>
      </c>
      <c r="O302">
        <v>44</v>
      </c>
      <c r="P302">
        <v>45</v>
      </c>
    </row>
    <row r="303" spans="1:16" x14ac:dyDescent="0.3">
      <c r="A303">
        <v>912</v>
      </c>
      <c r="B303" s="1">
        <v>40584</v>
      </c>
      <c r="C303">
        <v>1</v>
      </c>
      <c r="D303">
        <v>0</v>
      </c>
      <c r="E303">
        <v>2</v>
      </c>
      <c r="F303">
        <v>12</v>
      </c>
      <c r="G303" t="b">
        <v>0</v>
      </c>
      <c r="H303">
        <v>4</v>
      </c>
      <c r="I303">
        <v>1</v>
      </c>
      <c r="J303">
        <v>0.16</v>
      </c>
      <c r="K303">
        <v>0.13639999999999999</v>
      </c>
      <c r="L303">
        <v>0.34</v>
      </c>
      <c r="M303">
        <v>0.3881</v>
      </c>
      <c r="N303">
        <v>4</v>
      </c>
      <c r="O303">
        <v>65</v>
      </c>
      <c r="P303">
        <v>69</v>
      </c>
    </row>
    <row r="304" spans="1:16" x14ac:dyDescent="0.3">
      <c r="A304">
        <v>913</v>
      </c>
      <c r="B304" s="1">
        <v>40584</v>
      </c>
      <c r="C304">
        <v>1</v>
      </c>
      <c r="D304">
        <v>0</v>
      </c>
      <c r="E304">
        <v>2</v>
      </c>
      <c r="F304">
        <v>13</v>
      </c>
      <c r="G304" t="b">
        <v>0</v>
      </c>
      <c r="H304">
        <v>4</v>
      </c>
      <c r="I304">
        <v>1</v>
      </c>
      <c r="J304">
        <v>0.18</v>
      </c>
      <c r="K304">
        <v>0.16669999999999999</v>
      </c>
      <c r="L304">
        <v>0.28999999999999998</v>
      </c>
      <c r="M304">
        <v>0.29849999999999999</v>
      </c>
      <c r="N304">
        <v>3</v>
      </c>
      <c r="O304">
        <v>59</v>
      </c>
      <c r="P304">
        <v>62</v>
      </c>
    </row>
    <row r="305" spans="1:16" x14ac:dyDescent="0.3">
      <c r="A305">
        <v>914</v>
      </c>
      <c r="B305" s="1">
        <v>40584</v>
      </c>
      <c r="C305">
        <v>1</v>
      </c>
      <c r="D305">
        <v>0</v>
      </c>
      <c r="E305">
        <v>2</v>
      </c>
      <c r="F305">
        <v>14</v>
      </c>
      <c r="G305" t="b">
        <v>0</v>
      </c>
      <c r="H305">
        <v>4</v>
      </c>
      <c r="I305">
        <v>1</v>
      </c>
      <c r="J305">
        <v>0.2</v>
      </c>
      <c r="K305">
        <v>0.18179999999999999</v>
      </c>
      <c r="L305">
        <v>0.27</v>
      </c>
      <c r="M305">
        <v>0.28360000000000002</v>
      </c>
      <c r="N305">
        <v>6</v>
      </c>
      <c r="O305">
        <v>42</v>
      </c>
      <c r="P305">
        <v>48</v>
      </c>
    </row>
    <row r="306" spans="1:16" x14ac:dyDescent="0.3">
      <c r="A306">
        <v>915</v>
      </c>
      <c r="B306" s="1">
        <v>40584</v>
      </c>
      <c r="C306">
        <v>1</v>
      </c>
      <c r="D306">
        <v>0</v>
      </c>
      <c r="E306">
        <v>2</v>
      </c>
      <c r="F306">
        <v>15</v>
      </c>
      <c r="G306" t="b">
        <v>0</v>
      </c>
      <c r="H306">
        <v>4</v>
      </c>
      <c r="I306">
        <v>1</v>
      </c>
      <c r="J306">
        <v>0.2</v>
      </c>
      <c r="K306">
        <v>0.19700000000000001</v>
      </c>
      <c r="L306">
        <v>0.25</v>
      </c>
      <c r="M306">
        <v>0.25369999999999998</v>
      </c>
      <c r="N306">
        <v>0</v>
      </c>
      <c r="O306">
        <v>50</v>
      </c>
      <c r="P306">
        <v>50</v>
      </c>
    </row>
    <row r="307" spans="1:16" x14ac:dyDescent="0.3">
      <c r="A307">
        <v>916</v>
      </c>
      <c r="B307" s="1">
        <v>40584</v>
      </c>
      <c r="C307">
        <v>1</v>
      </c>
      <c r="D307">
        <v>0</v>
      </c>
      <c r="E307">
        <v>2</v>
      </c>
      <c r="F307">
        <v>16</v>
      </c>
      <c r="G307" t="b">
        <v>0</v>
      </c>
      <c r="H307">
        <v>4</v>
      </c>
      <c r="I307">
        <v>1</v>
      </c>
      <c r="J307">
        <v>0.2</v>
      </c>
      <c r="K307">
        <v>0.18179999999999999</v>
      </c>
      <c r="L307">
        <v>0.27</v>
      </c>
      <c r="M307">
        <v>0.29849999999999999</v>
      </c>
      <c r="N307">
        <v>4</v>
      </c>
      <c r="O307">
        <v>76</v>
      </c>
      <c r="P307">
        <v>80</v>
      </c>
    </row>
    <row r="308" spans="1:16" x14ac:dyDescent="0.3">
      <c r="A308">
        <v>917</v>
      </c>
      <c r="B308" s="1">
        <v>40584</v>
      </c>
      <c r="C308">
        <v>1</v>
      </c>
      <c r="D308">
        <v>0</v>
      </c>
      <c r="E308">
        <v>2</v>
      </c>
      <c r="F308">
        <v>17</v>
      </c>
      <c r="G308" t="b">
        <v>0</v>
      </c>
      <c r="H308">
        <v>4</v>
      </c>
      <c r="I308">
        <v>1</v>
      </c>
      <c r="J308">
        <v>0.18</v>
      </c>
      <c r="K308">
        <v>0.18179999999999999</v>
      </c>
      <c r="L308">
        <v>0.26</v>
      </c>
      <c r="M308">
        <v>0.19400000000000001</v>
      </c>
      <c r="N308">
        <v>6</v>
      </c>
      <c r="O308">
        <v>159</v>
      </c>
      <c r="P308">
        <v>165</v>
      </c>
    </row>
    <row r="309" spans="1:16" x14ac:dyDescent="0.3">
      <c r="A309">
        <v>918</v>
      </c>
      <c r="B309" s="1">
        <v>40584</v>
      </c>
      <c r="C309">
        <v>1</v>
      </c>
      <c r="D309">
        <v>0</v>
      </c>
      <c r="E309">
        <v>2</v>
      </c>
      <c r="F309">
        <v>18</v>
      </c>
      <c r="G309" t="b">
        <v>0</v>
      </c>
      <c r="H309">
        <v>4</v>
      </c>
      <c r="I309">
        <v>1</v>
      </c>
      <c r="J309">
        <v>0.16</v>
      </c>
      <c r="K309">
        <v>0.18179999999999999</v>
      </c>
      <c r="L309">
        <v>0.28000000000000003</v>
      </c>
      <c r="M309">
        <v>0.1343</v>
      </c>
      <c r="N309">
        <v>3</v>
      </c>
      <c r="O309">
        <v>157</v>
      </c>
      <c r="P309">
        <v>160</v>
      </c>
    </row>
    <row r="310" spans="1:16" x14ac:dyDescent="0.3">
      <c r="A310">
        <v>919</v>
      </c>
      <c r="B310" s="1">
        <v>40584</v>
      </c>
      <c r="C310">
        <v>1</v>
      </c>
      <c r="D310">
        <v>0</v>
      </c>
      <c r="E310">
        <v>2</v>
      </c>
      <c r="F310">
        <v>19</v>
      </c>
      <c r="G310" t="b">
        <v>0</v>
      </c>
      <c r="H310">
        <v>4</v>
      </c>
      <c r="I310">
        <v>1</v>
      </c>
      <c r="J310">
        <v>0.14000000000000001</v>
      </c>
      <c r="K310">
        <v>0.16669999999999999</v>
      </c>
      <c r="L310">
        <v>0.28000000000000003</v>
      </c>
      <c r="M310">
        <v>0.1045</v>
      </c>
      <c r="N310">
        <v>2</v>
      </c>
      <c r="O310">
        <v>110</v>
      </c>
      <c r="P310">
        <v>112</v>
      </c>
    </row>
    <row r="311" spans="1:16" x14ac:dyDescent="0.3">
      <c r="A311">
        <v>920</v>
      </c>
      <c r="B311" s="1">
        <v>40584</v>
      </c>
      <c r="C311">
        <v>1</v>
      </c>
      <c r="D311">
        <v>0</v>
      </c>
      <c r="E311">
        <v>2</v>
      </c>
      <c r="F311">
        <v>20</v>
      </c>
      <c r="G311" t="b">
        <v>0</v>
      </c>
      <c r="H311">
        <v>4</v>
      </c>
      <c r="I311">
        <v>1</v>
      </c>
      <c r="J311">
        <v>0.14000000000000001</v>
      </c>
      <c r="K311">
        <v>0.18179999999999999</v>
      </c>
      <c r="L311">
        <v>0.31</v>
      </c>
      <c r="M311">
        <v>8.9599999999999999E-2</v>
      </c>
      <c r="N311">
        <v>4</v>
      </c>
      <c r="O311">
        <v>93</v>
      </c>
      <c r="P311">
        <v>97</v>
      </c>
    </row>
    <row r="312" spans="1:16" x14ac:dyDescent="0.3">
      <c r="A312">
        <v>921</v>
      </c>
      <c r="B312" s="1">
        <v>40584</v>
      </c>
      <c r="C312">
        <v>1</v>
      </c>
      <c r="D312">
        <v>0</v>
      </c>
      <c r="E312">
        <v>2</v>
      </c>
      <c r="F312">
        <v>21</v>
      </c>
      <c r="G312" t="b">
        <v>0</v>
      </c>
      <c r="H312">
        <v>4</v>
      </c>
      <c r="I312">
        <v>1</v>
      </c>
      <c r="J312">
        <v>0.14000000000000001</v>
      </c>
      <c r="K312">
        <v>0.21210000000000001</v>
      </c>
      <c r="L312">
        <v>0.39</v>
      </c>
      <c r="M312">
        <v>0</v>
      </c>
      <c r="N312">
        <v>2</v>
      </c>
      <c r="O312">
        <v>70</v>
      </c>
      <c r="P312">
        <v>72</v>
      </c>
    </row>
    <row r="313" spans="1:16" x14ac:dyDescent="0.3">
      <c r="A313">
        <v>922</v>
      </c>
      <c r="B313" s="1">
        <v>40584</v>
      </c>
      <c r="C313">
        <v>1</v>
      </c>
      <c r="D313">
        <v>0</v>
      </c>
      <c r="E313">
        <v>2</v>
      </c>
      <c r="F313">
        <v>22</v>
      </c>
      <c r="G313" t="b">
        <v>0</v>
      </c>
      <c r="H313">
        <v>4</v>
      </c>
      <c r="I313">
        <v>1</v>
      </c>
      <c r="J313">
        <v>0.12</v>
      </c>
      <c r="K313">
        <v>0.19700000000000001</v>
      </c>
      <c r="L313">
        <v>0.39</v>
      </c>
      <c r="M313">
        <v>0</v>
      </c>
      <c r="N313">
        <v>4</v>
      </c>
      <c r="O313">
        <v>47</v>
      </c>
      <c r="P313">
        <v>51</v>
      </c>
    </row>
    <row r="314" spans="1:16" x14ac:dyDescent="0.3">
      <c r="A314">
        <v>923</v>
      </c>
      <c r="B314" s="1">
        <v>40584</v>
      </c>
      <c r="C314">
        <v>1</v>
      </c>
      <c r="D314">
        <v>0</v>
      </c>
      <c r="E314">
        <v>2</v>
      </c>
      <c r="F314">
        <v>23</v>
      </c>
      <c r="G314" t="b">
        <v>0</v>
      </c>
      <c r="H314">
        <v>4</v>
      </c>
      <c r="I314">
        <v>1</v>
      </c>
      <c r="J314">
        <v>0.12</v>
      </c>
      <c r="K314">
        <v>0.1515</v>
      </c>
      <c r="L314">
        <v>0.42</v>
      </c>
      <c r="M314">
        <v>0.1045</v>
      </c>
      <c r="N314">
        <v>1</v>
      </c>
      <c r="O314">
        <v>33</v>
      </c>
      <c r="P314">
        <v>34</v>
      </c>
    </row>
    <row r="315" spans="1:16" x14ac:dyDescent="0.3">
      <c r="A315">
        <v>924</v>
      </c>
      <c r="B315" s="1">
        <v>40585</v>
      </c>
      <c r="C315">
        <v>1</v>
      </c>
      <c r="D315">
        <v>0</v>
      </c>
      <c r="E315">
        <v>2</v>
      </c>
      <c r="F315">
        <v>0</v>
      </c>
      <c r="G315" t="b">
        <v>0</v>
      </c>
      <c r="H315">
        <v>5</v>
      </c>
      <c r="I315">
        <v>1</v>
      </c>
      <c r="J315">
        <v>0.1</v>
      </c>
      <c r="K315">
        <v>0.13639999999999999</v>
      </c>
      <c r="L315">
        <v>0.49</v>
      </c>
      <c r="M315">
        <v>0.1045</v>
      </c>
      <c r="N315">
        <v>2</v>
      </c>
      <c r="O315">
        <v>12</v>
      </c>
      <c r="P315">
        <v>14</v>
      </c>
    </row>
    <row r="316" spans="1:16" x14ac:dyDescent="0.3">
      <c r="A316">
        <v>925</v>
      </c>
      <c r="B316" s="1">
        <v>40585</v>
      </c>
      <c r="C316">
        <v>1</v>
      </c>
      <c r="D316">
        <v>0</v>
      </c>
      <c r="E316">
        <v>2</v>
      </c>
      <c r="F316">
        <v>1</v>
      </c>
      <c r="G316" t="b">
        <v>0</v>
      </c>
      <c r="H316">
        <v>5</v>
      </c>
      <c r="I316">
        <v>1</v>
      </c>
      <c r="J316">
        <v>0.1</v>
      </c>
      <c r="K316">
        <v>0.13639999999999999</v>
      </c>
      <c r="L316">
        <v>0.54</v>
      </c>
      <c r="M316">
        <v>8.9599999999999999E-2</v>
      </c>
      <c r="N316">
        <v>1</v>
      </c>
      <c r="O316">
        <v>6</v>
      </c>
      <c r="P316">
        <v>7</v>
      </c>
    </row>
    <row r="317" spans="1:16" x14ac:dyDescent="0.3">
      <c r="A317">
        <v>926</v>
      </c>
      <c r="B317" s="1">
        <v>40585</v>
      </c>
      <c r="C317">
        <v>1</v>
      </c>
      <c r="D317">
        <v>0</v>
      </c>
      <c r="E317">
        <v>2</v>
      </c>
      <c r="F317">
        <v>2</v>
      </c>
      <c r="G317" t="b">
        <v>0</v>
      </c>
      <c r="H317">
        <v>5</v>
      </c>
      <c r="I317">
        <v>1</v>
      </c>
      <c r="J317">
        <v>0.1</v>
      </c>
      <c r="K317">
        <v>0.13639999999999999</v>
      </c>
      <c r="L317">
        <v>0.54</v>
      </c>
      <c r="M317">
        <v>8.9599999999999999E-2</v>
      </c>
      <c r="N317">
        <v>0</v>
      </c>
      <c r="O317">
        <v>3</v>
      </c>
      <c r="P317">
        <v>3</v>
      </c>
    </row>
    <row r="318" spans="1:16" x14ac:dyDescent="0.3">
      <c r="A318">
        <v>927</v>
      </c>
      <c r="B318" s="1">
        <v>40585</v>
      </c>
      <c r="C318">
        <v>1</v>
      </c>
      <c r="D318">
        <v>0</v>
      </c>
      <c r="E318">
        <v>2</v>
      </c>
      <c r="F318">
        <v>5</v>
      </c>
      <c r="G318" t="b">
        <v>0</v>
      </c>
      <c r="H318">
        <v>5</v>
      </c>
      <c r="I318">
        <v>1</v>
      </c>
      <c r="J318">
        <v>0.08</v>
      </c>
      <c r="K318">
        <v>0.1212</v>
      </c>
      <c r="L318">
        <v>0.63</v>
      </c>
      <c r="M318">
        <v>8.9599999999999999E-2</v>
      </c>
      <c r="N318">
        <v>0</v>
      </c>
      <c r="O318">
        <v>4</v>
      </c>
      <c r="P318">
        <v>4</v>
      </c>
    </row>
    <row r="319" spans="1:16" x14ac:dyDescent="0.3">
      <c r="A319">
        <v>928</v>
      </c>
      <c r="B319" s="1">
        <v>40585</v>
      </c>
      <c r="C319">
        <v>1</v>
      </c>
      <c r="D319">
        <v>0</v>
      </c>
      <c r="E319">
        <v>2</v>
      </c>
      <c r="F319">
        <v>6</v>
      </c>
      <c r="G319" t="b">
        <v>0</v>
      </c>
      <c r="H319">
        <v>5</v>
      </c>
      <c r="I319">
        <v>1</v>
      </c>
      <c r="J319">
        <v>0.1</v>
      </c>
      <c r="K319">
        <v>0.18179999999999999</v>
      </c>
      <c r="L319">
        <v>0.68</v>
      </c>
      <c r="M319">
        <v>0</v>
      </c>
      <c r="N319">
        <v>1</v>
      </c>
      <c r="O319">
        <v>23</v>
      </c>
      <c r="P319">
        <v>24</v>
      </c>
    </row>
    <row r="320" spans="1:16" x14ac:dyDescent="0.3">
      <c r="A320">
        <v>929</v>
      </c>
      <c r="B320" s="1">
        <v>40585</v>
      </c>
      <c r="C320">
        <v>1</v>
      </c>
      <c r="D320">
        <v>0</v>
      </c>
      <c r="E320">
        <v>2</v>
      </c>
      <c r="F320">
        <v>7</v>
      </c>
      <c r="G320" t="b">
        <v>0</v>
      </c>
      <c r="H320">
        <v>5</v>
      </c>
      <c r="I320">
        <v>1</v>
      </c>
      <c r="J320">
        <v>0.08</v>
      </c>
      <c r="K320">
        <v>0.16669999999999999</v>
      </c>
      <c r="L320">
        <v>0.73</v>
      </c>
      <c r="M320">
        <v>0</v>
      </c>
      <c r="N320">
        <v>1</v>
      </c>
      <c r="O320">
        <v>73</v>
      </c>
      <c r="P320">
        <v>74</v>
      </c>
    </row>
    <row r="321" spans="1:16" x14ac:dyDescent="0.3">
      <c r="A321">
        <v>930</v>
      </c>
      <c r="B321" s="1">
        <v>40585</v>
      </c>
      <c r="C321">
        <v>1</v>
      </c>
      <c r="D321">
        <v>0</v>
      </c>
      <c r="E321">
        <v>2</v>
      </c>
      <c r="F321">
        <v>8</v>
      </c>
      <c r="G321" t="b">
        <v>0</v>
      </c>
      <c r="H321">
        <v>5</v>
      </c>
      <c r="I321">
        <v>1</v>
      </c>
      <c r="J321">
        <v>0.1</v>
      </c>
      <c r="K321">
        <v>0.1212</v>
      </c>
      <c r="L321">
        <v>0.74</v>
      </c>
      <c r="M321">
        <v>0.16420000000000001</v>
      </c>
      <c r="N321">
        <v>4</v>
      </c>
      <c r="O321">
        <v>212</v>
      </c>
      <c r="P321">
        <v>216</v>
      </c>
    </row>
    <row r="322" spans="1:16" x14ac:dyDescent="0.3">
      <c r="A322">
        <v>931</v>
      </c>
      <c r="B322" s="1">
        <v>40585</v>
      </c>
      <c r="C322">
        <v>1</v>
      </c>
      <c r="D322">
        <v>0</v>
      </c>
      <c r="E322">
        <v>2</v>
      </c>
      <c r="F322">
        <v>9</v>
      </c>
      <c r="G322" t="b">
        <v>0</v>
      </c>
      <c r="H322">
        <v>5</v>
      </c>
      <c r="I322">
        <v>1</v>
      </c>
      <c r="J322">
        <v>0.12</v>
      </c>
      <c r="K322">
        <v>0.1212</v>
      </c>
      <c r="L322">
        <v>0.74</v>
      </c>
      <c r="M322">
        <v>0.22389999999999999</v>
      </c>
      <c r="N322">
        <v>8</v>
      </c>
      <c r="O322">
        <v>132</v>
      </c>
      <c r="P322">
        <v>140</v>
      </c>
    </row>
    <row r="323" spans="1:16" x14ac:dyDescent="0.3">
      <c r="A323">
        <v>932</v>
      </c>
      <c r="B323" s="1">
        <v>40585</v>
      </c>
      <c r="C323">
        <v>1</v>
      </c>
      <c r="D323">
        <v>0</v>
      </c>
      <c r="E323">
        <v>2</v>
      </c>
      <c r="F323">
        <v>10</v>
      </c>
      <c r="G323" t="b">
        <v>0</v>
      </c>
      <c r="H323">
        <v>5</v>
      </c>
      <c r="I323">
        <v>1</v>
      </c>
      <c r="J323">
        <v>0.14000000000000001</v>
      </c>
      <c r="K323">
        <v>0.13639999999999999</v>
      </c>
      <c r="L323">
        <v>0.69</v>
      </c>
      <c r="M323">
        <v>0.19400000000000001</v>
      </c>
      <c r="N323">
        <v>5</v>
      </c>
      <c r="O323">
        <v>39</v>
      </c>
      <c r="P323">
        <v>44</v>
      </c>
    </row>
    <row r="324" spans="1:16" x14ac:dyDescent="0.3">
      <c r="A324">
        <v>933</v>
      </c>
      <c r="B324" s="1">
        <v>40585</v>
      </c>
      <c r="C324">
        <v>1</v>
      </c>
      <c r="D324">
        <v>0</v>
      </c>
      <c r="E324">
        <v>2</v>
      </c>
      <c r="F324">
        <v>11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0.47</v>
      </c>
      <c r="M324">
        <v>0.1343</v>
      </c>
      <c r="N324">
        <v>12</v>
      </c>
      <c r="O324">
        <v>52</v>
      </c>
      <c r="P324">
        <v>64</v>
      </c>
    </row>
    <row r="325" spans="1:16" x14ac:dyDescent="0.3">
      <c r="A325">
        <v>934</v>
      </c>
      <c r="B325" s="1">
        <v>40585</v>
      </c>
      <c r="C325">
        <v>1</v>
      </c>
      <c r="D325">
        <v>0</v>
      </c>
      <c r="E325">
        <v>2</v>
      </c>
      <c r="F325">
        <v>12</v>
      </c>
      <c r="G325" t="b">
        <v>0</v>
      </c>
      <c r="H325">
        <v>5</v>
      </c>
      <c r="I325">
        <v>1</v>
      </c>
      <c r="J325">
        <v>0.22</v>
      </c>
      <c r="K325">
        <v>0.2273</v>
      </c>
      <c r="L325">
        <v>0.47</v>
      </c>
      <c r="M325">
        <v>0.1343</v>
      </c>
      <c r="N325">
        <v>7</v>
      </c>
      <c r="O325">
        <v>64</v>
      </c>
      <c r="P325">
        <v>71</v>
      </c>
    </row>
    <row r="326" spans="1:16" x14ac:dyDescent="0.3">
      <c r="A326">
        <v>935</v>
      </c>
      <c r="B326" s="1">
        <v>40585</v>
      </c>
      <c r="C326">
        <v>1</v>
      </c>
      <c r="D326">
        <v>0</v>
      </c>
      <c r="E326">
        <v>2</v>
      </c>
      <c r="F326">
        <v>13</v>
      </c>
      <c r="G326" t="b">
        <v>0</v>
      </c>
      <c r="H326">
        <v>5</v>
      </c>
      <c r="I326">
        <v>1</v>
      </c>
      <c r="J326">
        <v>0.24</v>
      </c>
      <c r="K326">
        <v>0.2273</v>
      </c>
      <c r="L326">
        <v>0.35</v>
      </c>
      <c r="M326">
        <v>0.19400000000000001</v>
      </c>
      <c r="N326">
        <v>21</v>
      </c>
      <c r="O326">
        <v>89</v>
      </c>
      <c r="P326">
        <v>110</v>
      </c>
    </row>
    <row r="327" spans="1:16" x14ac:dyDescent="0.3">
      <c r="A327">
        <v>936</v>
      </c>
      <c r="B327" s="1">
        <v>40585</v>
      </c>
      <c r="C327">
        <v>1</v>
      </c>
      <c r="D327">
        <v>0</v>
      </c>
      <c r="E327">
        <v>2</v>
      </c>
      <c r="F327">
        <v>14</v>
      </c>
      <c r="G327" t="b">
        <v>0</v>
      </c>
      <c r="H327">
        <v>5</v>
      </c>
      <c r="I327">
        <v>1</v>
      </c>
      <c r="J327">
        <v>0.3</v>
      </c>
      <c r="K327">
        <v>0.28789999999999999</v>
      </c>
      <c r="L327">
        <v>0.26</v>
      </c>
      <c r="M327">
        <v>0.25369999999999998</v>
      </c>
      <c r="N327">
        <v>17</v>
      </c>
      <c r="O327">
        <v>67</v>
      </c>
      <c r="P327">
        <v>84</v>
      </c>
    </row>
    <row r="328" spans="1:16" x14ac:dyDescent="0.3">
      <c r="A328">
        <v>937</v>
      </c>
      <c r="B328" s="1">
        <v>40585</v>
      </c>
      <c r="C328">
        <v>1</v>
      </c>
      <c r="D328">
        <v>0</v>
      </c>
      <c r="E328">
        <v>2</v>
      </c>
      <c r="F328">
        <v>15</v>
      </c>
      <c r="G328" t="b">
        <v>0</v>
      </c>
      <c r="H328">
        <v>5</v>
      </c>
      <c r="I328">
        <v>1</v>
      </c>
      <c r="J328">
        <v>0.32</v>
      </c>
      <c r="K328">
        <v>0.31819999999999998</v>
      </c>
      <c r="L328">
        <v>0.21</v>
      </c>
      <c r="M328">
        <v>0.16420000000000001</v>
      </c>
      <c r="N328">
        <v>12</v>
      </c>
      <c r="O328">
        <v>62</v>
      </c>
      <c r="P328">
        <v>74</v>
      </c>
    </row>
    <row r="329" spans="1:16" x14ac:dyDescent="0.3">
      <c r="A329">
        <v>938</v>
      </c>
      <c r="B329" s="1">
        <v>40585</v>
      </c>
      <c r="C329">
        <v>1</v>
      </c>
      <c r="D329">
        <v>0</v>
      </c>
      <c r="E329">
        <v>2</v>
      </c>
      <c r="F329">
        <v>16</v>
      </c>
      <c r="G329" t="b">
        <v>0</v>
      </c>
      <c r="H329">
        <v>5</v>
      </c>
      <c r="I329">
        <v>1</v>
      </c>
      <c r="J329">
        <v>0.3</v>
      </c>
      <c r="K329">
        <v>0.28789999999999999</v>
      </c>
      <c r="L329">
        <v>0.28000000000000003</v>
      </c>
      <c r="M329">
        <v>0.19400000000000001</v>
      </c>
      <c r="N329">
        <v>14</v>
      </c>
      <c r="O329">
        <v>111</v>
      </c>
      <c r="P329">
        <v>125</v>
      </c>
    </row>
    <row r="330" spans="1:16" x14ac:dyDescent="0.3">
      <c r="A330">
        <v>939</v>
      </c>
      <c r="B330" s="1">
        <v>40585</v>
      </c>
      <c r="C330">
        <v>1</v>
      </c>
      <c r="D330">
        <v>0</v>
      </c>
      <c r="E330">
        <v>2</v>
      </c>
      <c r="F330">
        <v>17</v>
      </c>
      <c r="G330" t="b">
        <v>0</v>
      </c>
      <c r="H330">
        <v>5</v>
      </c>
      <c r="I330">
        <v>1</v>
      </c>
      <c r="J330">
        <v>0.3</v>
      </c>
      <c r="K330">
        <v>0.33329999999999999</v>
      </c>
      <c r="L330">
        <v>0.24</v>
      </c>
      <c r="M330">
        <v>0</v>
      </c>
      <c r="N330">
        <v>18</v>
      </c>
      <c r="O330">
        <v>193</v>
      </c>
      <c r="P330">
        <v>211</v>
      </c>
    </row>
    <row r="331" spans="1:16" x14ac:dyDescent="0.3">
      <c r="A331">
        <v>940</v>
      </c>
      <c r="B331" s="1">
        <v>40585</v>
      </c>
      <c r="C331">
        <v>1</v>
      </c>
      <c r="D331">
        <v>0</v>
      </c>
      <c r="E331">
        <v>2</v>
      </c>
      <c r="F331">
        <v>18</v>
      </c>
      <c r="G331" t="b">
        <v>0</v>
      </c>
      <c r="H331">
        <v>5</v>
      </c>
      <c r="I331">
        <v>1</v>
      </c>
      <c r="J331">
        <v>0.28000000000000003</v>
      </c>
      <c r="K331">
        <v>0.31819999999999998</v>
      </c>
      <c r="L331">
        <v>0.28000000000000003</v>
      </c>
      <c r="M331">
        <v>0</v>
      </c>
      <c r="N331">
        <v>9</v>
      </c>
      <c r="O331">
        <v>165</v>
      </c>
      <c r="P331">
        <v>174</v>
      </c>
    </row>
    <row r="332" spans="1:16" x14ac:dyDescent="0.3">
      <c r="A332">
        <v>941</v>
      </c>
      <c r="B332" s="1">
        <v>40585</v>
      </c>
      <c r="C332">
        <v>1</v>
      </c>
      <c r="D332">
        <v>0</v>
      </c>
      <c r="E332">
        <v>2</v>
      </c>
      <c r="F332">
        <v>19</v>
      </c>
      <c r="G332" t="b">
        <v>0</v>
      </c>
      <c r="H332">
        <v>5</v>
      </c>
      <c r="I332">
        <v>1</v>
      </c>
      <c r="J332">
        <v>0.26</v>
      </c>
      <c r="K332">
        <v>0.30299999999999999</v>
      </c>
      <c r="L332">
        <v>0.33</v>
      </c>
      <c r="M332">
        <v>0</v>
      </c>
      <c r="N332">
        <v>7</v>
      </c>
      <c r="O332">
        <v>94</v>
      </c>
      <c r="P332">
        <v>101</v>
      </c>
    </row>
    <row r="333" spans="1:16" x14ac:dyDescent="0.3">
      <c r="A333">
        <v>942</v>
      </c>
      <c r="B333" s="1">
        <v>40585</v>
      </c>
      <c r="C333">
        <v>1</v>
      </c>
      <c r="D333">
        <v>0</v>
      </c>
      <c r="E333">
        <v>2</v>
      </c>
      <c r="F333">
        <v>20</v>
      </c>
      <c r="G333" t="b">
        <v>0</v>
      </c>
      <c r="H333">
        <v>5</v>
      </c>
      <c r="I333">
        <v>1</v>
      </c>
      <c r="J333">
        <v>0.22</v>
      </c>
      <c r="K333">
        <v>0.2273</v>
      </c>
      <c r="L333">
        <v>0.55000000000000004</v>
      </c>
      <c r="M333">
        <v>0.1343</v>
      </c>
      <c r="N333">
        <v>2</v>
      </c>
      <c r="O333">
        <v>61</v>
      </c>
      <c r="P333">
        <v>63</v>
      </c>
    </row>
    <row r="334" spans="1:16" x14ac:dyDescent="0.3">
      <c r="A334">
        <v>943</v>
      </c>
      <c r="B334" s="1">
        <v>40585</v>
      </c>
      <c r="C334">
        <v>1</v>
      </c>
      <c r="D334">
        <v>0</v>
      </c>
      <c r="E334">
        <v>2</v>
      </c>
      <c r="F334">
        <v>21</v>
      </c>
      <c r="G334" t="b">
        <v>0</v>
      </c>
      <c r="H334">
        <v>5</v>
      </c>
      <c r="I334">
        <v>1</v>
      </c>
      <c r="J334">
        <v>0.2</v>
      </c>
      <c r="K334">
        <v>0.21210000000000001</v>
      </c>
      <c r="L334">
        <v>0.59</v>
      </c>
      <c r="M334">
        <v>0.1343</v>
      </c>
      <c r="N334">
        <v>1</v>
      </c>
      <c r="O334">
        <v>46</v>
      </c>
      <c r="P334">
        <v>47</v>
      </c>
    </row>
    <row r="335" spans="1:16" x14ac:dyDescent="0.3">
      <c r="A335">
        <v>944</v>
      </c>
      <c r="B335" s="1">
        <v>40585</v>
      </c>
      <c r="C335">
        <v>1</v>
      </c>
      <c r="D335">
        <v>0</v>
      </c>
      <c r="E335">
        <v>2</v>
      </c>
      <c r="F335">
        <v>22</v>
      </c>
      <c r="G335" t="b">
        <v>0</v>
      </c>
      <c r="H335">
        <v>5</v>
      </c>
      <c r="I335">
        <v>1</v>
      </c>
      <c r="J335">
        <v>0.2</v>
      </c>
      <c r="K335">
        <v>0.2273</v>
      </c>
      <c r="L335">
        <v>0.64</v>
      </c>
      <c r="M335">
        <v>8.9599999999999999E-2</v>
      </c>
      <c r="N335">
        <v>2</v>
      </c>
      <c r="O335">
        <v>41</v>
      </c>
      <c r="P335">
        <v>43</v>
      </c>
    </row>
    <row r="336" spans="1:16" x14ac:dyDescent="0.3">
      <c r="A336">
        <v>945</v>
      </c>
      <c r="B336" s="1">
        <v>40585</v>
      </c>
      <c r="C336">
        <v>1</v>
      </c>
      <c r="D336">
        <v>0</v>
      </c>
      <c r="E336">
        <v>2</v>
      </c>
      <c r="F336">
        <v>23</v>
      </c>
      <c r="G336" t="b">
        <v>0</v>
      </c>
      <c r="H336">
        <v>5</v>
      </c>
      <c r="I336">
        <v>1</v>
      </c>
      <c r="J336">
        <v>0.18</v>
      </c>
      <c r="K336">
        <v>0.2424</v>
      </c>
      <c r="L336">
        <v>0.69</v>
      </c>
      <c r="M336">
        <v>0</v>
      </c>
      <c r="N336">
        <v>5</v>
      </c>
      <c r="O336">
        <v>48</v>
      </c>
      <c r="P336">
        <v>53</v>
      </c>
    </row>
    <row r="337" spans="1:16" x14ac:dyDescent="0.3">
      <c r="A337">
        <v>946</v>
      </c>
      <c r="B337" s="1">
        <v>40586</v>
      </c>
      <c r="C337">
        <v>1</v>
      </c>
      <c r="D337">
        <v>0</v>
      </c>
      <c r="E337">
        <v>2</v>
      </c>
      <c r="F337">
        <v>0</v>
      </c>
      <c r="G337" t="b">
        <v>0</v>
      </c>
      <c r="H337">
        <v>6</v>
      </c>
      <c r="I337">
        <v>1</v>
      </c>
      <c r="J337">
        <v>0.16</v>
      </c>
      <c r="K337">
        <v>0.19700000000000001</v>
      </c>
      <c r="L337">
        <v>0.69</v>
      </c>
      <c r="M337">
        <v>8.9599999999999999E-2</v>
      </c>
      <c r="N337">
        <v>3</v>
      </c>
      <c r="O337">
        <v>27</v>
      </c>
      <c r="P337">
        <v>30</v>
      </c>
    </row>
    <row r="338" spans="1:16" x14ac:dyDescent="0.3">
      <c r="A338">
        <v>947</v>
      </c>
      <c r="B338" s="1">
        <v>40586</v>
      </c>
      <c r="C338">
        <v>1</v>
      </c>
      <c r="D338">
        <v>0</v>
      </c>
      <c r="E338">
        <v>2</v>
      </c>
      <c r="F338">
        <v>1</v>
      </c>
      <c r="G338" t="b">
        <v>0</v>
      </c>
      <c r="H338">
        <v>6</v>
      </c>
      <c r="I338">
        <v>1</v>
      </c>
      <c r="J338">
        <v>0.14000000000000001</v>
      </c>
      <c r="K338">
        <v>0.21210000000000001</v>
      </c>
      <c r="L338">
        <v>0.86</v>
      </c>
      <c r="M338">
        <v>0</v>
      </c>
      <c r="N338">
        <v>2</v>
      </c>
      <c r="O338">
        <v>22</v>
      </c>
      <c r="P338">
        <v>24</v>
      </c>
    </row>
    <row r="339" spans="1:16" x14ac:dyDescent="0.3">
      <c r="A339">
        <v>948</v>
      </c>
      <c r="B339" s="1">
        <v>40586</v>
      </c>
      <c r="C339">
        <v>1</v>
      </c>
      <c r="D339">
        <v>0</v>
      </c>
      <c r="E339">
        <v>2</v>
      </c>
      <c r="F339">
        <v>2</v>
      </c>
      <c r="G339" t="b">
        <v>0</v>
      </c>
      <c r="H339">
        <v>6</v>
      </c>
      <c r="I339">
        <v>1</v>
      </c>
      <c r="J339">
        <v>0.14000000000000001</v>
      </c>
      <c r="K339">
        <v>0.21210000000000001</v>
      </c>
      <c r="L339">
        <v>0.8</v>
      </c>
      <c r="M339">
        <v>0</v>
      </c>
      <c r="N339">
        <v>2</v>
      </c>
      <c r="O339">
        <v>13</v>
      </c>
      <c r="P339">
        <v>15</v>
      </c>
    </row>
    <row r="340" spans="1:16" x14ac:dyDescent="0.3">
      <c r="A340">
        <v>949</v>
      </c>
      <c r="B340" s="1">
        <v>40586</v>
      </c>
      <c r="C340">
        <v>1</v>
      </c>
      <c r="D340">
        <v>0</v>
      </c>
      <c r="E340">
        <v>2</v>
      </c>
      <c r="F340">
        <v>3</v>
      </c>
      <c r="G340" t="b">
        <v>0</v>
      </c>
      <c r="H340">
        <v>6</v>
      </c>
      <c r="I340">
        <v>1</v>
      </c>
      <c r="J340">
        <v>0.12</v>
      </c>
      <c r="K340">
        <v>0.19700000000000001</v>
      </c>
      <c r="L340">
        <v>0.8</v>
      </c>
      <c r="M340">
        <v>0</v>
      </c>
      <c r="N340">
        <v>3</v>
      </c>
      <c r="O340">
        <v>7</v>
      </c>
      <c r="P340">
        <v>10</v>
      </c>
    </row>
    <row r="341" spans="1:16" x14ac:dyDescent="0.3">
      <c r="A341">
        <v>950</v>
      </c>
      <c r="B341" s="1">
        <v>40586</v>
      </c>
      <c r="C341">
        <v>1</v>
      </c>
      <c r="D341">
        <v>0</v>
      </c>
      <c r="E341">
        <v>2</v>
      </c>
      <c r="F341">
        <v>4</v>
      </c>
      <c r="G341" t="b">
        <v>0</v>
      </c>
      <c r="H341">
        <v>6</v>
      </c>
      <c r="I341">
        <v>1</v>
      </c>
      <c r="J341">
        <v>0.12</v>
      </c>
      <c r="K341">
        <v>0.16669999999999999</v>
      </c>
      <c r="L341">
        <v>0.74</v>
      </c>
      <c r="M341">
        <v>8.9599999999999999E-2</v>
      </c>
      <c r="N341">
        <v>0</v>
      </c>
      <c r="O341">
        <v>4</v>
      </c>
      <c r="P341">
        <v>4</v>
      </c>
    </row>
    <row r="342" spans="1:16" x14ac:dyDescent="0.3">
      <c r="A342">
        <v>951</v>
      </c>
      <c r="B342" s="1">
        <v>40586</v>
      </c>
      <c r="C342">
        <v>1</v>
      </c>
      <c r="D342">
        <v>0</v>
      </c>
      <c r="E342">
        <v>2</v>
      </c>
      <c r="F342">
        <v>5</v>
      </c>
      <c r="G342" t="b">
        <v>0</v>
      </c>
      <c r="H342">
        <v>6</v>
      </c>
      <c r="I342">
        <v>1</v>
      </c>
      <c r="J342">
        <v>0.12</v>
      </c>
      <c r="K342">
        <v>0.16669999999999999</v>
      </c>
      <c r="L342">
        <v>0.74</v>
      </c>
      <c r="M342">
        <v>8.9599999999999999E-2</v>
      </c>
      <c r="N342">
        <v>0</v>
      </c>
      <c r="O342">
        <v>1</v>
      </c>
      <c r="P342">
        <v>1</v>
      </c>
    </row>
    <row r="343" spans="1:16" x14ac:dyDescent="0.3">
      <c r="A343">
        <v>952</v>
      </c>
      <c r="B343" s="1">
        <v>40586</v>
      </c>
      <c r="C343">
        <v>1</v>
      </c>
      <c r="D343">
        <v>0</v>
      </c>
      <c r="E343">
        <v>2</v>
      </c>
      <c r="F343">
        <v>6</v>
      </c>
      <c r="G343" t="b">
        <v>0</v>
      </c>
      <c r="H343">
        <v>6</v>
      </c>
      <c r="I343">
        <v>1</v>
      </c>
      <c r="J343">
        <v>0.12</v>
      </c>
      <c r="K343">
        <v>0.13639999999999999</v>
      </c>
      <c r="L343">
        <v>0.93</v>
      </c>
      <c r="M343">
        <v>0.19400000000000001</v>
      </c>
      <c r="N343">
        <v>1</v>
      </c>
      <c r="O343">
        <v>1</v>
      </c>
      <c r="P343">
        <v>2</v>
      </c>
    </row>
    <row r="344" spans="1:16" x14ac:dyDescent="0.3">
      <c r="A344">
        <v>953</v>
      </c>
      <c r="B344" s="1">
        <v>40586</v>
      </c>
      <c r="C344">
        <v>1</v>
      </c>
      <c r="D344">
        <v>0</v>
      </c>
      <c r="E344">
        <v>2</v>
      </c>
      <c r="F344">
        <v>7</v>
      </c>
      <c r="G344" t="b">
        <v>0</v>
      </c>
      <c r="H344">
        <v>6</v>
      </c>
      <c r="I344">
        <v>1</v>
      </c>
      <c r="J344">
        <v>0.12</v>
      </c>
      <c r="K344">
        <v>0.1515</v>
      </c>
      <c r="L344">
        <v>0.8</v>
      </c>
      <c r="M344">
        <v>0.1045</v>
      </c>
      <c r="N344">
        <v>2</v>
      </c>
      <c r="O344">
        <v>9</v>
      </c>
      <c r="P344">
        <v>11</v>
      </c>
    </row>
    <row r="345" spans="1:16" x14ac:dyDescent="0.3">
      <c r="A345">
        <v>954</v>
      </c>
      <c r="B345" s="1">
        <v>40586</v>
      </c>
      <c r="C345">
        <v>1</v>
      </c>
      <c r="D345">
        <v>0</v>
      </c>
      <c r="E345">
        <v>2</v>
      </c>
      <c r="F345">
        <v>8</v>
      </c>
      <c r="G345" t="b">
        <v>0</v>
      </c>
      <c r="H345">
        <v>6</v>
      </c>
      <c r="I345">
        <v>1</v>
      </c>
      <c r="J345">
        <v>0.14000000000000001</v>
      </c>
      <c r="K345">
        <v>0.1515</v>
      </c>
      <c r="L345">
        <v>0.86</v>
      </c>
      <c r="M345">
        <v>0.1343</v>
      </c>
      <c r="N345">
        <v>2</v>
      </c>
      <c r="O345">
        <v>28</v>
      </c>
      <c r="P345">
        <v>30</v>
      </c>
    </row>
    <row r="346" spans="1:16" x14ac:dyDescent="0.3">
      <c r="A346">
        <v>955</v>
      </c>
      <c r="B346" s="1">
        <v>40586</v>
      </c>
      <c r="C346">
        <v>1</v>
      </c>
      <c r="D346">
        <v>0</v>
      </c>
      <c r="E346">
        <v>2</v>
      </c>
      <c r="F346">
        <v>9</v>
      </c>
      <c r="G346" t="b">
        <v>0</v>
      </c>
      <c r="H346">
        <v>6</v>
      </c>
      <c r="I346">
        <v>1</v>
      </c>
      <c r="J346">
        <v>0.16</v>
      </c>
      <c r="K346">
        <v>0.18179999999999999</v>
      </c>
      <c r="L346">
        <v>0.64</v>
      </c>
      <c r="M346">
        <v>0.1343</v>
      </c>
      <c r="N346">
        <v>5</v>
      </c>
      <c r="O346">
        <v>38</v>
      </c>
      <c r="P346">
        <v>43</v>
      </c>
    </row>
    <row r="347" spans="1:16" x14ac:dyDescent="0.3">
      <c r="A347">
        <v>956</v>
      </c>
      <c r="B347" s="1">
        <v>40586</v>
      </c>
      <c r="C347">
        <v>1</v>
      </c>
      <c r="D347">
        <v>0</v>
      </c>
      <c r="E347">
        <v>2</v>
      </c>
      <c r="F347">
        <v>10</v>
      </c>
      <c r="G347" t="b">
        <v>0</v>
      </c>
      <c r="H347">
        <v>6</v>
      </c>
      <c r="I347">
        <v>1</v>
      </c>
      <c r="J347">
        <v>0.22</v>
      </c>
      <c r="K347">
        <v>0.21210000000000001</v>
      </c>
      <c r="L347">
        <v>0.41</v>
      </c>
      <c r="M347">
        <v>0.25369999999999998</v>
      </c>
      <c r="N347">
        <v>13</v>
      </c>
      <c r="O347">
        <v>71</v>
      </c>
      <c r="P347">
        <v>84</v>
      </c>
    </row>
    <row r="348" spans="1:16" x14ac:dyDescent="0.3">
      <c r="A348">
        <v>957</v>
      </c>
      <c r="B348" s="1">
        <v>40586</v>
      </c>
      <c r="C348">
        <v>1</v>
      </c>
      <c r="D348">
        <v>0</v>
      </c>
      <c r="E348">
        <v>2</v>
      </c>
      <c r="F348">
        <v>11</v>
      </c>
      <c r="G348" t="b">
        <v>0</v>
      </c>
      <c r="H348">
        <v>6</v>
      </c>
      <c r="I348">
        <v>1</v>
      </c>
      <c r="J348">
        <v>0.3</v>
      </c>
      <c r="K348">
        <v>0.2727</v>
      </c>
      <c r="L348">
        <v>0.28000000000000003</v>
      </c>
      <c r="M348">
        <v>0.32840000000000003</v>
      </c>
      <c r="N348">
        <v>30</v>
      </c>
      <c r="O348">
        <v>84</v>
      </c>
      <c r="P348">
        <v>114</v>
      </c>
    </row>
    <row r="349" spans="1:16" x14ac:dyDescent="0.3">
      <c r="A349">
        <v>958</v>
      </c>
      <c r="B349" s="1">
        <v>40586</v>
      </c>
      <c r="C349">
        <v>1</v>
      </c>
      <c r="D349">
        <v>0</v>
      </c>
      <c r="E349">
        <v>2</v>
      </c>
      <c r="F349">
        <v>12</v>
      </c>
      <c r="G349" t="b">
        <v>0</v>
      </c>
      <c r="H349">
        <v>6</v>
      </c>
      <c r="I349">
        <v>1</v>
      </c>
      <c r="J349">
        <v>0.3</v>
      </c>
      <c r="K349">
        <v>0.2727</v>
      </c>
      <c r="L349">
        <v>0.39</v>
      </c>
      <c r="M349">
        <v>0.4627</v>
      </c>
      <c r="N349">
        <v>27</v>
      </c>
      <c r="O349">
        <v>93</v>
      </c>
      <c r="P349">
        <v>120</v>
      </c>
    </row>
    <row r="350" spans="1:16" x14ac:dyDescent="0.3">
      <c r="A350">
        <v>959</v>
      </c>
      <c r="B350" s="1">
        <v>40586</v>
      </c>
      <c r="C350">
        <v>1</v>
      </c>
      <c r="D350">
        <v>0</v>
      </c>
      <c r="E350">
        <v>2</v>
      </c>
      <c r="F350">
        <v>13</v>
      </c>
      <c r="G350" t="b">
        <v>0</v>
      </c>
      <c r="H350">
        <v>6</v>
      </c>
      <c r="I350">
        <v>1</v>
      </c>
      <c r="J350">
        <v>0.3</v>
      </c>
      <c r="K350">
        <v>0.2727</v>
      </c>
      <c r="L350">
        <v>0.39</v>
      </c>
      <c r="M350">
        <v>0.41789999999999999</v>
      </c>
      <c r="N350">
        <v>32</v>
      </c>
      <c r="O350">
        <v>103</v>
      </c>
      <c r="P350">
        <v>135</v>
      </c>
    </row>
    <row r="351" spans="1:16" x14ac:dyDescent="0.3">
      <c r="A351">
        <v>960</v>
      </c>
      <c r="B351" s="1">
        <v>40586</v>
      </c>
      <c r="C351">
        <v>1</v>
      </c>
      <c r="D351">
        <v>0</v>
      </c>
      <c r="E351">
        <v>2</v>
      </c>
      <c r="F351">
        <v>14</v>
      </c>
      <c r="G351" t="b">
        <v>0</v>
      </c>
      <c r="H351">
        <v>6</v>
      </c>
      <c r="I351">
        <v>1</v>
      </c>
      <c r="J351">
        <v>0.34</v>
      </c>
      <c r="K351">
        <v>0.31819999999999998</v>
      </c>
      <c r="L351">
        <v>0.31</v>
      </c>
      <c r="M351">
        <v>0.28360000000000002</v>
      </c>
      <c r="N351">
        <v>30</v>
      </c>
      <c r="O351">
        <v>90</v>
      </c>
      <c r="P351">
        <v>120</v>
      </c>
    </row>
    <row r="352" spans="1:16" x14ac:dyDescent="0.3">
      <c r="A352">
        <v>961</v>
      </c>
      <c r="B352" s="1">
        <v>40586</v>
      </c>
      <c r="C352">
        <v>1</v>
      </c>
      <c r="D352">
        <v>0</v>
      </c>
      <c r="E352">
        <v>2</v>
      </c>
      <c r="F352">
        <v>15</v>
      </c>
      <c r="G352" t="b">
        <v>0</v>
      </c>
      <c r="H352">
        <v>6</v>
      </c>
      <c r="I352">
        <v>1</v>
      </c>
      <c r="J352">
        <v>0.34</v>
      </c>
      <c r="K352">
        <v>0.30299999999999999</v>
      </c>
      <c r="L352">
        <v>0.28999999999999998</v>
      </c>
      <c r="M352">
        <v>0.41789999999999999</v>
      </c>
      <c r="N352">
        <v>47</v>
      </c>
      <c r="O352">
        <v>127</v>
      </c>
      <c r="P352">
        <v>174</v>
      </c>
    </row>
    <row r="353" spans="1:16" x14ac:dyDescent="0.3">
      <c r="A353">
        <v>962</v>
      </c>
      <c r="B353" s="1">
        <v>40586</v>
      </c>
      <c r="C353">
        <v>1</v>
      </c>
      <c r="D353">
        <v>0</v>
      </c>
      <c r="E353">
        <v>2</v>
      </c>
      <c r="F353">
        <v>16</v>
      </c>
      <c r="G353" t="b">
        <v>0</v>
      </c>
      <c r="H353">
        <v>6</v>
      </c>
      <c r="I353">
        <v>1</v>
      </c>
      <c r="J353">
        <v>0.34</v>
      </c>
      <c r="K353">
        <v>0.30299999999999999</v>
      </c>
      <c r="L353">
        <v>0.28999999999999998</v>
      </c>
      <c r="M353">
        <v>0.41789999999999999</v>
      </c>
      <c r="N353">
        <v>42</v>
      </c>
      <c r="O353">
        <v>103</v>
      </c>
      <c r="P353">
        <v>145</v>
      </c>
    </row>
    <row r="354" spans="1:16" x14ac:dyDescent="0.3">
      <c r="A354">
        <v>963</v>
      </c>
      <c r="B354" s="1">
        <v>40586</v>
      </c>
      <c r="C354">
        <v>1</v>
      </c>
      <c r="D354">
        <v>0</v>
      </c>
      <c r="E354">
        <v>2</v>
      </c>
      <c r="F354">
        <v>17</v>
      </c>
      <c r="G354" t="b">
        <v>0</v>
      </c>
      <c r="H354">
        <v>6</v>
      </c>
      <c r="I354">
        <v>1</v>
      </c>
      <c r="J354">
        <v>0.32</v>
      </c>
      <c r="K354">
        <v>0.28789999999999999</v>
      </c>
      <c r="L354">
        <v>0.31</v>
      </c>
      <c r="M354">
        <v>0.52239999999999998</v>
      </c>
      <c r="N354">
        <v>24</v>
      </c>
      <c r="O354">
        <v>113</v>
      </c>
      <c r="P354">
        <v>137</v>
      </c>
    </row>
    <row r="355" spans="1:16" x14ac:dyDescent="0.3">
      <c r="A355">
        <v>964</v>
      </c>
      <c r="B355" s="1">
        <v>40586</v>
      </c>
      <c r="C355">
        <v>1</v>
      </c>
      <c r="D355">
        <v>0</v>
      </c>
      <c r="E355">
        <v>2</v>
      </c>
      <c r="F355">
        <v>18</v>
      </c>
      <c r="G355" t="b">
        <v>0</v>
      </c>
      <c r="H355">
        <v>6</v>
      </c>
      <c r="I355">
        <v>1</v>
      </c>
      <c r="J355">
        <v>0.28000000000000003</v>
      </c>
      <c r="K355">
        <v>0.2576</v>
      </c>
      <c r="L355">
        <v>0.38</v>
      </c>
      <c r="M355">
        <v>0.32840000000000003</v>
      </c>
      <c r="N355">
        <v>4</v>
      </c>
      <c r="O355">
        <v>60</v>
      </c>
      <c r="P355">
        <v>64</v>
      </c>
    </row>
    <row r="356" spans="1:16" x14ac:dyDescent="0.3">
      <c r="A356">
        <v>965</v>
      </c>
      <c r="B356" s="1">
        <v>40586</v>
      </c>
      <c r="C356">
        <v>1</v>
      </c>
      <c r="D356">
        <v>0</v>
      </c>
      <c r="E356">
        <v>2</v>
      </c>
      <c r="F356">
        <v>19</v>
      </c>
      <c r="G356" t="b">
        <v>0</v>
      </c>
      <c r="H356">
        <v>6</v>
      </c>
      <c r="I356">
        <v>1</v>
      </c>
      <c r="J356">
        <v>0.28000000000000003</v>
      </c>
      <c r="K356">
        <v>0.2727</v>
      </c>
      <c r="L356">
        <v>0.38</v>
      </c>
      <c r="M356">
        <v>0.16420000000000001</v>
      </c>
      <c r="N356">
        <v>2</v>
      </c>
      <c r="O356">
        <v>39</v>
      </c>
      <c r="P356">
        <v>41</v>
      </c>
    </row>
    <row r="357" spans="1:16" x14ac:dyDescent="0.3">
      <c r="A357">
        <v>966</v>
      </c>
      <c r="B357" s="1">
        <v>40586</v>
      </c>
      <c r="C357">
        <v>1</v>
      </c>
      <c r="D357">
        <v>0</v>
      </c>
      <c r="E357">
        <v>2</v>
      </c>
      <c r="F357">
        <v>20</v>
      </c>
      <c r="G357" t="b">
        <v>0</v>
      </c>
      <c r="H357">
        <v>6</v>
      </c>
      <c r="I357">
        <v>1</v>
      </c>
      <c r="J357">
        <v>0.26</v>
      </c>
      <c r="K357">
        <v>0.2576</v>
      </c>
      <c r="L357">
        <v>0.41</v>
      </c>
      <c r="M357">
        <v>0.22389999999999999</v>
      </c>
      <c r="N357">
        <v>1</v>
      </c>
      <c r="O357">
        <v>39</v>
      </c>
      <c r="P357">
        <v>40</v>
      </c>
    </row>
    <row r="358" spans="1:16" x14ac:dyDescent="0.3">
      <c r="A358">
        <v>967</v>
      </c>
      <c r="B358" s="1">
        <v>40586</v>
      </c>
      <c r="C358">
        <v>1</v>
      </c>
      <c r="D358">
        <v>0</v>
      </c>
      <c r="E358">
        <v>2</v>
      </c>
      <c r="F358">
        <v>21</v>
      </c>
      <c r="G358" t="b">
        <v>0</v>
      </c>
      <c r="H358">
        <v>6</v>
      </c>
      <c r="I358">
        <v>1</v>
      </c>
      <c r="J358">
        <v>0.26</v>
      </c>
      <c r="K358">
        <v>0.30299999999999999</v>
      </c>
      <c r="L358">
        <v>0.41</v>
      </c>
      <c r="M358">
        <v>0</v>
      </c>
      <c r="N358">
        <v>9</v>
      </c>
      <c r="O358">
        <v>42</v>
      </c>
      <c r="P358">
        <v>51</v>
      </c>
    </row>
    <row r="359" spans="1:16" x14ac:dyDescent="0.3">
      <c r="A359">
        <v>968</v>
      </c>
      <c r="B359" s="1">
        <v>40586</v>
      </c>
      <c r="C359">
        <v>1</v>
      </c>
      <c r="D359">
        <v>0</v>
      </c>
      <c r="E359">
        <v>2</v>
      </c>
      <c r="F359">
        <v>22</v>
      </c>
      <c r="G359" t="b">
        <v>0</v>
      </c>
      <c r="H359">
        <v>6</v>
      </c>
      <c r="I359">
        <v>1</v>
      </c>
      <c r="J359">
        <v>0.24</v>
      </c>
      <c r="K359">
        <v>0.2576</v>
      </c>
      <c r="L359">
        <v>0.44</v>
      </c>
      <c r="M359">
        <v>8.9599999999999999E-2</v>
      </c>
      <c r="N359">
        <v>6</v>
      </c>
      <c r="O359">
        <v>39</v>
      </c>
      <c r="P359">
        <v>45</v>
      </c>
    </row>
    <row r="360" spans="1:16" x14ac:dyDescent="0.3">
      <c r="A360">
        <v>969</v>
      </c>
      <c r="B360" s="1">
        <v>40586</v>
      </c>
      <c r="C360">
        <v>1</v>
      </c>
      <c r="D360">
        <v>0</v>
      </c>
      <c r="E360">
        <v>2</v>
      </c>
      <c r="F360">
        <v>23</v>
      </c>
      <c r="G360" t="b">
        <v>0</v>
      </c>
      <c r="H360">
        <v>6</v>
      </c>
      <c r="I360">
        <v>1</v>
      </c>
      <c r="J360">
        <v>0.22</v>
      </c>
      <c r="K360">
        <v>0.2273</v>
      </c>
      <c r="L360">
        <v>0.51</v>
      </c>
      <c r="M360">
        <v>0.1343</v>
      </c>
      <c r="N360">
        <v>1</v>
      </c>
      <c r="O360">
        <v>31</v>
      </c>
      <c r="P360">
        <v>32</v>
      </c>
    </row>
    <row r="361" spans="1:16" x14ac:dyDescent="0.3">
      <c r="A361">
        <v>970</v>
      </c>
      <c r="B361" s="1">
        <v>40587</v>
      </c>
      <c r="C361">
        <v>1</v>
      </c>
      <c r="D361">
        <v>0</v>
      </c>
      <c r="E361">
        <v>2</v>
      </c>
      <c r="F361">
        <v>0</v>
      </c>
      <c r="G361" t="b">
        <v>0</v>
      </c>
      <c r="H361">
        <v>0</v>
      </c>
      <c r="I361">
        <v>1</v>
      </c>
      <c r="J361">
        <v>0.2</v>
      </c>
      <c r="K361">
        <v>0.2273</v>
      </c>
      <c r="L361">
        <v>0.64</v>
      </c>
      <c r="M361">
        <v>0.1045</v>
      </c>
      <c r="N361">
        <v>5</v>
      </c>
      <c r="O361">
        <v>34</v>
      </c>
      <c r="P361">
        <v>39</v>
      </c>
    </row>
    <row r="362" spans="1:16" x14ac:dyDescent="0.3">
      <c r="A362">
        <v>971</v>
      </c>
      <c r="B362" s="1">
        <v>40587</v>
      </c>
      <c r="C362">
        <v>1</v>
      </c>
      <c r="D362">
        <v>0</v>
      </c>
      <c r="E362">
        <v>2</v>
      </c>
      <c r="F362">
        <v>1</v>
      </c>
      <c r="G362" t="b">
        <v>0</v>
      </c>
      <c r="H362">
        <v>0</v>
      </c>
      <c r="I362">
        <v>1</v>
      </c>
      <c r="J362">
        <v>0.2</v>
      </c>
      <c r="K362">
        <v>0.2273</v>
      </c>
      <c r="L362">
        <v>0.59</v>
      </c>
      <c r="M362">
        <v>8.9599999999999999E-2</v>
      </c>
      <c r="N362">
        <v>1</v>
      </c>
      <c r="O362">
        <v>23</v>
      </c>
      <c r="P362">
        <v>24</v>
      </c>
    </row>
    <row r="363" spans="1:16" x14ac:dyDescent="0.3">
      <c r="A363">
        <v>972</v>
      </c>
      <c r="B363" s="1">
        <v>40587</v>
      </c>
      <c r="C363">
        <v>1</v>
      </c>
      <c r="D363">
        <v>0</v>
      </c>
      <c r="E363">
        <v>2</v>
      </c>
      <c r="F363">
        <v>2</v>
      </c>
      <c r="G363" t="b">
        <v>0</v>
      </c>
      <c r="H363">
        <v>0</v>
      </c>
      <c r="I363">
        <v>2</v>
      </c>
      <c r="J363">
        <v>0.2</v>
      </c>
      <c r="K363">
        <v>0.2273</v>
      </c>
      <c r="L363">
        <v>0.75</v>
      </c>
      <c r="M363">
        <v>8.9599999999999999E-2</v>
      </c>
      <c r="N363">
        <v>1</v>
      </c>
      <c r="O363">
        <v>19</v>
      </c>
      <c r="P363">
        <v>20</v>
      </c>
    </row>
    <row r="364" spans="1:16" x14ac:dyDescent="0.3">
      <c r="A364">
        <v>973</v>
      </c>
      <c r="B364" s="1">
        <v>40587</v>
      </c>
      <c r="C364">
        <v>1</v>
      </c>
      <c r="D364">
        <v>0</v>
      </c>
      <c r="E364">
        <v>2</v>
      </c>
      <c r="F364">
        <v>3</v>
      </c>
      <c r="G364" t="b">
        <v>0</v>
      </c>
      <c r="H364">
        <v>0</v>
      </c>
      <c r="I364">
        <v>2</v>
      </c>
      <c r="J364">
        <v>0.2</v>
      </c>
      <c r="K364">
        <v>0.2273</v>
      </c>
      <c r="L364">
        <v>0.69</v>
      </c>
      <c r="M364">
        <v>0.1045</v>
      </c>
      <c r="N364">
        <v>4</v>
      </c>
      <c r="O364">
        <v>8</v>
      </c>
      <c r="P364">
        <v>12</v>
      </c>
    </row>
    <row r="365" spans="1:16" x14ac:dyDescent="0.3">
      <c r="A365">
        <v>974</v>
      </c>
      <c r="B365" s="1">
        <v>40587</v>
      </c>
      <c r="C365">
        <v>1</v>
      </c>
      <c r="D365">
        <v>0</v>
      </c>
      <c r="E365">
        <v>2</v>
      </c>
      <c r="F365">
        <v>4</v>
      </c>
      <c r="G365" t="b">
        <v>0</v>
      </c>
      <c r="H365">
        <v>0</v>
      </c>
      <c r="I365">
        <v>2</v>
      </c>
      <c r="J365">
        <v>0.2</v>
      </c>
      <c r="K365">
        <v>0.21210000000000001</v>
      </c>
      <c r="L365">
        <v>0.69</v>
      </c>
      <c r="M365">
        <v>0.16420000000000001</v>
      </c>
      <c r="N365">
        <v>0</v>
      </c>
      <c r="O365">
        <v>2</v>
      </c>
      <c r="P365">
        <v>2</v>
      </c>
    </row>
    <row r="366" spans="1:16" x14ac:dyDescent="0.3">
      <c r="A366">
        <v>975</v>
      </c>
      <c r="B366" s="1">
        <v>40587</v>
      </c>
      <c r="C366">
        <v>1</v>
      </c>
      <c r="D366">
        <v>0</v>
      </c>
      <c r="E366">
        <v>2</v>
      </c>
      <c r="F366">
        <v>6</v>
      </c>
      <c r="G366" t="b">
        <v>0</v>
      </c>
      <c r="H366">
        <v>0</v>
      </c>
      <c r="I366">
        <v>2</v>
      </c>
      <c r="J366">
        <v>0.2</v>
      </c>
      <c r="K366">
        <v>0.21210000000000001</v>
      </c>
      <c r="L366">
        <v>0.69</v>
      </c>
      <c r="M366">
        <v>0.1343</v>
      </c>
      <c r="N366">
        <v>2</v>
      </c>
      <c r="O366">
        <v>3</v>
      </c>
      <c r="P366">
        <v>5</v>
      </c>
    </row>
    <row r="367" spans="1:16" x14ac:dyDescent="0.3">
      <c r="A367">
        <v>976</v>
      </c>
      <c r="B367" s="1">
        <v>40587</v>
      </c>
      <c r="C367">
        <v>1</v>
      </c>
      <c r="D367">
        <v>0</v>
      </c>
      <c r="E367">
        <v>2</v>
      </c>
      <c r="F367">
        <v>7</v>
      </c>
      <c r="G367" t="b">
        <v>0</v>
      </c>
      <c r="H367">
        <v>0</v>
      </c>
      <c r="I367">
        <v>2</v>
      </c>
      <c r="J367">
        <v>0.22</v>
      </c>
      <c r="K367">
        <v>0.2727</v>
      </c>
      <c r="L367">
        <v>0.55000000000000004</v>
      </c>
      <c r="M367">
        <v>0</v>
      </c>
      <c r="N367">
        <v>0</v>
      </c>
      <c r="O367">
        <v>3</v>
      </c>
      <c r="P367">
        <v>3</v>
      </c>
    </row>
    <row r="368" spans="1:16" x14ac:dyDescent="0.3">
      <c r="A368">
        <v>977</v>
      </c>
      <c r="B368" s="1">
        <v>40587</v>
      </c>
      <c r="C368">
        <v>1</v>
      </c>
      <c r="D368">
        <v>0</v>
      </c>
      <c r="E368">
        <v>2</v>
      </c>
      <c r="F368">
        <v>8</v>
      </c>
      <c r="G368" t="b">
        <v>0</v>
      </c>
      <c r="H368">
        <v>0</v>
      </c>
      <c r="I368">
        <v>2</v>
      </c>
      <c r="J368">
        <v>0.22</v>
      </c>
      <c r="K368">
        <v>0.2273</v>
      </c>
      <c r="L368">
        <v>0.64</v>
      </c>
      <c r="M368">
        <v>0.19400000000000001</v>
      </c>
      <c r="N368">
        <v>1</v>
      </c>
      <c r="O368">
        <v>11</v>
      </c>
      <c r="P368">
        <v>12</v>
      </c>
    </row>
    <row r="369" spans="1:16" x14ac:dyDescent="0.3">
      <c r="A369">
        <v>978</v>
      </c>
      <c r="B369" s="1">
        <v>40587</v>
      </c>
      <c r="C369">
        <v>1</v>
      </c>
      <c r="D369">
        <v>0</v>
      </c>
      <c r="E369">
        <v>2</v>
      </c>
      <c r="F369">
        <v>9</v>
      </c>
      <c r="G369" t="b">
        <v>0</v>
      </c>
      <c r="H369">
        <v>0</v>
      </c>
      <c r="I369">
        <v>2</v>
      </c>
      <c r="J369">
        <v>0.24</v>
      </c>
      <c r="K369">
        <v>0.2273</v>
      </c>
      <c r="L369">
        <v>0.6</v>
      </c>
      <c r="M369">
        <v>0.22389999999999999</v>
      </c>
      <c r="N369">
        <v>12</v>
      </c>
      <c r="O369">
        <v>35</v>
      </c>
      <c r="P369">
        <v>47</v>
      </c>
    </row>
    <row r="370" spans="1:16" x14ac:dyDescent="0.3">
      <c r="A370">
        <v>979</v>
      </c>
      <c r="B370" s="1">
        <v>40587</v>
      </c>
      <c r="C370">
        <v>1</v>
      </c>
      <c r="D370">
        <v>0</v>
      </c>
      <c r="E370">
        <v>2</v>
      </c>
      <c r="F370">
        <v>10</v>
      </c>
      <c r="G370" t="b">
        <v>0</v>
      </c>
      <c r="H370">
        <v>0</v>
      </c>
      <c r="I370">
        <v>1</v>
      </c>
      <c r="J370">
        <v>0.3</v>
      </c>
      <c r="K370">
        <v>0.2727</v>
      </c>
      <c r="L370">
        <v>0.45</v>
      </c>
      <c r="M370">
        <v>0.32840000000000003</v>
      </c>
      <c r="N370">
        <v>19</v>
      </c>
      <c r="O370">
        <v>86</v>
      </c>
      <c r="P370">
        <v>105</v>
      </c>
    </row>
    <row r="371" spans="1:16" x14ac:dyDescent="0.3">
      <c r="A371">
        <v>980</v>
      </c>
      <c r="B371" s="1">
        <v>40587</v>
      </c>
      <c r="C371">
        <v>1</v>
      </c>
      <c r="D371">
        <v>0</v>
      </c>
      <c r="E371">
        <v>2</v>
      </c>
      <c r="F371">
        <v>11</v>
      </c>
      <c r="G371" t="b">
        <v>0</v>
      </c>
      <c r="H371">
        <v>0</v>
      </c>
      <c r="I371">
        <v>1</v>
      </c>
      <c r="J371">
        <v>0.32</v>
      </c>
      <c r="K371">
        <v>0.28789999999999999</v>
      </c>
      <c r="L371">
        <v>0.39</v>
      </c>
      <c r="M371">
        <v>0.44779999999999998</v>
      </c>
      <c r="N371">
        <v>26</v>
      </c>
      <c r="O371">
        <v>86</v>
      </c>
      <c r="P371">
        <v>112</v>
      </c>
    </row>
    <row r="372" spans="1:16" x14ac:dyDescent="0.3">
      <c r="A372">
        <v>981</v>
      </c>
      <c r="B372" s="1">
        <v>40587</v>
      </c>
      <c r="C372">
        <v>1</v>
      </c>
      <c r="D372">
        <v>0</v>
      </c>
      <c r="E372">
        <v>2</v>
      </c>
      <c r="F372">
        <v>12</v>
      </c>
      <c r="G372" t="b">
        <v>0</v>
      </c>
      <c r="H372">
        <v>0</v>
      </c>
      <c r="I372">
        <v>1</v>
      </c>
      <c r="J372">
        <v>0.36</v>
      </c>
      <c r="K372">
        <v>0.31819999999999998</v>
      </c>
      <c r="L372">
        <v>0.32</v>
      </c>
      <c r="M372">
        <v>0.4627</v>
      </c>
      <c r="N372">
        <v>58</v>
      </c>
      <c r="O372">
        <v>94</v>
      </c>
      <c r="P372">
        <v>152</v>
      </c>
    </row>
    <row r="373" spans="1:16" x14ac:dyDescent="0.3">
      <c r="A373">
        <v>982</v>
      </c>
      <c r="B373" s="1">
        <v>40587</v>
      </c>
      <c r="C373">
        <v>1</v>
      </c>
      <c r="D373">
        <v>0</v>
      </c>
      <c r="E373">
        <v>2</v>
      </c>
      <c r="F373">
        <v>13</v>
      </c>
      <c r="G373" t="b">
        <v>0</v>
      </c>
      <c r="H373">
        <v>0</v>
      </c>
      <c r="I373">
        <v>1</v>
      </c>
      <c r="J373">
        <v>0.38</v>
      </c>
      <c r="K373">
        <v>0.39389999999999997</v>
      </c>
      <c r="L373">
        <v>0.28999999999999998</v>
      </c>
      <c r="M373">
        <v>0.35820000000000002</v>
      </c>
      <c r="N373">
        <v>62</v>
      </c>
      <c r="O373">
        <v>92</v>
      </c>
      <c r="P373">
        <v>154</v>
      </c>
    </row>
    <row r="374" spans="1:16" x14ac:dyDescent="0.3">
      <c r="A374">
        <v>983</v>
      </c>
      <c r="B374" s="1">
        <v>40587</v>
      </c>
      <c r="C374">
        <v>1</v>
      </c>
      <c r="D374">
        <v>0</v>
      </c>
      <c r="E374">
        <v>2</v>
      </c>
      <c r="F374">
        <v>14</v>
      </c>
      <c r="G374" t="b">
        <v>0</v>
      </c>
      <c r="H374">
        <v>0</v>
      </c>
      <c r="I374">
        <v>2</v>
      </c>
      <c r="J374">
        <v>0.4</v>
      </c>
      <c r="K374">
        <v>0.40910000000000002</v>
      </c>
      <c r="L374">
        <v>0.3</v>
      </c>
      <c r="M374">
        <v>0.41789999999999999</v>
      </c>
      <c r="N374">
        <v>51</v>
      </c>
      <c r="O374">
        <v>110</v>
      </c>
      <c r="P374">
        <v>161</v>
      </c>
    </row>
    <row r="375" spans="1:16" x14ac:dyDescent="0.3">
      <c r="A375">
        <v>984</v>
      </c>
      <c r="B375" s="1">
        <v>40587</v>
      </c>
      <c r="C375">
        <v>1</v>
      </c>
      <c r="D375">
        <v>0</v>
      </c>
      <c r="E375">
        <v>2</v>
      </c>
      <c r="F375">
        <v>15</v>
      </c>
      <c r="G375" t="b">
        <v>0</v>
      </c>
      <c r="H375">
        <v>0</v>
      </c>
      <c r="I375">
        <v>2</v>
      </c>
      <c r="J375">
        <v>0.4</v>
      </c>
      <c r="K375">
        <v>0.40910000000000002</v>
      </c>
      <c r="L375">
        <v>0.3</v>
      </c>
      <c r="M375">
        <v>0.29849999999999999</v>
      </c>
      <c r="N375">
        <v>40</v>
      </c>
      <c r="O375">
        <v>122</v>
      </c>
      <c r="P375">
        <v>162</v>
      </c>
    </row>
    <row r="376" spans="1:16" x14ac:dyDescent="0.3">
      <c r="A376">
        <v>985</v>
      </c>
      <c r="B376" s="1">
        <v>40587</v>
      </c>
      <c r="C376">
        <v>1</v>
      </c>
      <c r="D376">
        <v>0</v>
      </c>
      <c r="E376">
        <v>2</v>
      </c>
      <c r="F376">
        <v>16</v>
      </c>
      <c r="G376" t="b">
        <v>0</v>
      </c>
      <c r="H376">
        <v>0</v>
      </c>
      <c r="I376">
        <v>2</v>
      </c>
      <c r="J376">
        <v>0.42</v>
      </c>
      <c r="K376">
        <v>0.42420000000000002</v>
      </c>
      <c r="L376">
        <v>0.28000000000000003</v>
      </c>
      <c r="M376">
        <v>0.32840000000000003</v>
      </c>
      <c r="N376">
        <v>28</v>
      </c>
      <c r="O376">
        <v>106</v>
      </c>
      <c r="P376">
        <v>134</v>
      </c>
    </row>
    <row r="377" spans="1:16" x14ac:dyDescent="0.3">
      <c r="A377">
        <v>986</v>
      </c>
      <c r="B377" s="1">
        <v>40587</v>
      </c>
      <c r="C377">
        <v>1</v>
      </c>
      <c r="D377">
        <v>0</v>
      </c>
      <c r="E377">
        <v>2</v>
      </c>
      <c r="F377">
        <v>17</v>
      </c>
      <c r="G377" t="b">
        <v>0</v>
      </c>
      <c r="H377">
        <v>0</v>
      </c>
      <c r="I377">
        <v>1</v>
      </c>
      <c r="J377">
        <v>0.42</v>
      </c>
      <c r="K377">
        <v>0.42420000000000002</v>
      </c>
      <c r="L377">
        <v>0.28000000000000003</v>
      </c>
      <c r="M377">
        <v>0.32840000000000003</v>
      </c>
      <c r="N377">
        <v>30</v>
      </c>
      <c r="O377">
        <v>95</v>
      </c>
      <c r="P377">
        <v>125</v>
      </c>
    </row>
    <row r="378" spans="1:16" x14ac:dyDescent="0.3">
      <c r="A378">
        <v>987</v>
      </c>
      <c r="B378" s="1">
        <v>40587</v>
      </c>
      <c r="C378">
        <v>1</v>
      </c>
      <c r="D378">
        <v>0</v>
      </c>
      <c r="E378">
        <v>2</v>
      </c>
      <c r="F378">
        <v>18</v>
      </c>
      <c r="G378" t="b">
        <v>0</v>
      </c>
      <c r="H378">
        <v>0</v>
      </c>
      <c r="I378">
        <v>1</v>
      </c>
      <c r="J378">
        <v>0.4</v>
      </c>
      <c r="K378">
        <v>0.40910000000000002</v>
      </c>
      <c r="L378">
        <v>0.32</v>
      </c>
      <c r="M378">
        <v>0.29849999999999999</v>
      </c>
      <c r="N378">
        <v>17</v>
      </c>
      <c r="O378">
        <v>78</v>
      </c>
      <c r="P378">
        <v>95</v>
      </c>
    </row>
    <row r="379" spans="1:16" x14ac:dyDescent="0.3">
      <c r="A379">
        <v>988</v>
      </c>
      <c r="B379" s="1">
        <v>40587</v>
      </c>
      <c r="C379">
        <v>1</v>
      </c>
      <c r="D379">
        <v>0</v>
      </c>
      <c r="E379">
        <v>2</v>
      </c>
      <c r="F379">
        <v>19</v>
      </c>
      <c r="G379" t="b">
        <v>0</v>
      </c>
      <c r="H379">
        <v>0</v>
      </c>
      <c r="I379">
        <v>1</v>
      </c>
      <c r="J379">
        <v>0.4</v>
      </c>
      <c r="K379">
        <v>0.40910000000000002</v>
      </c>
      <c r="L379">
        <v>0.35</v>
      </c>
      <c r="M379">
        <v>0.28360000000000002</v>
      </c>
      <c r="N379">
        <v>11</v>
      </c>
      <c r="O379">
        <v>50</v>
      </c>
      <c r="P379">
        <v>61</v>
      </c>
    </row>
    <row r="380" spans="1:16" x14ac:dyDescent="0.3">
      <c r="A380">
        <v>989</v>
      </c>
      <c r="B380" s="1">
        <v>40587</v>
      </c>
      <c r="C380">
        <v>1</v>
      </c>
      <c r="D380">
        <v>0</v>
      </c>
      <c r="E380">
        <v>2</v>
      </c>
      <c r="F380">
        <v>20</v>
      </c>
      <c r="G380" t="b">
        <v>0</v>
      </c>
      <c r="H380">
        <v>0</v>
      </c>
      <c r="I380">
        <v>1</v>
      </c>
      <c r="J380">
        <v>0.4</v>
      </c>
      <c r="K380">
        <v>0.40910000000000002</v>
      </c>
      <c r="L380">
        <v>0.35</v>
      </c>
      <c r="M380">
        <v>0.32840000000000003</v>
      </c>
      <c r="N380">
        <v>15</v>
      </c>
      <c r="O380">
        <v>32</v>
      </c>
      <c r="P380">
        <v>47</v>
      </c>
    </row>
    <row r="381" spans="1:16" x14ac:dyDescent="0.3">
      <c r="A381">
        <v>990</v>
      </c>
      <c r="B381" s="1">
        <v>40587</v>
      </c>
      <c r="C381">
        <v>1</v>
      </c>
      <c r="D381">
        <v>0</v>
      </c>
      <c r="E381">
        <v>2</v>
      </c>
      <c r="F381">
        <v>21</v>
      </c>
      <c r="G381" t="b">
        <v>0</v>
      </c>
      <c r="H381">
        <v>0</v>
      </c>
      <c r="I381">
        <v>1</v>
      </c>
      <c r="J381">
        <v>0.4</v>
      </c>
      <c r="K381">
        <v>0.40910000000000002</v>
      </c>
      <c r="L381">
        <v>0.35</v>
      </c>
      <c r="M381">
        <v>0.35820000000000002</v>
      </c>
      <c r="N381">
        <v>6</v>
      </c>
      <c r="O381">
        <v>45</v>
      </c>
      <c r="P381">
        <v>51</v>
      </c>
    </row>
    <row r="382" spans="1:16" x14ac:dyDescent="0.3">
      <c r="A382">
        <v>991</v>
      </c>
      <c r="B382" s="1">
        <v>40587</v>
      </c>
      <c r="C382">
        <v>1</v>
      </c>
      <c r="D382">
        <v>0</v>
      </c>
      <c r="E382">
        <v>2</v>
      </c>
      <c r="F382">
        <v>22</v>
      </c>
      <c r="G382" t="b">
        <v>0</v>
      </c>
      <c r="H382">
        <v>0</v>
      </c>
      <c r="I382">
        <v>1</v>
      </c>
      <c r="J382">
        <v>0.4</v>
      </c>
      <c r="K382">
        <v>0.40910000000000002</v>
      </c>
      <c r="L382">
        <v>0.35</v>
      </c>
      <c r="M382">
        <v>0.29849999999999999</v>
      </c>
      <c r="N382">
        <v>5</v>
      </c>
      <c r="O382">
        <v>31</v>
      </c>
      <c r="P382">
        <v>36</v>
      </c>
    </row>
    <row r="383" spans="1:16" x14ac:dyDescent="0.3">
      <c r="A383">
        <v>992</v>
      </c>
      <c r="B383" s="1">
        <v>40587</v>
      </c>
      <c r="C383">
        <v>1</v>
      </c>
      <c r="D383">
        <v>0</v>
      </c>
      <c r="E383">
        <v>2</v>
      </c>
      <c r="F383">
        <v>23</v>
      </c>
      <c r="G383" t="b">
        <v>0</v>
      </c>
      <c r="H383">
        <v>0</v>
      </c>
      <c r="I383">
        <v>1</v>
      </c>
      <c r="J383">
        <v>0.4</v>
      </c>
      <c r="K383">
        <v>0.40910000000000002</v>
      </c>
      <c r="L383">
        <v>0.35</v>
      </c>
      <c r="M383">
        <v>0.35820000000000002</v>
      </c>
      <c r="N383">
        <v>3</v>
      </c>
      <c r="O383">
        <v>27</v>
      </c>
      <c r="P383">
        <v>30</v>
      </c>
    </row>
    <row r="384" spans="1:16" x14ac:dyDescent="0.3">
      <c r="A384">
        <v>993</v>
      </c>
      <c r="B384" s="1">
        <v>40588</v>
      </c>
      <c r="C384">
        <v>1</v>
      </c>
      <c r="D384">
        <v>0</v>
      </c>
      <c r="E384">
        <v>2</v>
      </c>
      <c r="F384">
        <v>0</v>
      </c>
      <c r="G384" t="b">
        <v>0</v>
      </c>
      <c r="H384">
        <v>1</v>
      </c>
      <c r="I384">
        <v>1</v>
      </c>
      <c r="J384">
        <v>0.38</v>
      </c>
      <c r="K384">
        <v>0.39389999999999997</v>
      </c>
      <c r="L384">
        <v>0.37</v>
      </c>
      <c r="M384">
        <v>0.35820000000000002</v>
      </c>
      <c r="N384">
        <v>3</v>
      </c>
      <c r="O384">
        <v>8</v>
      </c>
      <c r="P384">
        <v>11</v>
      </c>
    </row>
    <row r="385" spans="1:16" x14ac:dyDescent="0.3">
      <c r="A385">
        <v>994</v>
      </c>
      <c r="B385" s="1">
        <v>40588</v>
      </c>
      <c r="C385">
        <v>1</v>
      </c>
      <c r="D385">
        <v>0</v>
      </c>
      <c r="E385">
        <v>2</v>
      </c>
      <c r="F385">
        <v>1</v>
      </c>
      <c r="G385" t="b">
        <v>0</v>
      </c>
      <c r="H385">
        <v>1</v>
      </c>
      <c r="I385">
        <v>1</v>
      </c>
      <c r="J385">
        <v>0.38</v>
      </c>
      <c r="K385">
        <v>0.39389999999999997</v>
      </c>
      <c r="L385">
        <v>0.37</v>
      </c>
      <c r="M385">
        <v>0.35820000000000002</v>
      </c>
      <c r="N385">
        <v>1</v>
      </c>
      <c r="O385">
        <v>6</v>
      </c>
      <c r="P385">
        <v>7</v>
      </c>
    </row>
    <row r="386" spans="1:16" x14ac:dyDescent="0.3">
      <c r="A386">
        <v>995</v>
      </c>
      <c r="B386" s="1">
        <v>40588</v>
      </c>
      <c r="C386">
        <v>1</v>
      </c>
      <c r="D386">
        <v>0</v>
      </c>
      <c r="E386">
        <v>2</v>
      </c>
      <c r="F386">
        <v>2</v>
      </c>
      <c r="G386" t="b">
        <v>0</v>
      </c>
      <c r="H386">
        <v>1</v>
      </c>
      <c r="I386">
        <v>1</v>
      </c>
      <c r="J386">
        <v>0.36</v>
      </c>
      <c r="K386">
        <v>0.33329999999999999</v>
      </c>
      <c r="L386">
        <v>0.4</v>
      </c>
      <c r="M386">
        <v>0.29849999999999999</v>
      </c>
      <c r="N386">
        <v>0</v>
      </c>
      <c r="O386">
        <v>2</v>
      </c>
      <c r="P386">
        <v>2</v>
      </c>
    </row>
    <row r="387" spans="1:16" x14ac:dyDescent="0.3">
      <c r="A387">
        <v>996</v>
      </c>
      <c r="B387" s="1">
        <v>40588</v>
      </c>
      <c r="C387">
        <v>1</v>
      </c>
      <c r="D387">
        <v>0</v>
      </c>
      <c r="E387">
        <v>2</v>
      </c>
      <c r="F387">
        <v>3</v>
      </c>
      <c r="G387" t="b">
        <v>0</v>
      </c>
      <c r="H387">
        <v>1</v>
      </c>
      <c r="I387">
        <v>1</v>
      </c>
      <c r="J387">
        <v>0.34</v>
      </c>
      <c r="K387">
        <v>0.31819999999999998</v>
      </c>
      <c r="L387">
        <v>0.46</v>
      </c>
      <c r="M387">
        <v>0.22389999999999999</v>
      </c>
      <c r="N387">
        <v>1</v>
      </c>
      <c r="O387">
        <v>1</v>
      </c>
      <c r="P387">
        <v>2</v>
      </c>
    </row>
    <row r="388" spans="1:16" x14ac:dyDescent="0.3">
      <c r="A388">
        <v>997</v>
      </c>
      <c r="B388" s="1">
        <v>40588</v>
      </c>
      <c r="C388">
        <v>1</v>
      </c>
      <c r="D388">
        <v>0</v>
      </c>
      <c r="E388">
        <v>2</v>
      </c>
      <c r="F388">
        <v>4</v>
      </c>
      <c r="G388" t="b">
        <v>0</v>
      </c>
      <c r="H388">
        <v>1</v>
      </c>
      <c r="I388">
        <v>1</v>
      </c>
      <c r="J388">
        <v>0.32</v>
      </c>
      <c r="K388">
        <v>0.30299999999999999</v>
      </c>
      <c r="L388">
        <v>0.53</v>
      </c>
      <c r="M388">
        <v>0.28360000000000002</v>
      </c>
      <c r="N388">
        <v>0</v>
      </c>
      <c r="O388">
        <v>2</v>
      </c>
      <c r="P388">
        <v>2</v>
      </c>
    </row>
    <row r="389" spans="1:16" x14ac:dyDescent="0.3">
      <c r="A389">
        <v>998</v>
      </c>
      <c r="B389" s="1">
        <v>40588</v>
      </c>
      <c r="C389">
        <v>1</v>
      </c>
      <c r="D389">
        <v>0</v>
      </c>
      <c r="E389">
        <v>2</v>
      </c>
      <c r="F389">
        <v>5</v>
      </c>
      <c r="G389" t="b">
        <v>0</v>
      </c>
      <c r="H389">
        <v>1</v>
      </c>
      <c r="I389">
        <v>1</v>
      </c>
      <c r="J389">
        <v>0.32</v>
      </c>
      <c r="K389">
        <v>0.30299999999999999</v>
      </c>
      <c r="L389">
        <v>0.53</v>
      </c>
      <c r="M389">
        <v>0.28360000000000002</v>
      </c>
      <c r="N389">
        <v>0</v>
      </c>
      <c r="O389">
        <v>3</v>
      </c>
      <c r="P389">
        <v>3</v>
      </c>
    </row>
    <row r="390" spans="1:16" x14ac:dyDescent="0.3">
      <c r="A390">
        <v>999</v>
      </c>
      <c r="B390" s="1">
        <v>40588</v>
      </c>
      <c r="C390">
        <v>1</v>
      </c>
      <c r="D390">
        <v>0</v>
      </c>
      <c r="E390">
        <v>2</v>
      </c>
      <c r="F390">
        <v>6</v>
      </c>
      <c r="G390" t="b">
        <v>0</v>
      </c>
      <c r="H390">
        <v>1</v>
      </c>
      <c r="I390">
        <v>1</v>
      </c>
      <c r="J390">
        <v>0.34</v>
      </c>
      <c r="K390">
        <v>0.30299999999999999</v>
      </c>
      <c r="L390">
        <v>0.46</v>
      </c>
      <c r="M390">
        <v>0.29849999999999999</v>
      </c>
      <c r="N390">
        <v>1</v>
      </c>
      <c r="O390">
        <v>25</v>
      </c>
      <c r="P390">
        <v>26</v>
      </c>
    </row>
    <row r="391" spans="1:16" x14ac:dyDescent="0.3">
      <c r="A391">
        <v>1000</v>
      </c>
      <c r="B391" s="1">
        <v>40588</v>
      </c>
      <c r="C391">
        <v>1</v>
      </c>
      <c r="D391">
        <v>0</v>
      </c>
      <c r="E391">
        <v>2</v>
      </c>
      <c r="F391">
        <v>7</v>
      </c>
      <c r="G391" t="b">
        <v>0</v>
      </c>
      <c r="H391">
        <v>1</v>
      </c>
      <c r="I391">
        <v>1</v>
      </c>
      <c r="J391">
        <v>0.34</v>
      </c>
      <c r="K391">
        <v>0.30299999999999999</v>
      </c>
      <c r="L391">
        <v>0.46</v>
      </c>
      <c r="M391">
        <v>0.29849999999999999</v>
      </c>
      <c r="N391">
        <v>2</v>
      </c>
      <c r="O391">
        <v>96</v>
      </c>
      <c r="P391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0E8B-3DCE-4F54-9C22-9AF16EB8E0C5}">
  <dimension ref="A1:Y1001"/>
  <sheetViews>
    <sheetView tabSelected="1" workbookViewId="0">
      <selection activeCell="I14" sqref="I14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8.5546875" bestFit="1" customWidth="1"/>
    <col min="4" max="4" width="4.88671875" bestFit="1" customWidth="1"/>
    <col min="5" max="5" width="7.5546875" bestFit="1" customWidth="1"/>
    <col min="6" max="6" width="5" bestFit="1" customWidth="1"/>
    <col min="8" max="8" width="10.33203125" bestFit="1" customWidth="1"/>
    <col min="9" max="9" width="11.88671875" bestFit="1" customWidth="1"/>
    <col min="10" max="10" width="7.5546875" bestFit="1" customWidth="1"/>
    <col min="11" max="11" width="9.109375" customWidth="1"/>
    <col min="12" max="12" width="7.33203125" bestFit="1" customWidth="1"/>
    <col min="13" max="13" width="13.109375" bestFit="1" customWidth="1"/>
    <col min="14" max="14" width="8.6640625" bestFit="1" customWidth="1"/>
    <col min="15" max="15" width="12.44140625" bestFit="1" customWidth="1"/>
    <col min="16" max="16" width="6" bestFit="1" customWidth="1"/>
    <col min="17" max="17" width="16.5546875" bestFit="1" customWidth="1"/>
    <col min="18" max="18" width="18.33203125" bestFit="1" customWidth="1"/>
    <col min="19" max="19" width="10.44140625" bestFit="1" customWidth="1"/>
    <col min="20" max="20" width="14.44140625" bestFit="1" customWidth="1"/>
    <col min="21" max="21" width="14.6640625" bestFit="1" customWidth="1"/>
    <col min="22" max="22" width="21.88671875" bestFit="1" customWidth="1"/>
    <col min="23" max="23" width="19.6640625" bestFit="1" customWidth="1"/>
    <col min="24" max="24" width="25.88671875" bestFit="1" customWidth="1"/>
    <col min="25" max="25" width="15" bestFit="1" customWidth="1"/>
  </cols>
  <sheetData>
    <row r="1" spans="1:25" ht="15.75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30</v>
      </c>
      <c r="R1" s="17" t="s">
        <v>31</v>
      </c>
      <c r="S1" s="17" t="s">
        <v>32</v>
      </c>
      <c r="T1" s="17" t="s">
        <v>33</v>
      </c>
      <c r="U1" s="17" t="s">
        <v>34</v>
      </c>
      <c r="V1" s="17" t="s">
        <v>35</v>
      </c>
      <c r="W1" s="17" t="s">
        <v>36</v>
      </c>
      <c r="X1" t="s">
        <v>37</v>
      </c>
      <c r="Y1" t="s">
        <v>38</v>
      </c>
    </row>
    <row r="2" spans="1:25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  <c r="Q2" s="18" t="str">
        <f t="shared" ref="Q2:Q65" si="0">IF(OR(WEEKDAY(B2)=1, WEEKDAY(B2)=7), "Weekend", "Weekday")</f>
        <v>Weekend</v>
      </c>
      <c r="R2" s="18" t="str">
        <f t="shared" ref="R2:R65" si="1">IF(I2=1,"Clear",IF(I2=2,"Mist/Cloudy",IF(I2=3,"Light Rain/Snow","Heavy Rain/Snow")))</f>
        <v>Clear</v>
      </c>
      <c r="S2" s="17" t="str">
        <f t="shared" ref="S2:S65" si="2">IF(AND(F2&gt;=6, F2&lt;12), "Morning", IF(AND(F2&gt;=12, F2&lt;17), "Afternoon", IF(AND(F2&gt;=17, F2&lt;21), "Evening", "Night")))</f>
        <v>Night</v>
      </c>
      <c r="T2" s="17" t="str">
        <f t="shared" ref="T2:T65" si="3">TEXT(B2, "mmmm")</f>
        <v>January</v>
      </c>
      <c r="U2" s="17" t="str">
        <f t="shared" ref="U2:U65" si="4">CHOOSE(C2, "Spring", "Summer", "Fall", "Winter")</f>
        <v>Spring</v>
      </c>
      <c r="V2">
        <f t="shared" ref="V2:V65" si="5">CORREL($J$2:$J$1001, $P$2:$P$1001)</f>
        <v>0.22929155386993369</v>
      </c>
      <c r="W2">
        <f t="shared" ref="W2:W65" si="6">CORREL($L$2:$L$1001, $P$2:$P$1001)</f>
        <v>-0.25435329828790432</v>
      </c>
      <c r="X2" s="17">
        <f t="shared" ref="X2:X65" si="7">CORREL($M$2:$M$1001, $P$2:$P$1001)</f>
        <v>0.10399668008577614</v>
      </c>
      <c r="Y2" s="17">
        <f t="shared" ref="Y2:Y65" si="8">CORREL($F$2:$F$1001, $P$2:$P$1001)</f>
        <v>0.36604748519325236</v>
      </c>
    </row>
    <row r="3" spans="1:25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  <c r="Q3" s="18" t="str">
        <f t="shared" si="0"/>
        <v>Weekend</v>
      </c>
      <c r="R3" s="18" t="str">
        <f t="shared" si="1"/>
        <v>Clear</v>
      </c>
      <c r="S3" s="17" t="str">
        <f t="shared" si="2"/>
        <v>Night</v>
      </c>
      <c r="T3" s="17" t="str">
        <f t="shared" si="3"/>
        <v>January</v>
      </c>
      <c r="U3" s="17" t="str">
        <f t="shared" si="4"/>
        <v>Spring</v>
      </c>
      <c r="V3">
        <f t="shared" si="5"/>
        <v>0.22929155386993369</v>
      </c>
      <c r="W3">
        <f t="shared" si="6"/>
        <v>-0.25435329828790432</v>
      </c>
      <c r="X3">
        <f t="shared" si="7"/>
        <v>0.10399668008577614</v>
      </c>
      <c r="Y3">
        <f t="shared" si="8"/>
        <v>0.36604748519325236</v>
      </c>
    </row>
    <row r="4" spans="1:25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  <c r="Q4" s="18" t="str">
        <f t="shared" si="0"/>
        <v>Weekend</v>
      </c>
      <c r="R4" s="18" t="str">
        <f t="shared" si="1"/>
        <v>Clear</v>
      </c>
      <c r="S4" s="17" t="str">
        <f t="shared" si="2"/>
        <v>Night</v>
      </c>
      <c r="T4" s="17" t="str">
        <f t="shared" si="3"/>
        <v>January</v>
      </c>
      <c r="U4" s="17" t="str">
        <f t="shared" si="4"/>
        <v>Spring</v>
      </c>
      <c r="V4">
        <f t="shared" si="5"/>
        <v>0.22929155386993369</v>
      </c>
      <c r="W4">
        <f t="shared" si="6"/>
        <v>-0.25435329828790432</v>
      </c>
      <c r="X4">
        <f t="shared" si="7"/>
        <v>0.10399668008577614</v>
      </c>
      <c r="Y4">
        <f t="shared" si="8"/>
        <v>0.36604748519325236</v>
      </c>
    </row>
    <row r="5" spans="1:25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  <c r="Q5" s="18" t="str">
        <f>IF(OR(WEEKDAY(B5)=1, WEEKDAY(B5)=7), "Weekend", "Weekday")</f>
        <v>Weekend</v>
      </c>
      <c r="R5" s="18" t="str">
        <f t="shared" si="1"/>
        <v>Clear</v>
      </c>
      <c r="S5" s="17" t="str">
        <f t="shared" si="2"/>
        <v>Night</v>
      </c>
      <c r="T5" s="17" t="str">
        <f t="shared" si="3"/>
        <v>January</v>
      </c>
      <c r="U5" s="17" t="str">
        <f t="shared" si="4"/>
        <v>Spring</v>
      </c>
      <c r="V5">
        <f t="shared" si="5"/>
        <v>0.22929155386993369</v>
      </c>
      <c r="W5">
        <f t="shared" si="6"/>
        <v>-0.25435329828790432</v>
      </c>
      <c r="X5">
        <f t="shared" si="7"/>
        <v>0.10399668008577614</v>
      </c>
      <c r="Y5">
        <f t="shared" si="8"/>
        <v>0.36604748519325236</v>
      </c>
    </row>
    <row r="6" spans="1:25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  <c r="Q6" s="18" t="str">
        <f t="shared" si="0"/>
        <v>Weekend</v>
      </c>
      <c r="R6" s="18" t="str">
        <f t="shared" si="1"/>
        <v>Clear</v>
      </c>
      <c r="S6" s="17" t="str">
        <f t="shared" si="2"/>
        <v>Night</v>
      </c>
      <c r="T6" s="17" t="str">
        <f t="shared" si="3"/>
        <v>January</v>
      </c>
      <c r="U6" s="17" t="str">
        <f t="shared" si="4"/>
        <v>Spring</v>
      </c>
      <c r="V6">
        <f t="shared" si="5"/>
        <v>0.22929155386993369</v>
      </c>
      <c r="W6">
        <f t="shared" si="6"/>
        <v>-0.25435329828790432</v>
      </c>
      <c r="X6">
        <f t="shared" si="7"/>
        <v>0.10399668008577614</v>
      </c>
      <c r="Y6">
        <f t="shared" si="8"/>
        <v>0.36604748519325236</v>
      </c>
    </row>
    <row r="7" spans="1:25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  <c r="Q7" s="18" t="str">
        <f t="shared" si="0"/>
        <v>Weekend</v>
      </c>
      <c r="R7" s="18" t="str">
        <f t="shared" si="1"/>
        <v>Mist/Cloudy</v>
      </c>
      <c r="S7" s="17" t="str">
        <f t="shared" si="2"/>
        <v>Night</v>
      </c>
      <c r="T7" s="17" t="str">
        <f t="shared" si="3"/>
        <v>January</v>
      </c>
      <c r="U7" s="17" t="str">
        <f t="shared" si="4"/>
        <v>Spring</v>
      </c>
      <c r="V7">
        <f t="shared" si="5"/>
        <v>0.22929155386993369</v>
      </c>
      <c r="W7">
        <f t="shared" si="6"/>
        <v>-0.25435329828790432</v>
      </c>
      <c r="X7">
        <f t="shared" si="7"/>
        <v>0.10399668008577614</v>
      </c>
      <c r="Y7">
        <f t="shared" si="8"/>
        <v>0.36604748519325236</v>
      </c>
    </row>
    <row r="8" spans="1:25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  <c r="Q8" s="18" t="str">
        <f t="shared" si="0"/>
        <v>Weekend</v>
      </c>
      <c r="R8" s="18" t="str">
        <f t="shared" si="1"/>
        <v>Clear</v>
      </c>
      <c r="S8" s="17" t="str">
        <f t="shared" si="2"/>
        <v>Morning</v>
      </c>
      <c r="T8" s="17" t="str">
        <f t="shared" si="3"/>
        <v>January</v>
      </c>
      <c r="U8" s="17" t="str">
        <f t="shared" si="4"/>
        <v>Spring</v>
      </c>
      <c r="V8">
        <f t="shared" si="5"/>
        <v>0.22929155386993369</v>
      </c>
      <c r="W8">
        <f t="shared" si="6"/>
        <v>-0.25435329828790432</v>
      </c>
      <c r="X8">
        <f t="shared" si="7"/>
        <v>0.10399668008577614</v>
      </c>
      <c r="Y8">
        <f t="shared" si="8"/>
        <v>0.36604748519325236</v>
      </c>
    </row>
    <row r="9" spans="1:25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  <c r="Q9" s="18" t="str">
        <f t="shared" si="0"/>
        <v>Weekend</v>
      </c>
      <c r="R9" s="18" t="str">
        <f t="shared" si="1"/>
        <v>Clear</v>
      </c>
      <c r="S9" s="17" t="str">
        <f t="shared" si="2"/>
        <v>Morning</v>
      </c>
      <c r="T9" s="17" t="str">
        <f t="shared" si="3"/>
        <v>January</v>
      </c>
      <c r="U9" s="17" t="str">
        <f t="shared" si="4"/>
        <v>Spring</v>
      </c>
      <c r="V9">
        <f t="shared" si="5"/>
        <v>0.22929155386993369</v>
      </c>
      <c r="W9">
        <f t="shared" si="6"/>
        <v>-0.25435329828790432</v>
      </c>
      <c r="X9">
        <f t="shared" si="7"/>
        <v>0.10399668008577614</v>
      </c>
      <c r="Y9">
        <f t="shared" si="8"/>
        <v>0.36604748519325236</v>
      </c>
    </row>
    <row r="10" spans="1:25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0.19993</v>
      </c>
      <c r="L10">
        <v>0.75</v>
      </c>
      <c r="M10">
        <v>0</v>
      </c>
      <c r="N10">
        <v>1</v>
      </c>
      <c r="O10">
        <v>7</v>
      </c>
      <c r="P10">
        <v>8</v>
      </c>
      <c r="Q10" s="18" t="str">
        <f t="shared" si="0"/>
        <v>Weekend</v>
      </c>
      <c r="R10" s="18" t="str">
        <f t="shared" si="1"/>
        <v>Clear</v>
      </c>
      <c r="S10" s="17" t="str">
        <f t="shared" si="2"/>
        <v>Morning</v>
      </c>
      <c r="T10" s="17" t="str">
        <f t="shared" si="3"/>
        <v>January</v>
      </c>
      <c r="U10" s="17" t="str">
        <f t="shared" si="4"/>
        <v>Spring</v>
      </c>
      <c r="V10">
        <f t="shared" si="5"/>
        <v>0.22929155386993369</v>
      </c>
      <c r="W10">
        <f t="shared" si="6"/>
        <v>-0.25435329828790432</v>
      </c>
      <c r="X10">
        <f t="shared" si="7"/>
        <v>0.10399668008577614</v>
      </c>
      <c r="Y10">
        <f t="shared" si="8"/>
        <v>0.36604748519325236</v>
      </c>
    </row>
    <row r="11" spans="1:25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  <c r="Q11" s="18" t="str">
        <f t="shared" si="0"/>
        <v>Weekend</v>
      </c>
      <c r="R11" s="18" t="str">
        <f t="shared" si="1"/>
        <v>Clear</v>
      </c>
      <c r="S11" s="17" t="str">
        <f t="shared" si="2"/>
        <v>Morning</v>
      </c>
      <c r="T11" s="17" t="str">
        <f t="shared" si="3"/>
        <v>January</v>
      </c>
      <c r="U11" s="17" t="str">
        <f t="shared" si="4"/>
        <v>Spring</v>
      </c>
      <c r="V11">
        <f t="shared" si="5"/>
        <v>0.22929155386993369</v>
      </c>
      <c r="W11">
        <f t="shared" si="6"/>
        <v>-0.25435329828790432</v>
      </c>
      <c r="X11">
        <f t="shared" si="7"/>
        <v>0.10399668008577614</v>
      </c>
      <c r="Y11">
        <f t="shared" si="8"/>
        <v>0.36604748519325236</v>
      </c>
    </row>
    <row r="12" spans="1:25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  <c r="Q12" s="18" t="str">
        <f t="shared" si="0"/>
        <v>Weekend</v>
      </c>
      <c r="R12" s="18" t="str">
        <f t="shared" si="1"/>
        <v>Clear</v>
      </c>
      <c r="S12" s="17" t="str">
        <f t="shared" si="2"/>
        <v>Morning</v>
      </c>
      <c r="T12" s="17" t="str">
        <f t="shared" si="3"/>
        <v>January</v>
      </c>
      <c r="U12" s="17" t="str">
        <f t="shared" si="4"/>
        <v>Spring</v>
      </c>
      <c r="V12">
        <f t="shared" si="5"/>
        <v>0.22929155386993369</v>
      </c>
      <c r="W12">
        <f t="shared" si="6"/>
        <v>-0.25435329828790432</v>
      </c>
      <c r="X12">
        <f t="shared" si="7"/>
        <v>0.10399668008577614</v>
      </c>
      <c r="Y12">
        <f t="shared" si="8"/>
        <v>0.36604748519325236</v>
      </c>
    </row>
    <row r="13" spans="1:25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  <c r="Q13" s="18" t="str">
        <f t="shared" si="0"/>
        <v>Weekend</v>
      </c>
      <c r="R13" s="18" t="str">
        <f t="shared" si="1"/>
        <v>Clear</v>
      </c>
      <c r="S13" s="17" t="str">
        <f t="shared" si="2"/>
        <v>Morning</v>
      </c>
      <c r="T13" s="17" t="str">
        <f t="shared" si="3"/>
        <v>January</v>
      </c>
      <c r="U13" s="17" t="str">
        <f t="shared" si="4"/>
        <v>Spring</v>
      </c>
      <c r="V13">
        <f t="shared" si="5"/>
        <v>0.22929155386993369</v>
      </c>
      <c r="W13">
        <f t="shared" si="6"/>
        <v>-0.25435329828790432</v>
      </c>
      <c r="X13">
        <f t="shared" si="7"/>
        <v>0.10399668008577614</v>
      </c>
      <c r="Y13">
        <f t="shared" si="8"/>
        <v>0.36604748519325236</v>
      </c>
    </row>
    <row r="14" spans="1:25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  <c r="Q14" s="18" t="str">
        <f t="shared" si="0"/>
        <v>Weekend</v>
      </c>
      <c r="R14" s="18" t="str">
        <f t="shared" si="1"/>
        <v>Clear</v>
      </c>
      <c r="S14" s="17" t="str">
        <f t="shared" si="2"/>
        <v>Afternoon</v>
      </c>
      <c r="T14" s="17" t="str">
        <f t="shared" si="3"/>
        <v>January</v>
      </c>
      <c r="U14" s="17" t="str">
        <f t="shared" si="4"/>
        <v>Spring</v>
      </c>
      <c r="V14">
        <f t="shared" si="5"/>
        <v>0.22929155386993369</v>
      </c>
      <c r="W14">
        <f t="shared" si="6"/>
        <v>-0.25435329828790432</v>
      </c>
      <c r="X14">
        <f t="shared" si="7"/>
        <v>0.10399668008577614</v>
      </c>
      <c r="Y14">
        <f t="shared" si="8"/>
        <v>0.36604748519325236</v>
      </c>
    </row>
    <row r="15" spans="1:25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  <c r="Q15" s="18" t="str">
        <f t="shared" si="0"/>
        <v>Weekend</v>
      </c>
      <c r="R15" s="18" t="str">
        <f t="shared" si="1"/>
        <v>Mist/Cloudy</v>
      </c>
      <c r="S15" s="17" t="str">
        <f t="shared" si="2"/>
        <v>Afternoon</v>
      </c>
      <c r="T15" s="17" t="str">
        <f t="shared" si="3"/>
        <v>January</v>
      </c>
      <c r="U15" s="17" t="str">
        <f t="shared" si="4"/>
        <v>Spring</v>
      </c>
      <c r="V15">
        <f t="shared" si="5"/>
        <v>0.22929155386993369</v>
      </c>
      <c r="W15">
        <f t="shared" si="6"/>
        <v>-0.25435329828790432</v>
      </c>
      <c r="X15">
        <f t="shared" si="7"/>
        <v>0.10399668008577614</v>
      </c>
      <c r="Y15">
        <f t="shared" si="8"/>
        <v>0.36604748519325236</v>
      </c>
    </row>
    <row r="16" spans="1:25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  <c r="Q16" s="18" t="str">
        <f t="shared" si="0"/>
        <v>Weekend</v>
      </c>
      <c r="R16" s="18" t="str">
        <f t="shared" si="1"/>
        <v>Mist/Cloudy</v>
      </c>
      <c r="S16" s="17" t="str">
        <f t="shared" si="2"/>
        <v>Afternoon</v>
      </c>
      <c r="T16" s="17" t="str">
        <f t="shared" si="3"/>
        <v>January</v>
      </c>
      <c r="U16" s="17" t="str">
        <f t="shared" si="4"/>
        <v>Spring</v>
      </c>
      <c r="V16">
        <f t="shared" si="5"/>
        <v>0.22929155386993369</v>
      </c>
      <c r="W16">
        <f t="shared" si="6"/>
        <v>-0.25435329828790432</v>
      </c>
      <c r="X16">
        <f t="shared" si="7"/>
        <v>0.10399668008577614</v>
      </c>
      <c r="Y16">
        <f t="shared" si="8"/>
        <v>0.36604748519325236</v>
      </c>
    </row>
    <row r="17" spans="1:25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  <c r="Q17" s="18" t="str">
        <f t="shared" si="0"/>
        <v>Weekend</v>
      </c>
      <c r="R17" s="18" t="str">
        <f t="shared" si="1"/>
        <v>Mist/Cloudy</v>
      </c>
      <c r="S17" s="17" t="str">
        <f t="shared" si="2"/>
        <v>Afternoon</v>
      </c>
      <c r="T17" s="17" t="str">
        <f t="shared" si="3"/>
        <v>January</v>
      </c>
      <c r="U17" s="17" t="str">
        <f t="shared" si="4"/>
        <v>Spring</v>
      </c>
      <c r="V17">
        <f t="shared" si="5"/>
        <v>0.22929155386993369</v>
      </c>
      <c r="W17">
        <f t="shared" si="6"/>
        <v>-0.25435329828790432</v>
      </c>
      <c r="X17">
        <f t="shared" si="7"/>
        <v>0.10399668008577614</v>
      </c>
      <c r="Y17">
        <f t="shared" si="8"/>
        <v>0.36604748519325236</v>
      </c>
    </row>
    <row r="18" spans="1:25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  <c r="Q18" s="18" t="str">
        <f t="shared" si="0"/>
        <v>Weekend</v>
      </c>
      <c r="R18" s="18" t="str">
        <f t="shared" si="1"/>
        <v>Mist/Cloudy</v>
      </c>
      <c r="S18" s="17" t="str">
        <f t="shared" si="2"/>
        <v>Afternoon</v>
      </c>
      <c r="T18" s="17" t="str">
        <f t="shared" si="3"/>
        <v>January</v>
      </c>
      <c r="U18" s="17" t="str">
        <f t="shared" si="4"/>
        <v>Spring</v>
      </c>
      <c r="V18">
        <f t="shared" si="5"/>
        <v>0.22929155386993369</v>
      </c>
      <c r="W18">
        <f t="shared" si="6"/>
        <v>-0.25435329828790432</v>
      </c>
      <c r="X18">
        <f t="shared" si="7"/>
        <v>0.10399668008577614</v>
      </c>
      <c r="Y18">
        <f t="shared" si="8"/>
        <v>0.36604748519325236</v>
      </c>
    </row>
    <row r="19" spans="1:25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0.19993</v>
      </c>
      <c r="L19">
        <v>0.82</v>
      </c>
      <c r="M19">
        <v>0.28360000000000002</v>
      </c>
      <c r="N19">
        <v>15</v>
      </c>
      <c r="O19">
        <v>52</v>
      </c>
      <c r="P19">
        <v>67</v>
      </c>
      <c r="Q19" s="18" t="str">
        <f t="shared" si="0"/>
        <v>Weekend</v>
      </c>
      <c r="R19" s="18" t="str">
        <f t="shared" si="1"/>
        <v>Mist/Cloudy</v>
      </c>
      <c r="S19" s="17" t="str">
        <f t="shared" si="2"/>
        <v>Evening</v>
      </c>
      <c r="T19" s="17" t="str">
        <f t="shared" si="3"/>
        <v>January</v>
      </c>
      <c r="U19" s="17" t="str">
        <f t="shared" si="4"/>
        <v>Spring</v>
      </c>
      <c r="V19">
        <f t="shared" si="5"/>
        <v>0.22929155386993369</v>
      </c>
      <c r="W19">
        <f t="shared" si="6"/>
        <v>-0.25435329828790432</v>
      </c>
      <c r="X19">
        <f t="shared" si="7"/>
        <v>0.10399668008577614</v>
      </c>
      <c r="Y19">
        <f t="shared" si="8"/>
        <v>0.36604748519325236</v>
      </c>
    </row>
    <row r="20" spans="1:25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  <c r="Q20" s="18" t="str">
        <f t="shared" si="0"/>
        <v>Weekend</v>
      </c>
      <c r="R20" s="18" t="str">
        <f t="shared" si="1"/>
        <v>Light Rain/Snow</v>
      </c>
      <c r="S20" s="17" t="str">
        <f t="shared" si="2"/>
        <v>Evening</v>
      </c>
      <c r="T20" s="17" t="str">
        <f t="shared" si="3"/>
        <v>January</v>
      </c>
      <c r="U20" s="17" t="str">
        <f t="shared" si="4"/>
        <v>Spring</v>
      </c>
      <c r="V20">
        <f t="shared" si="5"/>
        <v>0.22929155386993369</v>
      </c>
      <c r="W20">
        <f t="shared" si="6"/>
        <v>-0.25435329828790432</v>
      </c>
      <c r="X20">
        <f t="shared" si="7"/>
        <v>0.10399668008577614</v>
      </c>
      <c r="Y20">
        <f t="shared" si="8"/>
        <v>0.36604748519325236</v>
      </c>
    </row>
    <row r="21" spans="1:25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  <c r="Q21" s="18" t="str">
        <f t="shared" si="0"/>
        <v>Weekend</v>
      </c>
      <c r="R21" s="18" t="str">
        <f t="shared" si="1"/>
        <v>Light Rain/Snow</v>
      </c>
      <c r="S21" s="17" t="str">
        <f t="shared" si="2"/>
        <v>Evening</v>
      </c>
      <c r="T21" s="17" t="str">
        <f t="shared" si="3"/>
        <v>January</v>
      </c>
      <c r="U21" s="17" t="str">
        <f t="shared" si="4"/>
        <v>Spring</v>
      </c>
      <c r="V21">
        <f t="shared" si="5"/>
        <v>0.22929155386993369</v>
      </c>
      <c r="W21">
        <f t="shared" si="6"/>
        <v>-0.25435329828790432</v>
      </c>
      <c r="X21">
        <f t="shared" si="7"/>
        <v>0.10399668008577614</v>
      </c>
      <c r="Y21">
        <f t="shared" si="8"/>
        <v>0.36604748519325236</v>
      </c>
    </row>
    <row r="22" spans="1:25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  <c r="Q22" s="18" t="str">
        <f t="shared" si="0"/>
        <v>Weekend</v>
      </c>
      <c r="R22" s="18" t="str">
        <f t="shared" si="1"/>
        <v>Mist/Cloudy</v>
      </c>
      <c r="S22" s="17" t="str">
        <f t="shared" si="2"/>
        <v>Evening</v>
      </c>
      <c r="T22" s="17" t="str">
        <f t="shared" si="3"/>
        <v>January</v>
      </c>
      <c r="U22" s="17" t="str">
        <f t="shared" si="4"/>
        <v>Spring</v>
      </c>
      <c r="V22">
        <f t="shared" si="5"/>
        <v>0.22929155386993369</v>
      </c>
      <c r="W22">
        <f t="shared" si="6"/>
        <v>-0.25435329828790432</v>
      </c>
      <c r="X22">
        <f t="shared" si="7"/>
        <v>0.10399668008577614</v>
      </c>
      <c r="Y22">
        <f t="shared" si="8"/>
        <v>0.36604748519325236</v>
      </c>
    </row>
    <row r="23" spans="1:25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  <c r="Q23" s="18" t="str">
        <f t="shared" si="0"/>
        <v>Weekend</v>
      </c>
      <c r="R23" s="18" t="str">
        <f t="shared" si="1"/>
        <v>Mist/Cloudy</v>
      </c>
      <c r="S23" s="17" t="str">
        <f t="shared" si="2"/>
        <v>Night</v>
      </c>
      <c r="T23" s="17" t="str">
        <f t="shared" si="3"/>
        <v>January</v>
      </c>
      <c r="U23" s="17" t="str">
        <f t="shared" si="4"/>
        <v>Spring</v>
      </c>
      <c r="V23">
        <f t="shared" si="5"/>
        <v>0.22929155386993369</v>
      </c>
      <c r="W23">
        <f t="shared" si="6"/>
        <v>-0.25435329828790432</v>
      </c>
      <c r="X23">
        <f t="shared" si="7"/>
        <v>0.10399668008577614</v>
      </c>
      <c r="Y23">
        <f t="shared" si="8"/>
        <v>0.36604748519325236</v>
      </c>
    </row>
    <row r="24" spans="1:25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  <c r="Q24" s="18" t="str">
        <f t="shared" si="0"/>
        <v>Weekend</v>
      </c>
      <c r="R24" s="18" t="str">
        <f t="shared" si="1"/>
        <v>Mist/Cloudy</v>
      </c>
      <c r="S24" s="17" t="str">
        <f t="shared" si="2"/>
        <v>Night</v>
      </c>
      <c r="T24" s="17" t="str">
        <f t="shared" si="3"/>
        <v>January</v>
      </c>
      <c r="U24" s="17" t="str">
        <f t="shared" si="4"/>
        <v>Spring</v>
      </c>
      <c r="V24">
        <f t="shared" si="5"/>
        <v>0.22929155386993369</v>
      </c>
      <c r="W24">
        <f t="shared" si="6"/>
        <v>-0.25435329828790432</v>
      </c>
      <c r="X24">
        <f t="shared" si="7"/>
        <v>0.10399668008577614</v>
      </c>
      <c r="Y24">
        <f t="shared" si="8"/>
        <v>0.36604748519325236</v>
      </c>
    </row>
    <row r="25" spans="1:25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0.19993</v>
      </c>
      <c r="L25">
        <v>0.88</v>
      </c>
      <c r="M25">
        <v>0.29849999999999999</v>
      </c>
      <c r="N25">
        <v>15</v>
      </c>
      <c r="O25">
        <v>24</v>
      </c>
      <c r="P25">
        <v>39</v>
      </c>
      <c r="Q25" s="18" t="str">
        <f t="shared" si="0"/>
        <v>Weekend</v>
      </c>
      <c r="R25" s="18" t="str">
        <f t="shared" si="1"/>
        <v>Mist/Cloudy</v>
      </c>
      <c r="S25" s="17" t="str">
        <f t="shared" si="2"/>
        <v>Night</v>
      </c>
      <c r="T25" s="17" t="str">
        <f t="shared" si="3"/>
        <v>January</v>
      </c>
      <c r="U25" s="17" t="str">
        <f t="shared" si="4"/>
        <v>Spring</v>
      </c>
      <c r="V25">
        <f t="shared" si="5"/>
        <v>0.22929155386993369</v>
      </c>
      <c r="W25">
        <f t="shared" si="6"/>
        <v>-0.25435329828790432</v>
      </c>
      <c r="X25">
        <f t="shared" si="7"/>
        <v>0.10399668008577614</v>
      </c>
      <c r="Y25">
        <f t="shared" si="8"/>
        <v>0.36604748519325236</v>
      </c>
    </row>
    <row r="26" spans="1:25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  <c r="Q26" s="18" t="str">
        <f t="shared" si="0"/>
        <v>Weekend</v>
      </c>
      <c r="R26" s="18" t="str">
        <f t="shared" si="1"/>
        <v>Mist/Cloudy</v>
      </c>
      <c r="S26" s="17" t="str">
        <f t="shared" si="2"/>
        <v>Night</v>
      </c>
      <c r="T26" s="17" t="str">
        <f t="shared" si="3"/>
        <v>January</v>
      </c>
      <c r="U26" s="17" t="str">
        <f t="shared" si="4"/>
        <v>Spring</v>
      </c>
      <c r="V26">
        <f t="shared" si="5"/>
        <v>0.22929155386993369</v>
      </c>
      <c r="W26">
        <f t="shared" si="6"/>
        <v>-0.25435329828790432</v>
      </c>
      <c r="X26">
        <f t="shared" si="7"/>
        <v>0.10399668008577614</v>
      </c>
      <c r="Y26">
        <f t="shared" si="8"/>
        <v>0.36604748519325236</v>
      </c>
    </row>
    <row r="27" spans="1:25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  <c r="Q27" s="18" t="str">
        <f t="shared" si="0"/>
        <v>Weekend</v>
      </c>
      <c r="R27" s="18" t="str">
        <f t="shared" si="1"/>
        <v>Mist/Cloudy</v>
      </c>
      <c r="S27" s="17" t="str">
        <f t="shared" si="2"/>
        <v>Night</v>
      </c>
      <c r="T27" s="17" t="str">
        <f t="shared" si="3"/>
        <v>January</v>
      </c>
      <c r="U27" s="17" t="str">
        <f t="shared" si="4"/>
        <v>Spring</v>
      </c>
      <c r="V27">
        <f t="shared" si="5"/>
        <v>0.22929155386993369</v>
      </c>
      <c r="W27">
        <f t="shared" si="6"/>
        <v>-0.25435329828790432</v>
      </c>
      <c r="X27">
        <f t="shared" si="7"/>
        <v>0.10399668008577614</v>
      </c>
      <c r="Y27">
        <f t="shared" si="8"/>
        <v>0.36604748519325236</v>
      </c>
    </row>
    <row r="28" spans="1:25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  <c r="Q28" s="18" t="str">
        <f t="shared" si="0"/>
        <v>Weekend</v>
      </c>
      <c r="R28" s="18" t="str">
        <f t="shared" si="1"/>
        <v>Mist/Cloudy</v>
      </c>
      <c r="S28" s="17" t="str">
        <f t="shared" si="2"/>
        <v>Night</v>
      </c>
      <c r="T28" s="17" t="str">
        <f t="shared" si="3"/>
        <v>January</v>
      </c>
      <c r="U28" s="17" t="str">
        <f t="shared" si="4"/>
        <v>Spring</v>
      </c>
      <c r="V28">
        <f t="shared" si="5"/>
        <v>0.22929155386993369</v>
      </c>
      <c r="W28">
        <f t="shared" si="6"/>
        <v>-0.25435329828790432</v>
      </c>
      <c r="X28">
        <f t="shared" si="7"/>
        <v>0.10399668008577614</v>
      </c>
      <c r="Y28">
        <f t="shared" si="8"/>
        <v>0.36604748519325236</v>
      </c>
    </row>
    <row r="29" spans="1:25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  <c r="Q29" s="18" t="str">
        <f t="shared" si="0"/>
        <v>Weekend</v>
      </c>
      <c r="R29" s="18" t="str">
        <f t="shared" si="1"/>
        <v>Mist/Cloudy</v>
      </c>
      <c r="S29" s="17" t="str">
        <f t="shared" si="2"/>
        <v>Night</v>
      </c>
      <c r="T29" s="17" t="str">
        <f t="shared" si="3"/>
        <v>January</v>
      </c>
      <c r="U29" s="17" t="str">
        <f t="shared" si="4"/>
        <v>Spring</v>
      </c>
      <c r="V29">
        <f t="shared" si="5"/>
        <v>0.22929155386993369</v>
      </c>
      <c r="W29">
        <f t="shared" si="6"/>
        <v>-0.25435329828790432</v>
      </c>
      <c r="X29">
        <f t="shared" si="7"/>
        <v>0.10399668008577614</v>
      </c>
      <c r="Y29">
        <f t="shared" si="8"/>
        <v>0.36604748519325236</v>
      </c>
    </row>
    <row r="30" spans="1:25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0.19993</v>
      </c>
      <c r="L30">
        <v>0.94</v>
      </c>
      <c r="M30">
        <v>0.19400000000000001</v>
      </c>
      <c r="N30">
        <v>2</v>
      </c>
      <c r="O30">
        <v>1</v>
      </c>
      <c r="P30">
        <v>3</v>
      </c>
      <c r="Q30" s="18" t="str">
        <f t="shared" si="0"/>
        <v>Weekend</v>
      </c>
      <c r="R30" s="18" t="str">
        <f t="shared" si="1"/>
        <v>Mist/Cloudy</v>
      </c>
      <c r="S30" s="17" t="str">
        <f t="shared" si="2"/>
        <v>Night</v>
      </c>
      <c r="T30" s="17" t="str">
        <f t="shared" si="3"/>
        <v>January</v>
      </c>
      <c r="U30" s="17" t="str">
        <f t="shared" si="4"/>
        <v>Spring</v>
      </c>
      <c r="V30">
        <f t="shared" si="5"/>
        <v>0.22929155386993369</v>
      </c>
      <c r="W30">
        <f t="shared" si="6"/>
        <v>-0.25435329828790432</v>
      </c>
      <c r="X30">
        <f t="shared" si="7"/>
        <v>0.10399668008577614</v>
      </c>
      <c r="Y30">
        <f t="shared" si="8"/>
        <v>0.36604748519325236</v>
      </c>
    </row>
    <row r="31" spans="1:25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  <c r="Q31" s="18" t="str">
        <f t="shared" si="0"/>
        <v>Weekend</v>
      </c>
      <c r="R31" s="18" t="str">
        <f t="shared" si="1"/>
        <v>Light Rain/Snow</v>
      </c>
      <c r="S31" s="17" t="str">
        <f t="shared" si="2"/>
        <v>Morning</v>
      </c>
      <c r="T31" s="17" t="str">
        <f t="shared" si="3"/>
        <v>January</v>
      </c>
      <c r="U31" s="17" t="str">
        <f t="shared" si="4"/>
        <v>Spring</v>
      </c>
      <c r="V31">
        <f t="shared" si="5"/>
        <v>0.22929155386993369</v>
      </c>
      <c r="W31">
        <f t="shared" si="6"/>
        <v>-0.25435329828790432</v>
      </c>
      <c r="X31">
        <f t="shared" si="7"/>
        <v>0.10399668008577614</v>
      </c>
      <c r="Y31">
        <f t="shared" si="8"/>
        <v>0.36604748519325236</v>
      </c>
    </row>
    <row r="32" spans="1:25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  <c r="Q32" s="18" t="str">
        <f t="shared" si="0"/>
        <v>Weekend</v>
      </c>
      <c r="R32" s="18" t="str">
        <f t="shared" si="1"/>
        <v>Mist/Cloudy</v>
      </c>
      <c r="S32" s="17" t="str">
        <f t="shared" si="2"/>
        <v>Morning</v>
      </c>
      <c r="T32" s="17" t="str">
        <f t="shared" si="3"/>
        <v>January</v>
      </c>
      <c r="U32" s="17" t="str">
        <f t="shared" si="4"/>
        <v>Spring</v>
      </c>
      <c r="V32">
        <f t="shared" si="5"/>
        <v>0.22929155386993369</v>
      </c>
      <c r="W32">
        <f t="shared" si="6"/>
        <v>-0.25435329828790432</v>
      </c>
      <c r="X32">
        <f t="shared" si="7"/>
        <v>0.10399668008577614</v>
      </c>
      <c r="Y32">
        <f t="shared" si="8"/>
        <v>0.36604748519325236</v>
      </c>
    </row>
    <row r="33" spans="1:25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  <c r="Q33" s="18" t="str">
        <f t="shared" si="0"/>
        <v>Weekend</v>
      </c>
      <c r="R33" s="18" t="str">
        <f t="shared" si="1"/>
        <v>Light Rain/Snow</v>
      </c>
      <c r="S33" s="17" t="str">
        <f t="shared" si="2"/>
        <v>Morning</v>
      </c>
      <c r="T33" s="17" t="str">
        <f t="shared" si="3"/>
        <v>January</v>
      </c>
      <c r="U33" s="17" t="str">
        <f t="shared" si="4"/>
        <v>Spring</v>
      </c>
      <c r="V33">
        <f t="shared" si="5"/>
        <v>0.22929155386993369</v>
      </c>
      <c r="W33">
        <f t="shared" si="6"/>
        <v>-0.25435329828790432</v>
      </c>
      <c r="X33">
        <f t="shared" si="7"/>
        <v>0.10399668008577614</v>
      </c>
      <c r="Y33">
        <f t="shared" si="8"/>
        <v>0.36604748519325236</v>
      </c>
    </row>
    <row r="34" spans="1:25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0.19993</v>
      </c>
      <c r="L34">
        <v>0.76</v>
      </c>
      <c r="M34">
        <v>0.22389999999999999</v>
      </c>
      <c r="N34">
        <v>1</v>
      </c>
      <c r="O34">
        <v>19</v>
      </c>
      <c r="P34">
        <v>20</v>
      </c>
      <c r="Q34" s="18" t="str">
        <f t="shared" si="0"/>
        <v>Weekend</v>
      </c>
      <c r="R34" s="18" t="str">
        <f t="shared" si="1"/>
        <v>Mist/Cloudy</v>
      </c>
      <c r="S34" s="17" t="str">
        <f t="shared" si="2"/>
        <v>Morning</v>
      </c>
      <c r="T34" s="17" t="str">
        <f t="shared" si="3"/>
        <v>January</v>
      </c>
      <c r="U34" s="17" t="str">
        <f t="shared" si="4"/>
        <v>Spring</v>
      </c>
      <c r="V34">
        <f t="shared" si="5"/>
        <v>0.22929155386993369</v>
      </c>
      <c r="W34">
        <f t="shared" si="6"/>
        <v>-0.25435329828790432</v>
      </c>
      <c r="X34">
        <f t="shared" si="7"/>
        <v>0.10399668008577614</v>
      </c>
      <c r="Y34">
        <f t="shared" si="8"/>
        <v>0.36604748519325236</v>
      </c>
    </row>
    <row r="35" spans="1:25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  <c r="Q35" s="18" t="str">
        <f t="shared" si="0"/>
        <v>Weekend</v>
      </c>
      <c r="R35" s="18" t="str">
        <f t="shared" si="1"/>
        <v>Mist/Cloudy</v>
      </c>
      <c r="S35" s="17" t="str">
        <f t="shared" si="2"/>
        <v>Morning</v>
      </c>
      <c r="T35" s="17" t="str">
        <f t="shared" si="3"/>
        <v>January</v>
      </c>
      <c r="U35" s="17" t="str">
        <f t="shared" si="4"/>
        <v>Spring</v>
      </c>
      <c r="V35">
        <f t="shared" si="5"/>
        <v>0.22929155386993369</v>
      </c>
      <c r="W35">
        <f t="shared" si="6"/>
        <v>-0.25435329828790432</v>
      </c>
      <c r="X35">
        <f t="shared" si="7"/>
        <v>0.10399668008577614</v>
      </c>
      <c r="Y35">
        <f t="shared" si="8"/>
        <v>0.36604748519325236</v>
      </c>
    </row>
    <row r="36" spans="1:25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  <c r="Q36" s="18" t="str">
        <f t="shared" si="0"/>
        <v>Weekend</v>
      </c>
      <c r="R36" s="18" t="str">
        <f t="shared" si="1"/>
        <v>Mist/Cloudy</v>
      </c>
      <c r="S36" s="17" t="str">
        <f t="shared" si="2"/>
        <v>Morning</v>
      </c>
      <c r="T36" s="17" t="str">
        <f t="shared" si="3"/>
        <v>January</v>
      </c>
      <c r="U36" s="17" t="str">
        <f t="shared" si="4"/>
        <v>Spring</v>
      </c>
      <c r="V36">
        <f t="shared" si="5"/>
        <v>0.22929155386993369</v>
      </c>
      <c r="W36">
        <f t="shared" si="6"/>
        <v>-0.25435329828790432</v>
      </c>
      <c r="X36">
        <f t="shared" si="7"/>
        <v>0.10399668008577614</v>
      </c>
      <c r="Y36">
        <f t="shared" si="8"/>
        <v>0.36604748519325236</v>
      </c>
    </row>
    <row r="37" spans="1:25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  <c r="Q37" s="18" t="str">
        <f t="shared" si="0"/>
        <v>Weekend</v>
      </c>
      <c r="R37" s="18" t="str">
        <f t="shared" si="1"/>
        <v>Mist/Cloudy</v>
      </c>
      <c r="S37" s="17" t="str">
        <f t="shared" si="2"/>
        <v>Afternoon</v>
      </c>
      <c r="T37" s="17" t="str">
        <f t="shared" si="3"/>
        <v>January</v>
      </c>
      <c r="U37" s="17" t="str">
        <f t="shared" si="4"/>
        <v>Spring</v>
      </c>
      <c r="V37">
        <f t="shared" si="5"/>
        <v>0.22929155386993369</v>
      </c>
      <c r="W37">
        <f t="shared" si="6"/>
        <v>-0.25435329828790432</v>
      </c>
      <c r="X37">
        <f t="shared" si="7"/>
        <v>0.10399668008577614</v>
      </c>
      <c r="Y37">
        <f t="shared" si="8"/>
        <v>0.36604748519325236</v>
      </c>
    </row>
    <row r="38" spans="1:25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  <c r="Q38" s="18" t="str">
        <f t="shared" si="0"/>
        <v>Weekend</v>
      </c>
      <c r="R38" s="18" t="str">
        <f t="shared" si="1"/>
        <v>Mist/Cloudy</v>
      </c>
      <c r="S38" s="17" t="str">
        <f t="shared" si="2"/>
        <v>Afternoon</v>
      </c>
      <c r="T38" s="17" t="str">
        <f t="shared" si="3"/>
        <v>January</v>
      </c>
      <c r="U38" s="17" t="str">
        <f t="shared" si="4"/>
        <v>Spring</v>
      </c>
      <c r="V38">
        <f t="shared" si="5"/>
        <v>0.22929155386993369</v>
      </c>
      <c r="W38">
        <f t="shared" si="6"/>
        <v>-0.25435329828790432</v>
      </c>
      <c r="X38">
        <f t="shared" si="7"/>
        <v>0.10399668008577614</v>
      </c>
      <c r="Y38">
        <f t="shared" si="8"/>
        <v>0.36604748519325236</v>
      </c>
    </row>
    <row r="39" spans="1:25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0.19993</v>
      </c>
      <c r="L39">
        <v>0.76</v>
      </c>
      <c r="M39">
        <v>0.19400000000000001</v>
      </c>
      <c r="N39">
        <v>4</v>
      </c>
      <c r="O39">
        <v>55</v>
      </c>
      <c r="P39">
        <v>59</v>
      </c>
      <c r="Q39" s="18" t="str">
        <f t="shared" si="0"/>
        <v>Weekend</v>
      </c>
      <c r="R39" s="18" t="str">
        <f t="shared" si="1"/>
        <v>Light Rain/Snow</v>
      </c>
      <c r="S39" s="17" t="str">
        <f t="shared" si="2"/>
        <v>Afternoon</v>
      </c>
      <c r="T39" s="17" t="str">
        <f t="shared" si="3"/>
        <v>January</v>
      </c>
      <c r="U39" s="17" t="str">
        <f t="shared" si="4"/>
        <v>Spring</v>
      </c>
      <c r="V39">
        <f t="shared" si="5"/>
        <v>0.22929155386993369</v>
      </c>
      <c r="W39">
        <f t="shared" si="6"/>
        <v>-0.25435329828790432</v>
      </c>
      <c r="X39">
        <f t="shared" si="7"/>
        <v>0.10399668008577614</v>
      </c>
      <c r="Y39">
        <f t="shared" si="8"/>
        <v>0.36604748519325236</v>
      </c>
    </row>
    <row r="40" spans="1:25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  <c r="Q40" s="18" t="str">
        <f t="shared" si="0"/>
        <v>Weekend</v>
      </c>
      <c r="R40" s="18" t="str">
        <f t="shared" si="1"/>
        <v>Light Rain/Snow</v>
      </c>
      <c r="S40" s="17" t="str">
        <f t="shared" si="2"/>
        <v>Afternoon</v>
      </c>
      <c r="T40" s="17" t="str">
        <f t="shared" si="3"/>
        <v>January</v>
      </c>
      <c r="U40" s="17" t="str">
        <f t="shared" si="4"/>
        <v>Spring</v>
      </c>
      <c r="V40">
        <f t="shared" si="5"/>
        <v>0.22929155386993369</v>
      </c>
      <c r="W40">
        <f t="shared" si="6"/>
        <v>-0.25435329828790432</v>
      </c>
      <c r="X40">
        <f t="shared" si="7"/>
        <v>0.10399668008577614</v>
      </c>
      <c r="Y40">
        <f t="shared" si="8"/>
        <v>0.36604748519325236</v>
      </c>
    </row>
    <row r="41" spans="1:25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  <c r="Q41" s="18" t="str">
        <f t="shared" si="0"/>
        <v>Weekend</v>
      </c>
      <c r="R41" s="18" t="str">
        <f t="shared" si="1"/>
        <v>Light Rain/Snow</v>
      </c>
      <c r="S41" s="17" t="str">
        <f t="shared" si="2"/>
        <v>Afternoon</v>
      </c>
      <c r="T41" s="17" t="str">
        <f t="shared" si="3"/>
        <v>January</v>
      </c>
      <c r="U41" s="17" t="str">
        <f t="shared" si="4"/>
        <v>Spring</v>
      </c>
      <c r="V41">
        <f t="shared" si="5"/>
        <v>0.22929155386993369</v>
      </c>
      <c r="W41">
        <f t="shared" si="6"/>
        <v>-0.25435329828790432</v>
      </c>
      <c r="X41">
        <f t="shared" si="7"/>
        <v>0.10399668008577614</v>
      </c>
      <c r="Y41">
        <f t="shared" si="8"/>
        <v>0.36604748519325236</v>
      </c>
    </row>
    <row r="42" spans="1:25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  <c r="Q42" s="18" t="str">
        <f t="shared" si="0"/>
        <v>Weekend</v>
      </c>
      <c r="R42" s="18" t="str">
        <f t="shared" si="1"/>
        <v>Clear</v>
      </c>
      <c r="S42" s="17" t="str">
        <f t="shared" si="2"/>
        <v>Evening</v>
      </c>
      <c r="T42" s="17" t="str">
        <f t="shared" si="3"/>
        <v>January</v>
      </c>
      <c r="U42" s="17" t="str">
        <f t="shared" si="4"/>
        <v>Spring</v>
      </c>
      <c r="V42">
        <f t="shared" si="5"/>
        <v>0.22929155386993369</v>
      </c>
      <c r="W42">
        <f t="shared" si="6"/>
        <v>-0.25435329828790432</v>
      </c>
      <c r="X42">
        <f t="shared" si="7"/>
        <v>0.10399668008577614</v>
      </c>
      <c r="Y42">
        <f t="shared" si="8"/>
        <v>0.36604748519325236</v>
      </c>
    </row>
    <row r="43" spans="1:25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  <c r="Q43" s="18" t="str">
        <f t="shared" si="0"/>
        <v>Weekend</v>
      </c>
      <c r="R43" s="18" t="str">
        <f t="shared" si="1"/>
        <v>Mist/Cloudy</v>
      </c>
      <c r="S43" s="17" t="str">
        <f t="shared" si="2"/>
        <v>Evening</v>
      </c>
      <c r="T43" s="17" t="str">
        <f t="shared" si="3"/>
        <v>January</v>
      </c>
      <c r="U43" s="17" t="str">
        <f t="shared" si="4"/>
        <v>Spring</v>
      </c>
      <c r="V43">
        <f t="shared" si="5"/>
        <v>0.22929155386993369</v>
      </c>
      <c r="W43">
        <f t="shared" si="6"/>
        <v>-0.25435329828790432</v>
      </c>
      <c r="X43">
        <f t="shared" si="7"/>
        <v>0.10399668008577614</v>
      </c>
      <c r="Y43">
        <f t="shared" si="8"/>
        <v>0.36604748519325236</v>
      </c>
    </row>
    <row r="44" spans="1:25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  <c r="Q44" s="18" t="str">
        <f t="shared" si="0"/>
        <v>Weekend</v>
      </c>
      <c r="R44" s="18" t="str">
        <f t="shared" si="1"/>
        <v>Clear</v>
      </c>
      <c r="S44" s="17" t="str">
        <f t="shared" si="2"/>
        <v>Evening</v>
      </c>
      <c r="T44" s="17" t="str">
        <f t="shared" si="3"/>
        <v>January</v>
      </c>
      <c r="U44" s="17" t="str">
        <f t="shared" si="4"/>
        <v>Spring</v>
      </c>
      <c r="V44">
        <f t="shared" si="5"/>
        <v>0.22929155386993369</v>
      </c>
      <c r="W44">
        <f t="shared" si="6"/>
        <v>-0.25435329828790432</v>
      </c>
      <c r="X44">
        <f t="shared" si="7"/>
        <v>0.10399668008577614</v>
      </c>
      <c r="Y44">
        <f t="shared" si="8"/>
        <v>0.36604748519325236</v>
      </c>
    </row>
    <row r="45" spans="1:25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0.19993</v>
      </c>
      <c r="L45">
        <v>0.39</v>
      </c>
      <c r="M45">
        <v>0.35820000000000002</v>
      </c>
      <c r="N45">
        <v>5</v>
      </c>
      <c r="O45">
        <v>17</v>
      </c>
      <c r="P45">
        <v>22</v>
      </c>
      <c r="Q45" s="18" t="str">
        <f t="shared" si="0"/>
        <v>Weekend</v>
      </c>
      <c r="R45" s="18" t="str">
        <f t="shared" si="1"/>
        <v>Clear</v>
      </c>
      <c r="S45" s="17" t="str">
        <f t="shared" si="2"/>
        <v>Evening</v>
      </c>
      <c r="T45" s="17" t="str">
        <f t="shared" si="3"/>
        <v>January</v>
      </c>
      <c r="U45" s="17" t="str">
        <f t="shared" si="4"/>
        <v>Spring</v>
      </c>
      <c r="V45">
        <f t="shared" si="5"/>
        <v>0.22929155386993369</v>
      </c>
      <c r="W45">
        <f t="shared" si="6"/>
        <v>-0.25435329828790432</v>
      </c>
      <c r="X45">
        <f t="shared" si="7"/>
        <v>0.10399668008577614</v>
      </c>
      <c r="Y45">
        <f t="shared" si="8"/>
        <v>0.36604748519325236</v>
      </c>
    </row>
    <row r="46" spans="1:25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  <c r="Q46" s="18" t="str">
        <f t="shared" si="0"/>
        <v>Weekend</v>
      </c>
      <c r="R46" s="18" t="str">
        <f t="shared" si="1"/>
        <v>Clear</v>
      </c>
      <c r="S46" s="17" t="str">
        <f t="shared" si="2"/>
        <v>Night</v>
      </c>
      <c r="T46" s="17" t="str">
        <f t="shared" si="3"/>
        <v>January</v>
      </c>
      <c r="U46" s="17" t="str">
        <f t="shared" si="4"/>
        <v>Spring</v>
      </c>
      <c r="V46">
        <f t="shared" si="5"/>
        <v>0.22929155386993369</v>
      </c>
      <c r="W46">
        <f t="shared" si="6"/>
        <v>-0.25435329828790432</v>
      </c>
      <c r="X46">
        <f t="shared" si="7"/>
        <v>0.10399668008577614</v>
      </c>
      <c r="Y46">
        <f t="shared" si="8"/>
        <v>0.36604748519325236</v>
      </c>
    </row>
    <row r="47" spans="1:25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  <c r="Q47" s="18" t="str">
        <f t="shared" si="0"/>
        <v>Weekend</v>
      </c>
      <c r="R47" s="18" t="str">
        <f t="shared" si="1"/>
        <v>Clear</v>
      </c>
      <c r="S47" s="17" t="str">
        <f t="shared" si="2"/>
        <v>Night</v>
      </c>
      <c r="T47" s="17" t="str">
        <f t="shared" si="3"/>
        <v>January</v>
      </c>
      <c r="U47" s="17" t="str">
        <f t="shared" si="4"/>
        <v>Spring</v>
      </c>
      <c r="V47">
        <f t="shared" si="5"/>
        <v>0.22929155386993369</v>
      </c>
      <c r="W47">
        <f t="shared" si="6"/>
        <v>-0.25435329828790432</v>
      </c>
      <c r="X47">
        <f t="shared" si="7"/>
        <v>0.10399668008577614</v>
      </c>
      <c r="Y47">
        <f t="shared" si="8"/>
        <v>0.36604748519325236</v>
      </c>
    </row>
    <row r="48" spans="1:25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  <c r="Q48" s="18" t="str">
        <f t="shared" si="0"/>
        <v>Weekend</v>
      </c>
      <c r="R48" s="18" t="str">
        <f t="shared" si="1"/>
        <v>Clear</v>
      </c>
      <c r="S48" s="17" t="str">
        <f t="shared" si="2"/>
        <v>Night</v>
      </c>
      <c r="T48" s="17" t="str">
        <f t="shared" si="3"/>
        <v>January</v>
      </c>
      <c r="U48" s="17" t="str">
        <f t="shared" si="4"/>
        <v>Spring</v>
      </c>
      <c r="V48">
        <f t="shared" si="5"/>
        <v>0.22929155386993369</v>
      </c>
      <c r="W48">
        <f t="shared" si="6"/>
        <v>-0.25435329828790432</v>
      </c>
      <c r="X48">
        <f t="shared" si="7"/>
        <v>0.10399668008577614</v>
      </c>
      <c r="Y48">
        <f t="shared" si="8"/>
        <v>0.36604748519325236</v>
      </c>
    </row>
    <row r="49" spans="1:25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  <c r="Q49" s="18" t="str">
        <f t="shared" si="0"/>
        <v>Weekday</v>
      </c>
      <c r="R49" s="18" t="str">
        <f t="shared" si="1"/>
        <v>Clear</v>
      </c>
      <c r="S49" s="17" t="str">
        <f t="shared" si="2"/>
        <v>Night</v>
      </c>
      <c r="T49" s="17" t="str">
        <f t="shared" si="3"/>
        <v>January</v>
      </c>
      <c r="U49" s="17" t="str">
        <f t="shared" si="4"/>
        <v>Spring</v>
      </c>
      <c r="V49">
        <f t="shared" si="5"/>
        <v>0.22929155386993369</v>
      </c>
      <c r="W49">
        <f t="shared" si="6"/>
        <v>-0.25435329828790432</v>
      </c>
      <c r="X49">
        <f t="shared" si="7"/>
        <v>0.10399668008577614</v>
      </c>
      <c r="Y49">
        <f t="shared" si="8"/>
        <v>0.36604748519325236</v>
      </c>
    </row>
    <row r="50" spans="1:25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0.19993</v>
      </c>
      <c r="L50">
        <v>0.44</v>
      </c>
      <c r="M50">
        <v>0.41789999999999999</v>
      </c>
      <c r="N50">
        <v>0</v>
      </c>
      <c r="O50">
        <v>2</v>
      </c>
      <c r="P50">
        <v>2</v>
      </c>
      <c r="Q50" s="18" t="str">
        <f t="shared" si="0"/>
        <v>Weekday</v>
      </c>
      <c r="R50" s="18" t="str">
        <f t="shared" si="1"/>
        <v>Clear</v>
      </c>
      <c r="S50" s="17" t="str">
        <f t="shared" si="2"/>
        <v>Night</v>
      </c>
      <c r="T50" s="17" t="str">
        <f t="shared" si="3"/>
        <v>January</v>
      </c>
      <c r="U50" s="17" t="str">
        <f t="shared" si="4"/>
        <v>Spring</v>
      </c>
      <c r="V50">
        <f t="shared" si="5"/>
        <v>0.22929155386993369</v>
      </c>
      <c r="W50">
        <f t="shared" si="6"/>
        <v>-0.25435329828790432</v>
      </c>
      <c r="X50">
        <f t="shared" si="7"/>
        <v>0.10399668008577614</v>
      </c>
      <c r="Y50">
        <f t="shared" si="8"/>
        <v>0.36604748519325236</v>
      </c>
    </row>
    <row r="51" spans="1:25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  <c r="Q51" s="18" t="str">
        <f t="shared" si="0"/>
        <v>Weekday</v>
      </c>
      <c r="R51" s="18" t="str">
        <f t="shared" si="1"/>
        <v>Clear</v>
      </c>
      <c r="S51" s="17" t="str">
        <f t="shared" si="2"/>
        <v>Night</v>
      </c>
      <c r="T51" s="17" t="str">
        <f t="shared" si="3"/>
        <v>January</v>
      </c>
      <c r="U51" s="17" t="str">
        <f t="shared" si="4"/>
        <v>Spring</v>
      </c>
      <c r="V51">
        <f t="shared" si="5"/>
        <v>0.22929155386993369</v>
      </c>
      <c r="W51">
        <f t="shared" si="6"/>
        <v>-0.25435329828790432</v>
      </c>
      <c r="X51">
        <f t="shared" si="7"/>
        <v>0.10399668008577614</v>
      </c>
      <c r="Y51">
        <f t="shared" si="8"/>
        <v>0.36604748519325236</v>
      </c>
    </row>
    <row r="52" spans="1:25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  <c r="Q52" s="18" t="str">
        <f t="shared" si="0"/>
        <v>Weekday</v>
      </c>
      <c r="R52" s="18" t="str">
        <f t="shared" si="1"/>
        <v>Clear</v>
      </c>
      <c r="S52" s="17" t="str">
        <f t="shared" si="2"/>
        <v>Night</v>
      </c>
      <c r="T52" s="17" t="str">
        <f t="shared" si="3"/>
        <v>January</v>
      </c>
      <c r="U52" s="17" t="str">
        <f t="shared" si="4"/>
        <v>Spring</v>
      </c>
      <c r="V52">
        <f t="shared" si="5"/>
        <v>0.22929155386993369</v>
      </c>
      <c r="W52">
        <f t="shared" si="6"/>
        <v>-0.25435329828790432</v>
      </c>
      <c r="X52">
        <f t="shared" si="7"/>
        <v>0.10399668008577614</v>
      </c>
      <c r="Y52">
        <f t="shared" si="8"/>
        <v>0.36604748519325236</v>
      </c>
    </row>
    <row r="53" spans="1:25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  <c r="Q53" s="18" t="str">
        <f t="shared" si="0"/>
        <v>Weekday</v>
      </c>
      <c r="R53" s="18" t="str">
        <f t="shared" si="1"/>
        <v>Clear</v>
      </c>
      <c r="S53" s="17" t="str">
        <f t="shared" si="2"/>
        <v>Morning</v>
      </c>
      <c r="T53" s="17" t="str">
        <f t="shared" si="3"/>
        <v>January</v>
      </c>
      <c r="U53" s="17" t="str">
        <f t="shared" si="4"/>
        <v>Spring</v>
      </c>
      <c r="V53">
        <f t="shared" si="5"/>
        <v>0.22929155386993369</v>
      </c>
      <c r="W53">
        <f t="shared" si="6"/>
        <v>-0.25435329828790432</v>
      </c>
      <c r="X53">
        <f t="shared" si="7"/>
        <v>0.10399668008577614</v>
      </c>
      <c r="Y53">
        <f t="shared" si="8"/>
        <v>0.36604748519325236</v>
      </c>
    </row>
    <row r="54" spans="1:25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  <c r="Q54" s="18" t="str">
        <f t="shared" si="0"/>
        <v>Weekday</v>
      </c>
      <c r="R54" s="18" t="str">
        <f t="shared" si="1"/>
        <v>Clear</v>
      </c>
      <c r="S54" s="17" t="str">
        <f t="shared" si="2"/>
        <v>Morning</v>
      </c>
      <c r="T54" s="17" t="str">
        <f t="shared" si="3"/>
        <v>January</v>
      </c>
      <c r="U54" s="17" t="str">
        <f t="shared" si="4"/>
        <v>Spring</v>
      </c>
      <c r="V54">
        <f t="shared" si="5"/>
        <v>0.22929155386993369</v>
      </c>
      <c r="W54">
        <f t="shared" si="6"/>
        <v>-0.25435329828790432</v>
      </c>
      <c r="X54">
        <f t="shared" si="7"/>
        <v>0.10399668008577614</v>
      </c>
      <c r="Y54">
        <f t="shared" si="8"/>
        <v>0.36604748519325236</v>
      </c>
    </row>
    <row r="55" spans="1:25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  <c r="Q55" s="18" t="str">
        <f t="shared" si="0"/>
        <v>Weekday</v>
      </c>
      <c r="R55" s="18" t="str">
        <f t="shared" si="1"/>
        <v>Clear</v>
      </c>
      <c r="S55" s="17" t="str">
        <f t="shared" si="2"/>
        <v>Morning</v>
      </c>
      <c r="T55" s="17" t="str">
        <f t="shared" si="3"/>
        <v>January</v>
      </c>
      <c r="U55" s="17" t="str">
        <f t="shared" si="4"/>
        <v>Spring</v>
      </c>
      <c r="V55">
        <f t="shared" si="5"/>
        <v>0.22929155386993369</v>
      </c>
      <c r="W55">
        <f t="shared" si="6"/>
        <v>-0.25435329828790432</v>
      </c>
      <c r="X55">
        <f t="shared" si="7"/>
        <v>0.10399668008577614</v>
      </c>
      <c r="Y55">
        <f t="shared" si="8"/>
        <v>0.36604748519325236</v>
      </c>
    </row>
    <row r="56" spans="1:25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  <c r="Q56" s="18" t="str">
        <f t="shared" si="0"/>
        <v>Weekday</v>
      </c>
      <c r="R56" s="18" t="str">
        <f t="shared" si="1"/>
        <v>Clear</v>
      </c>
      <c r="S56" s="17" t="str">
        <f t="shared" si="2"/>
        <v>Morning</v>
      </c>
      <c r="T56" s="17" t="str">
        <f t="shared" si="3"/>
        <v>January</v>
      </c>
      <c r="U56" s="17" t="str">
        <f t="shared" si="4"/>
        <v>Spring</v>
      </c>
      <c r="V56">
        <f t="shared" si="5"/>
        <v>0.22929155386993369</v>
      </c>
      <c r="W56">
        <f t="shared" si="6"/>
        <v>-0.25435329828790432</v>
      </c>
      <c r="X56">
        <f t="shared" si="7"/>
        <v>0.10399668008577614</v>
      </c>
      <c r="Y56">
        <f t="shared" si="8"/>
        <v>0.36604748519325236</v>
      </c>
    </row>
    <row r="57" spans="1:25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  <c r="Q57" s="18" t="str">
        <f t="shared" si="0"/>
        <v>Weekday</v>
      </c>
      <c r="R57" s="18" t="str">
        <f t="shared" si="1"/>
        <v>Clear</v>
      </c>
      <c r="S57" s="17" t="str">
        <f t="shared" si="2"/>
        <v>Morning</v>
      </c>
      <c r="T57" s="17" t="str">
        <f t="shared" si="3"/>
        <v>January</v>
      </c>
      <c r="U57" s="17" t="str">
        <f t="shared" si="4"/>
        <v>Spring</v>
      </c>
      <c r="V57">
        <f t="shared" si="5"/>
        <v>0.22929155386993369</v>
      </c>
      <c r="W57">
        <f t="shared" si="6"/>
        <v>-0.25435329828790432</v>
      </c>
      <c r="X57">
        <f t="shared" si="7"/>
        <v>0.10399668008577614</v>
      </c>
      <c r="Y57">
        <f t="shared" si="8"/>
        <v>0.36604748519325236</v>
      </c>
    </row>
    <row r="58" spans="1:25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  <c r="Q58" s="18" t="str">
        <f t="shared" si="0"/>
        <v>Weekday</v>
      </c>
      <c r="R58" s="18" t="str">
        <f t="shared" si="1"/>
        <v>Clear</v>
      </c>
      <c r="S58" s="17" t="str">
        <f t="shared" si="2"/>
        <v>Morning</v>
      </c>
      <c r="T58" s="17" t="str">
        <f t="shared" si="3"/>
        <v>January</v>
      </c>
      <c r="U58" s="17" t="str">
        <f t="shared" si="4"/>
        <v>Spring</v>
      </c>
      <c r="V58">
        <f t="shared" si="5"/>
        <v>0.22929155386993369</v>
      </c>
      <c r="W58">
        <f t="shared" si="6"/>
        <v>-0.25435329828790432</v>
      </c>
      <c r="X58">
        <f t="shared" si="7"/>
        <v>0.10399668008577614</v>
      </c>
      <c r="Y58">
        <f t="shared" si="8"/>
        <v>0.36604748519325236</v>
      </c>
    </row>
    <row r="59" spans="1:25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  <c r="Q59" s="18" t="str">
        <f t="shared" si="0"/>
        <v>Weekday</v>
      </c>
      <c r="R59" s="18" t="str">
        <f t="shared" si="1"/>
        <v>Clear</v>
      </c>
      <c r="S59" s="17" t="str">
        <f t="shared" si="2"/>
        <v>Afternoon</v>
      </c>
      <c r="T59" s="17" t="str">
        <f t="shared" si="3"/>
        <v>January</v>
      </c>
      <c r="U59" s="17" t="str">
        <f t="shared" si="4"/>
        <v>Spring</v>
      </c>
      <c r="V59">
        <f t="shared" si="5"/>
        <v>0.22929155386993369</v>
      </c>
      <c r="W59">
        <f t="shared" si="6"/>
        <v>-0.25435329828790432</v>
      </c>
      <c r="X59">
        <f t="shared" si="7"/>
        <v>0.10399668008577614</v>
      </c>
      <c r="Y59">
        <f t="shared" si="8"/>
        <v>0.36604748519325236</v>
      </c>
    </row>
    <row r="60" spans="1:25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0.19993</v>
      </c>
      <c r="L60">
        <v>0.35</v>
      </c>
      <c r="M60">
        <v>0.28360000000000002</v>
      </c>
      <c r="N60">
        <v>8</v>
      </c>
      <c r="O60">
        <v>53</v>
      </c>
      <c r="P60">
        <v>61</v>
      </c>
      <c r="Q60" s="18" t="str">
        <f t="shared" si="0"/>
        <v>Weekday</v>
      </c>
      <c r="R60" s="18" t="str">
        <f t="shared" si="1"/>
        <v>Clear</v>
      </c>
      <c r="S60" s="17" t="str">
        <f t="shared" si="2"/>
        <v>Afternoon</v>
      </c>
      <c r="T60" s="17" t="str">
        <f t="shared" si="3"/>
        <v>January</v>
      </c>
      <c r="U60" s="17" t="str">
        <f t="shared" si="4"/>
        <v>Spring</v>
      </c>
      <c r="V60">
        <f t="shared" si="5"/>
        <v>0.22929155386993369</v>
      </c>
      <c r="W60">
        <f t="shared" si="6"/>
        <v>-0.25435329828790432</v>
      </c>
      <c r="X60">
        <f t="shared" si="7"/>
        <v>0.10399668008577614</v>
      </c>
      <c r="Y60">
        <f t="shared" si="8"/>
        <v>0.36604748519325236</v>
      </c>
    </row>
    <row r="61" spans="1:25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  <c r="Q61" s="18" t="str">
        <f t="shared" si="0"/>
        <v>Weekday</v>
      </c>
      <c r="R61" s="18" t="str">
        <f t="shared" si="1"/>
        <v>Clear</v>
      </c>
      <c r="S61" s="17" t="str">
        <f t="shared" si="2"/>
        <v>Afternoon</v>
      </c>
      <c r="T61" s="17" t="str">
        <f t="shared" si="3"/>
        <v>January</v>
      </c>
      <c r="U61" s="17" t="str">
        <f t="shared" si="4"/>
        <v>Spring</v>
      </c>
      <c r="V61">
        <f t="shared" si="5"/>
        <v>0.22929155386993369</v>
      </c>
      <c r="W61">
        <f t="shared" si="6"/>
        <v>-0.25435329828790432</v>
      </c>
      <c r="X61">
        <f t="shared" si="7"/>
        <v>0.10399668008577614</v>
      </c>
      <c r="Y61">
        <f t="shared" si="8"/>
        <v>0.36604748519325236</v>
      </c>
    </row>
    <row r="62" spans="1:25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  <c r="Q62" s="18" t="str">
        <f t="shared" si="0"/>
        <v>Weekday</v>
      </c>
      <c r="R62" s="18" t="str">
        <f t="shared" si="1"/>
        <v>Clear</v>
      </c>
      <c r="S62" s="17" t="str">
        <f t="shared" si="2"/>
        <v>Afternoon</v>
      </c>
      <c r="T62" s="17" t="str">
        <f t="shared" si="3"/>
        <v>January</v>
      </c>
      <c r="U62" s="17" t="str">
        <f t="shared" si="4"/>
        <v>Spring</v>
      </c>
      <c r="V62">
        <f t="shared" si="5"/>
        <v>0.22929155386993369</v>
      </c>
      <c r="W62">
        <f t="shared" si="6"/>
        <v>-0.25435329828790432</v>
      </c>
      <c r="X62">
        <f t="shared" si="7"/>
        <v>0.10399668008577614</v>
      </c>
      <c r="Y62">
        <f t="shared" si="8"/>
        <v>0.36604748519325236</v>
      </c>
    </row>
    <row r="63" spans="1:25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  <c r="Q63" s="18" t="str">
        <f t="shared" si="0"/>
        <v>Weekday</v>
      </c>
      <c r="R63" s="18" t="str">
        <f t="shared" si="1"/>
        <v>Clear</v>
      </c>
      <c r="S63" s="17" t="str">
        <f t="shared" si="2"/>
        <v>Afternoon</v>
      </c>
      <c r="T63" s="17" t="str">
        <f t="shared" si="3"/>
        <v>January</v>
      </c>
      <c r="U63" s="17" t="str">
        <f t="shared" si="4"/>
        <v>Spring</v>
      </c>
      <c r="V63">
        <f t="shared" si="5"/>
        <v>0.22929155386993369</v>
      </c>
      <c r="W63">
        <f t="shared" si="6"/>
        <v>-0.25435329828790432</v>
      </c>
      <c r="X63">
        <f t="shared" si="7"/>
        <v>0.10399668008577614</v>
      </c>
      <c r="Y63">
        <f t="shared" si="8"/>
        <v>0.36604748519325236</v>
      </c>
    </row>
    <row r="64" spans="1:25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  <c r="Q64" s="18" t="str">
        <f t="shared" si="0"/>
        <v>Weekday</v>
      </c>
      <c r="R64" s="18" t="str">
        <f t="shared" si="1"/>
        <v>Clear</v>
      </c>
      <c r="S64" s="17" t="str">
        <f t="shared" si="2"/>
        <v>Evening</v>
      </c>
      <c r="T64" s="17" t="str">
        <f t="shared" si="3"/>
        <v>January</v>
      </c>
      <c r="U64" s="17" t="str">
        <f t="shared" si="4"/>
        <v>Spring</v>
      </c>
      <c r="V64">
        <f t="shared" si="5"/>
        <v>0.22929155386993369</v>
      </c>
      <c r="W64">
        <f t="shared" si="6"/>
        <v>-0.25435329828790432</v>
      </c>
      <c r="X64">
        <f t="shared" si="7"/>
        <v>0.10399668008577614</v>
      </c>
      <c r="Y64">
        <f t="shared" si="8"/>
        <v>0.36604748519325236</v>
      </c>
    </row>
    <row r="65" spans="1:25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  <c r="Q65" s="18" t="str">
        <f t="shared" si="0"/>
        <v>Weekday</v>
      </c>
      <c r="R65" s="18" t="str">
        <f t="shared" si="1"/>
        <v>Clear</v>
      </c>
      <c r="S65" s="17" t="str">
        <f t="shared" si="2"/>
        <v>Evening</v>
      </c>
      <c r="T65" s="17" t="str">
        <f t="shared" si="3"/>
        <v>January</v>
      </c>
      <c r="U65" s="17" t="str">
        <f t="shared" si="4"/>
        <v>Spring</v>
      </c>
      <c r="V65">
        <f t="shared" si="5"/>
        <v>0.22929155386993369</v>
      </c>
      <c r="W65">
        <f t="shared" si="6"/>
        <v>-0.25435329828790432</v>
      </c>
      <c r="X65">
        <f t="shared" si="7"/>
        <v>0.10399668008577614</v>
      </c>
      <c r="Y65">
        <f t="shared" si="8"/>
        <v>0.36604748519325236</v>
      </c>
    </row>
    <row r="66" spans="1:25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  <c r="Q66" s="18" t="str">
        <f t="shared" ref="Q66:Q129" si="9">IF(OR(WEEKDAY(B66)=1, WEEKDAY(B66)=7), "Weekend", "Weekday")</f>
        <v>Weekday</v>
      </c>
      <c r="R66" s="18" t="str">
        <f t="shared" ref="R66:R129" si="10">IF(I66=1,"Clear",IF(I66=2,"Mist/Cloudy",IF(I66=3,"Light Rain/Snow","Heavy Rain/Snow")))</f>
        <v>Clear</v>
      </c>
      <c r="S66" s="17" t="str">
        <f t="shared" ref="S66:S129" si="11">IF(AND(F66&gt;=6, F66&lt;12), "Morning", IF(AND(F66&gt;=12, F66&lt;17), "Afternoon", IF(AND(F66&gt;=17, F66&lt;21), "Evening", "Night")))</f>
        <v>Evening</v>
      </c>
      <c r="T66" s="17" t="str">
        <f t="shared" ref="T66:T129" si="12">TEXT(B66, "mmmm")</f>
        <v>January</v>
      </c>
      <c r="U66" s="17" t="str">
        <f t="shared" ref="U66:U129" si="13">CHOOSE(C66, "Spring", "Summer", "Fall", "Winter")</f>
        <v>Spring</v>
      </c>
      <c r="V66">
        <f t="shared" ref="V66:V129" si="14">CORREL($J$2:$J$1001, $P$2:$P$1001)</f>
        <v>0.22929155386993369</v>
      </c>
      <c r="W66">
        <f t="shared" ref="W66:W129" si="15">CORREL($L$2:$L$1001, $P$2:$P$1001)</f>
        <v>-0.25435329828790432</v>
      </c>
      <c r="X66">
        <f t="shared" ref="X66:X129" si="16">CORREL($M$2:$M$1001, $P$2:$P$1001)</f>
        <v>0.10399668008577614</v>
      </c>
      <c r="Y66">
        <f t="shared" ref="Y66:Y129" si="17">CORREL($F$2:$F$1001, $P$2:$P$1001)</f>
        <v>0.36604748519325236</v>
      </c>
    </row>
    <row r="67" spans="1:25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0.19993</v>
      </c>
      <c r="L67">
        <v>0.47</v>
      </c>
      <c r="M67">
        <v>0.1045</v>
      </c>
      <c r="N67">
        <v>3</v>
      </c>
      <c r="O67">
        <v>49</v>
      </c>
      <c r="P67">
        <v>52</v>
      </c>
      <c r="Q67" s="18" t="str">
        <f t="shared" si="9"/>
        <v>Weekday</v>
      </c>
      <c r="R67" s="18" t="str">
        <f t="shared" si="10"/>
        <v>Clear</v>
      </c>
      <c r="S67" s="17" t="str">
        <f t="shared" si="11"/>
        <v>Evening</v>
      </c>
      <c r="T67" s="17" t="str">
        <f t="shared" si="12"/>
        <v>January</v>
      </c>
      <c r="U67" s="17" t="str">
        <f t="shared" si="13"/>
        <v>Spring</v>
      </c>
      <c r="V67">
        <f t="shared" si="14"/>
        <v>0.22929155386993369</v>
      </c>
      <c r="W67">
        <f t="shared" si="15"/>
        <v>-0.25435329828790432</v>
      </c>
      <c r="X67">
        <f t="shared" si="16"/>
        <v>0.10399668008577614</v>
      </c>
      <c r="Y67">
        <f t="shared" si="17"/>
        <v>0.36604748519325236</v>
      </c>
    </row>
    <row r="68" spans="1:25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  <c r="Q68" s="18" t="str">
        <f t="shared" si="9"/>
        <v>Weekday</v>
      </c>
      <c r="R68" s="18" t="str">
        <f t="shared" si="10"/>
        <v>Clear</v>
      </c>
      <c r="S68" s="17" t="str">
        <f t="shared" si="11"/>
        <v>Night</v>
      </c>
      <c r="T68" s="17" t="str">
        <f t="shared" si="12"/>
        <v>January</v>
      </c>
      <c r="U68" s="17" t="str">
        <f t="shared" si="13"/>
        <v>Spring</v>
      </c>
      <c r="V68">
        <f t="shared" si="14"/>
        <v>0.22929155386993369</v>
      </c>
      <c r="W68">
        <f t="shared" si="15"/>
        <v>-0.25435329828790432</v>
      </c>
      <c r="X68">
        <f t="shared" si="16"/>
        <v>0.10399668008577614</v>
      </c>
      <c r="Y68">
        <f t="shared" si="17"/>
        <v>0.36604748519325236</v>
      </c>
    </row>
    <row r="69" spans="1:25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  <c r="Q69" s="18" t="str">
        <f t="shared" si="9"/>
        <v>Weekday</v>
      </c>
      <c r="R69" s="18" t="str">
        <f t="shared" si="10"/>
        <v>Clear</v>
      </c>
      <c r="S69" s="17" t="str">
        <f t="shared" si="11"/>
        <v>Night</v>
      </c>
      <c r="T69" s="17" t="str">
        <f t="shared" si="12"/>
        <v>January</v>
      </c>
      <c r="U69" s="17" t="str">
        <f t="shared" si="13"/>
        <v>Spring</v>
      </c>
      <c r="V69">
        <f t="shared" si="14"/>
        <v>0.22929155386993369</v>
      </c>
      <c r="W69">
        <f t="shared" si="15"/>
        <v>-0.25435329828790432</v>
      </c>
      <c r="X69">
        <f t="shared" si="16"/>
        <v>0.10399668008577614</v>
      </c>
      <c r="Y69">
        <f t="shared" si="17"/>
        <v>0.36604748519325236</v>
      </c>
    </row>
    <row r="70" spans="1:25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  <c r="Q70" s="18" t="str">
        <f t="shared" si="9"/>
        <v>Weekday</v>
      </c>
      <c r="R70" s="18" t="str">
        <f t="shared" si="10"/>
        <v>Clear</v>
      </c>
      <c r="S70" s="17" t="str">
        <f t="shared" si="11"/>
        <v>Night</v>
      </c>
      <c r="T70" s="17" t="str">
        <f t="shared" si="12"/>
        <v>January</v>
      </c>
      <c r="U70" s="17" t="str">
        <f t="shared" si="13"/>
        <v>Spring</v>
      </c>
      <c r="V70">
        <f t="shared" si="14"/>
        <v>0.22929155386993369</v>
      </c>
      <c r="W70">
        <f t="shared" si="15"/>
        <v>-0.25435329828790432</v>
      </c>
      <c r="X70">
        <f t="shared" si="16"/>
        <v>0.10399668008577614</v>
      </c>
      <c r="Y70">
        <f t="shared" si="17"/>
        <v>0.36604748519325236</v>
      </c>
    </row>
    <row r="71" spans="1:25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0.19993</v>
      </c>
      <c r="L71">
        <v>0.55000000000000004</v>
      </c>
      <c r="M71">
        <v>0.1045</v>
      </c>
      <c r="N71">
        <v>0</v>
      </c>
      <c r="O71">
        <v>5</v>
      </c>
      <c r="P71">
        <v>5</v>
      </c>
      <c r="Q71" s="18" t="str">
        <f t="shared" si="9"/>
        <v>Weekday</v>
      </c>
      <c r="R71" s="18" t="str">
        <f t="shared" si="10"/>
        <v>Clear</v>
      </c>
      <c r="S71" s="17" t="str">
        <f t="shared" si="11"/>
        <v>Night</v>
      </c>
      <c r="T71" s="17" t="str">
        <f t="shared" si="12"/>
        <v>January</v>
      </c>
      <c r="U71" s="17" t="str">
        <f t="shared" si="13"/>
        <v>Spring</v>
      </c>
      <c r="V71">
        <f t="shared" si="14"/>
        <v>0.22929155386993369</v>
      </c>
      <c r="W71">
        <f t="shared" si="15"/>
        <v>-0.25435329828790432</v>
      </c>
      <c r="X71">
        <f t="shared" si="16"/>
        <v>0.10399668008577614</v>
      </c>
      <c r="Y71">
        <f t="shared" si="17"/>
        <v>0.36604748519325236</v>
      </c>
    </row>
    <row r="72" spans="1:25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  <c r="Q72" s="18" t="str">
        <f t="shared" si="9"/>
        <v>Weekday</v>
      </c>
      <c r="R72" s="18" t="str">
        <f t="shared" si="10"/>
        <v>Clear</v>
      </c>
      <c r="S72" s="17" t="str">
        <f t="shared" si="11"/>
        <v>Night</v>
      </c>
      <c r="T72" s="17" t="str">
        <f t="shared" si="12"/>
        <v>January</v>
      </c>
      <c r="U72" s="17" t="str">
        <f t="shared" si="13"/>
        <v>Spring</v>
      </c>
      <c r="V72">
        <f t="shared" si="14"/>
        <v>0.22929155386993369</v>
      </c>
      <c r="W72">
        <f t="shared" si="15"/>
        <v>-0.25435329828790432</v>
      </c>
      <c r="X72">
        <f t="shared" si="16"/>
        <v>0.10399668008577614</v>
      </c>
      <c r="Y72">
        <f t="shared" si="17"/>
        <v>0.36604748519325236</v>
      </c>
    </row>
    <row r="73" spans="1:25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  <c r="Q73" s="18" t="str">
        <f t="shared" si="9"/>
        <v>Weekday</v>
      </c>
      <c r="R73" s="18" t="str">
        <f t="shared" si="10"/>
        <v>Clear</v>
      </c>
      <c r="S73" s="17" t="str">
        <f t="shared" si="11"/>
        <v>Night</v>
      </c>
      <c r="T73" s="17" t="str">
        <f t="shared" si="12"/>
        <v>January</v>
      </c>
      <c r="U73" s="17" t="str">
        <f t="shared" si="13"/>
        <v>Spring</v>
      </c>
      <c r="V73">
        <f t="shared" si="14"/>
        <v>0.22929155386993369</v>
      </c>
      <c r="W73">
        <f t="shared" si="15"/>
        <v>-0.25435329828790432</v>
      </c>
      <c r="X73">
        <f t="shared" si="16"/>
        <v>0.10399668008577614</v>
      </c>
      <c r="Y73">
        <f t="shared" si="17"/>
        <v>0.36604748519325236</v>
      </c>
    </row>
    <row r="74" spans="1:25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  <c r="Q74" s="18" t="str">
        <f t="shared" si="9"/>
        <v>Weekday</v>
      </c>
      <c r="R74" s="18" t="str">
        <f t="shared" si="10"/>
        <v>Clear</v>
      </c>
      <c r="S74" s="17" t="str">
        <f t="shared" si="11"/>
        <v>Night</v>
      </c>
      <c r="T74" s="17" t="str">
        <f t="shared" si="12"/>
        <v>January</v>
      </c>
      <c r="U74" s="17" t="str">
        <f t="shared" si="13"/>
        <v>Spring</v>
      </c>
      <c r="V74">
        <f t="shared" si="14"/>
        <v>0.22929155386993369</v>
      </c>
      <c r="W74">
        <f t="shared" si="15"/>
        <v>-0.25435329828790432</v>
      </c>
      <c r="X74">
        <f t="shared" si="16"/>
        <v>0.10399668008577614</v>
      </c>
      <c r="Y74">
        <f t="shared" si="17"/>
        <v>0.36604748519325236</v>
      </c>
    </row>
    <row r="75" spans="1:25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  <c r="Q75" s="18" t="str">
        <f t="shared" si="9"/>
        <v>Weekday</v>
      </c>
      <c r="R75" s="18" t="str">
        <f t="shared" si="10"/>
        <v>Clear</v>
      </c>
      <c r="S75" s="17" t="str">
        <f t="shared" si="11"/>
        <v>Night</v>
      </c>
      <c r="T75" s="17" t="str">
        <f t="shared" si="12"/>
        <v>January</v>
      </c>
      <c r="U75" s="17" t="str">
        <f t="shared" si="13"/>
        <v>Spring</v>
      </c>
      <c r="V75">
        <f t="shared" si="14"/>
        <v>0.22929155386993369</v>
      </c>
      <c r="W75">
        <f t="shared" si="15"/>
        <v>-0.25435329828790432</v>
      </c>
      <c r="X75">
        <f t="shared" si="16"/>
        <v>0.10399668008577614</v>
      </c>
      <c r="Y75">
        <f t="shared" si="17"/>
        <v>0.36604748519325236</v>
      </c>
    </row>
    <row r="76" spans="1:25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  <c r="Q76" s="18" t="str">
        <f t="shared" si="9"/>
        <v>Weekday</v>
      </c>
      <c r="R76" s="18" t="str">
        <f t="shared" si="10"/>
        <v>Clear</v>
      </c>
      <c r="S76" s="17" t="str">
        <f t="shared" si="11"/>
        <v>Morning</v>
      </c>
      <c r="T76" s="17" t="str">
        <f t="shared" si="12"/>
        <v>January</v>
      </c>
      <c r="U76" s="17" t="str">
        <f t="shared" si="13"/>
        <v>Spring</v>
      </c>
      <c r="V76">
        <f t="shared" si="14"/>
        <v>0.22929155386993369</v>
      </c>
      <c r="W76">
        <f t="shared" si="15"/>
        <v>-0.25435329828790432</v>
      </c>
      <c r="X76">
        <f t="shared" si="16"/>
        <v>0.10399668008577614</v>
      </c>
      <c r="Y76">
        <f t="shared" si="17"/>
        <v>0.36604748519325236</v>
      </c>
    </row>
    <row r="77" spans="1:25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  <c r="Q77" s="18" t="str">
        <f t="shared" si="9"/>
        <v>Weekday</v>
      </c>
      <c r="R77" s="18" t="str">
        <f t="shared" si="10"/>
        <v>Clear</v>
      </c>
      <c r="S77" s="17" t="str">
        <f t="shared" si="11"/>
        <v>Morning</v>
      </c>
      <c r="T77" s="17" t="str">
        <f t="shared" si="12"/>
        <v>January</v>
      </c>
      <c r="U77" s="17" t="str">
        <f t="shared" si="13"/>
        <v>Spring</v>
      </c>
      <c r="V77">
        <f t="shared" si="14"/>
        <v>0.22929155386993369</v>
      </c>
      <c r="W77">
        <f t="shared" si="15"/>
        <v>-0.25435329828790432</v>
      </c>
      <c r="X77">
        <f t="shared" si="16"/>
        <v>0.10399668008577614</v>
      </c>
      <c r="Y77">
        <f t="shared" si="17"/>
        <v>0.36604748519325236</v>
      </c>
    </row>
    <row r="78" spans="1:25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  <c r="Q78" s="18" t="str">
        <f t="shared" si="9"/>
        <v>Weekday</v>
      </c>
      <c r="R78" s="18" t="str">
        <f t="shared" si="10"/>
        <v>Clear</v>
      </c>
      <c r="S78" s="17" t="str">
        <f t="shared" si="11"/>
        <v>Morning</v>
      </c>
      <c r="T78" s="17" t="str">
        <f t="shared" si="12"/>
        <v>January</v>
      </c>
      <c r="U78" s="17" t="str">
        <f t="shared" si="13"/>
        <v>Spring</v>
      </c>
      <c r="V78">
        <f t="shared" si="14"/>
        <v>0.22929155386993369</v>
      </c>
      <c r="W78">
        <f t="shared" si="15"/>
        <v>-0.25435329828790432</v>
      </c>
      <c r="X78">
        <f t="shared" si="16"/>
        <v>0.10399668008577614</v>
      </c>
      <c r="Y78">
        <f t="shared" si="17"/>
        <v>0.36604748519325236</v>
      </c>
    </row>
    <row r="79" spans="1:25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  <c r="Q79" s="18" t="str">
        <f t="shared" si="9"/>
        <v>Weekday</v>
      </c>
      <c r="R79" s="18" t="str">
        <f t="shared" si="10"/>
        <v>Clear</v>
      </c>
      <c r="S79" s="17" t="str">
        <f t="shared" si="11"/>
        <v>Morning</v>
      </c>
      <c r="T79" s="17" t="str">
        <f t="shared" si="12"/>
        <v>January</v>
      </c>
      <c r="U79" s="17" t="str">
        <f t="shared" si="13"/>
        <v>Spring</v>
      </c>
      <c r="V79">
        <f t="shared" si="14"/>
        <v>0.22929155386993369</v>
      </c>
      <c r="W79">
        <f t="shared" si="15"/>
        <v>-0.25435329828790432</v>
      </c>
      <c r="X79">
        <f t="shared" si="16"/>
        <v>0.10399668008577614</v>
      </c>
      <c r="Y79">
        <f t="shared" si="17"/>
        <v>0.36604748519325236</v>
      </c>
    </row>
    <row r="80" spans="1:25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  <c r="Q80" s="18" t="str">
        <f t="shared" si="9"/>
        <v>Weekday</v>
      </c>
      <c r="R80" s="18" t="str">
        <f t="shared" si="10"/>
        <v>Mist/Cloudy</v>
      </c>
      <c r="S80" s="17" t="str">
        <f t="shared" si="11"/>
        <v>Morning</v>
      </c>
      <c r="T80" s="17" t="str">
        <f t="shared" si="12"/>
        <v>January</v>
      </c>
      <c r="U80" s="17" t="str">
        <f t="shared" si="13"/>
        <v>Spring</v>
      </c>
      <c r="V80">
        <f t="shared" si="14"/>
        <v>0.22929155386993369</v>
      </c>
      <c r="W80">
        <f t="shared" si="15"/>
        <v>-0.25435329828790432</v>
      </c>
      <c r="X80">
        <f t="shared" si="16"/>
        <v>0.10399668008577614</v>
      </c>
      <c r="Y80">
        <f t="shared" si="17"/>
        <v>0.36604748519325236</v>
      </c>
    </row>
    <row r="81" spans="1:25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  <c r="Q81" s="18" t="str">
        <f t="shared" si="9"/>
        <v>Weekday</v>
      </c>
      <c r="R81" s="18" t="str">
        <f t="shared" si="10"/>
        <v>Clear</v>
      </c>
      <c r="S81" s="17" t="str">
        <f t="shared" si="11"/>
        <v>Morning</v>
      </c>
      <c r="T81" s="17" t="str">
        <f t="shared" si="12"/>
        <v>January</v>
      </c>
      <c r="U81" s="17" t="str">
        <f t="shared" si="13"/>
        <v>Spring</v>
      </c>
      <c r="V81">
        <f t="shared" si="14"/>
        <v>0.22929155386993369</v>
      </c>
      <c r="W81">
        <f t="shared" si="15"/>
        <v>-0.25435329828790432</v>
      </c>
      <c r="X81">
        <f t="shared" si="16"/>
        <v>0.10399668008577614</v>
      </c>
      <c r="Y81">
        <f t="shared" si="17"/>
        <v>0.36604748519325236</v>
      </c>
    </row>
    <row r="82" spans="1:25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  <c r="Q82" s="18" t="str">
        <f t="shared" si="9"/>
        <v>Weekday</v>
      </c>
      <c r="R82" s="18" t="str">
        <f t="shared" si="10"/>
        <v>Clear</v>
      </c>
      <c r="S82" s="17" t="str">
        <f t="shared" si="11"/>
        <v>Afternoon</v>
      </c>
      <c r="T82" s="17" t="str">
        <f t="shared" si="12"/>
        <v>January</v>
      </c>
      <c r="U82" s="17" t="str">
        <f t="shared" si="13"/>
        <v>Spring</v>
      </c>
      <c r="V82">
        <f t="shared" si="14"/>
        <v>0.22929155386993369</v>
      </c>
      <c r="W82">
        <f t="shared" si="15"/>
        <v>-0.25435329828790432</v>
      </c>
      <c r="X82">
        <f t="shared" si="16"/>
        <v>0.10399668008577614</v>
      </c>
      <c r="Y82">
        <f t="shared" si="17"/>
        <v>0.36604748519325236</v>
      </c>
    </row>
    <row r="83" spans="1:25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  <c r="Q83" s="18" t="str">
        <f t="shared" si="9"/>
        <v>Weekday</v>
      </c>
      <c r="R83" s="18" t="str">
        <f t="shared" si="10"/>
        <v>Clear</v>
      </c>
      <c r="S83" s="17" t="str">
        <f t="shared" si="11"/>
        <v>Afternoon</v>
      </c>
      <c r="T83" s="17" t="str">
        <f t="shared" si="12"/>
        <v>January</v>
      </c>
      <c r="U83" s="17" t="str">
        <f t="shared" si="13"/>
        <v>Spring</v>
      </c>
      <c r="V83">
        <f t="shared" si="14"/>
        <v>0.22929155386993369</v>
      </c>
      <c r="W83">
        <f t="shared" si="15"/>
        <v>-0.25435329828790432</v>
      </c>
      <c r="X83">
        <f t="shared" si="16"/>
        <v>0.10399668008577614</v>
      </c>
      <c r="Y83">
        <f t="shared" si="17"/>
        <v>0.36604748519325236</v>
      </c>
    </row>
    <row r="84" spans="1:25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  <c r="Q84" t="str">
        <f t="shared" si="9"/>
        <v>Weekday</v>
      </c>
      <c r="R84" t="str">
        <f t="shared" si="10"/>
        <v>Clear</v>
      </c>
      <c r="S84" t="str">
        <f t="shared" si="11"/>
        <v>Afternoon</v>
      </c>
      <c r="T84" t="str">
        <f t="shared" si="12"/>
        <v>January</v>
      </c>
      <c r="U84" t="str">
        <f t="shared" si="13"/>
        <v>Spring</v>
      </c>
      <c r="V84">
        <f t="shared" si="14"/>
        <v>0.22929155386993369</v>
      </c>
      <c r="W84">
        <f t="shared" si="15"/>
        <v>-0.25435329828790432</v>
      </c>
      <c r="X84">
        <f t="shared" si="16"/>
        <v>0.10399668008577614</v>
      </c>
      <c r="Y84">
        <f t="shared" si="17"/>
        <v>0.36604748519325236</v>
      </c>
    </row>
    <row r="85" spans="1:25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  <c r="Q85" t="str">
        <f t="shared" si="9"/>
        <v>Weekday</v>
      </c>
      <c r="R85" t="str">
        <f t="shared" si="10"/>
        <v>Clear</v>
      </c>
      <c r="S85" t="str">
        <f t="shared" si="11"/>
        <v>Afternoon</v>
      </c>
      <c r="T85" t="str">
        <f t="shared" si="12"/>
        <v>January</v>
      </c>
      <c r="U85" t="str">
        <f t="shared" si="13"/>
        <v>Spring</v>
      </c>
      <c r="V85">
        <f t="shared" si="14"/>
        <v>0.22929155386993369</v>
      </c>
      <c r="W85">
        <f t="shared" si="15"/>
        <v>-0.25435329828790432</v>
      </c>
      <c r="X85">
        <f t="shared" si="16"/>
        <v>0.10399668008577614</v>
      </c>
      <c r="Y85">
        <f t="shared" si="17"/>
        <v>0.36604748519325236</v>
      </c>
    </row>
    <row r="86" spans="1:25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  <c r="Q86" t="str">
        <f t="shared" si="9"/>
        <v>Weekday</v>
      </c>
      <c r="R86" t="str">
        <f t="shared" si="10"/>
        <v>Clear</v>
      </c>
      <c r="S86" t="str">
        <f t="shared" si="11"/>
        <v>Afternoon</v>
      </c>
      <c r="T86" t="str">
        <f t="shared" si="12"/>
        <v>January</v>
      </c>
      <c r="U86" t="str">
        <f t="shared" si="13"/>
        <v>Spring</v>
      </c>
      <c r="V86">
        <f t="shared" si="14"/>
        <v>0.22929155386993369</v>
      </c>
      <c r="W86">
        <f t="shared" si="15"/>
        <v>-0.25435329828790432</v>
      </c>
      <c r="X86">
        <f t="shared" si="16"/>
        <v>0.10399668008577614</v>
      </c>
      <c r="Y86">
        <f t="shared" si="17"/>
        <v>0.36604748519325236</v>
      </c>
    </row>
    <row r="87" spans="1:25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  <c r="Q87" t="str">
        <f t="shared" si="9"/>
        <v>Weekday</v>
      </c>
      <c r="R87" t="str">
        <f t="shared" si="10"/>
        <v>Clear</v>
      </c>
      <c r="S87" t="str">
        <f t="shared" si="11"/>
        <v>Evening</v>
      </c>
      <c r="T87" t="str">
        <f t="shared" si="12"/>
        <v>January</v>
      </c>
      <c r="U87" t="str">
        <f t="shared" si="13"/>
        <v>Spring</v>
      </c>
      <c r="V87">
        <f t="shared" si="14"/>
        <v>0.22929155386993369</v>
      </c>
      <c r="W87">
        <f t="shared" si="15"/>
        <v>-0.25435329828790432</v>
      </c>
      <c r="X87">
        <f t="shared" si="16"/>
        <v>0.10399668008577614</v>
      </c>
      <c r="Y87">
        <f t="shared" si="17"/>
        <v>0.36604748519325236</v>
      </c>
    </row>
    <row r="88" spans="1:25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  <c r="Q88" t="str">
        <f t="shared" si="9"/>
        <v>Weekday</v>
      </c>
      <c r="R88" t="str">
        <f t="shared" si="10"/>
        <v>Clear</v>
      </c>
      <c r="S88" t="str">
        <f t="shared" si="11"/>
        <v>Evening</v>
      </c>
      <c r="T88" t="str">
        <f t="shared" si="12"/>
        <v>January</v>
      </c>
      <c r="U88" t="str">
        <f t="shared" si="13"/>
        <v>Spring</v>
      </c>
      <c r="V88">
        <f t="shared" si="14"/>
        <v>0.22929155386993369</v>
      </c>
      <c r="W88">
        <f t="shared" si="15"/>
        <v>-0.25435329828790432</v>
      </c>
      <c r="X88">
        <f t="shared" si="16"/>
        <v>0.10399668008577614</v>
      </c>
      <c r="Y88">
        <f t="shared" si="17"/>
        <v>0.36604748519325236</v>
      </c>
    </row>
    <row r="89" spans="1:25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  <c r="Q89" t="str">
        <f t="shared" si="9"/>
        <v>Weekday</v>
      </c>
      <c r="R89" t="str">
        <f t="shared" si="10"/>
        <v>Clear</v>
      </c>
      <c r="S89" t="str">
        <f t="shared" si="11"/>
        <v>Evening</v>
      </c>
      <c r="T89" t="str">
        <f t="shared" si="12"/>
        <v>January</v>
      </c>
      <c r="U89" t="str">
        <f t="shared" si="13"/>
        <v>Spring</v>
      </c>
      <c r="V89">
        <f t="shared" si="14"/>
        <v>0.22929155386993369</v>
      </c>
      <c r="W89">
        <f t="shared" si="15"/>
        <v>-0.25435329828790432</v>
      </c>
      <c r="X89">
        <f t="shared" si="16"/>
        <v>0.10399668008577614</v>
      </c>
      <c r="Y89">
        <f t="shared" si="17"/>
        <v>0.36604748519325236</v>
      </c>
    </row>
    <row r="90" spans="1:25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  <c r="Q90" t="str">
        <f t="shared" si="9"/>
        <v>Weekday</v>
      </c>
      <c r="R90" t="str">
        <f t="shared" si="10"/>
        <v>Clear</v>
      </c>
      <c r="S90" t="str">
        <f t="shared" si="11"/>
        <v>Evening</v>
      </c>
      <c r="T90" t="str">
        <f t="shared" si="12"/>
        <v>January</v>
      </c>
      <c r="U90" t="str">
        <f t="shared" si="13"/>
        <v>Spring</v>
      </c>
      <c r="V90">
        <f t="shared" si="14"/>
        <v>0.22929155386993369</v>
      </c>
      <c r="W90">
        <f t="shared" si="15"/>
        <v>-0.25435329828790432</v>
      </c>
      <c r="X90">
        <f t="shared" si="16"/>
        <v>0.10399668008577614</v>
      </c>
      <c r="Y90">
        <f t="shared" si="17"/>
        <v>0.36604748519325236</v>
      </c>
    </row>
    <row r="91" spans="1:25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  <c r="Q91" t="str">
        <f t="shared" si="9"/>
        <v>Weekday</v>
      </c>
      <c r="R91" t="str">
        <f t="shared" si="10"/>
        <v>Clear</v>
      </c>
      <c r="S91" t="str">
        <f t="shared" si="11"/>
        <v>Night</v>
      </c>
      <c r="T91" t="str">
        <f t="shared" si="12"/>
        <v>January</v>
      </c>
      <c r="U91" t="str">
        <f t="shared" si="13"/>
        <v>Spring</v>
      </c>
      <c r="V91">
        <f t="shared" si="14"/>
        <v>0.22929155386993369</v>
      </c>
      <c r="W91">
        <f t="shared" si="15"/>
        <v>-0.25435329828790432</v>
      </c>
      <c r="X91">
        <f t="shared" si="16"/>
        <v>0.10399668008577614</v>
      </c>
      <c r="Y91">
        <f t="shared" si="17"/>
        <v>0.36604748519325236</v>
      </c>
    </row>
    <row r="92" spans="1:25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  <c r="Q92" t="str">
        <f t="shared" si="9"/>
        <v>Weekday</v>
      </c>
      <c r="R92" t="str">
        <f t="shared" si="10"/>
        <v>Clear</v>
      </c>
      <c r="S92" t="str">
        <f t="shared" si="11"/>
        <v>Night</v>
      </c>
      <c r="T92" t="str">
        <f t="shared" si="12"/>
        <v>January</v>
      </c>
      <c r="U92" t="str">
        <f t="shared" si="13"/>
        <v>Spring</v>
      </c>
      <c r="V92">
        <f t="shared" si="14"/>
        <v>0.22929155386993369</v>
      </c>
      <c r="W92">
        <f t="shared" si="15"/>
        <v>-0.25435329828790432</v>
      </c>
      <c r="X92">
        <f t="shared" si="16"/>
        <v>0.10399668008577614</v>
      </c>
      <c r="Y92">
        <f t="shared" si="17"/>
        <v>0.36604748519325236</v>
      </c>
    </row>
    <row r="93" spans="1:25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  <c r="Q93" t="str">
        <f t="shared" si="9"/>
        <v>Weekday</v>
      </c>
      <c r="R93" t="str">
        <f t="shared" si="10"/>
        <v>Clear</v>
      </c>
      <c r="S93" t="str">
        <f t="shared" si="11"/>
        <v>Night</v>
      </c>
      <c r="T93" t="str">
        <f t="shared" si="12"/>
        <v>January</v>
      </c>
      <c r="U93" t="str">
        <f t="shared" si="13"/>
        <v>Spring</v>
      </c>
      <c r="V93">
        <f t="shared" si="14"/>
        <v>0.22929155386993369</v>
      </c>
      <c r="W93">
        <f t="shared" si="15"/>
        <v>-0.25435329828790432</v>
      </c>
      <c r="X93">
        <f t="shared" si="16"/>
        <v>0.10399668008577614</v>
      </c>
      <c r="Y93">
        <f t="shared" si="17"/>
        <v>0.36604748519325236</v>
      </c>
    </row>
    <row r="94" spans="1:25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  <c r="Q94" t="str">
        <f t="shared" si="9"/>
        <v>Weekday</v>
      </c>
      <c r="R94" t="str">
        <f t="shared" si="10"/>
        <v>Clear</v>
      </c>
      <c r="S94" t="str">
        <f t="shared" si="11"/>
        <v>Night</v>
      </c>
      <c r="T94" t="str">
        <f t="shared" si="12"/>
        <v>January</v>
      </c>
      <c r="U94" t="str">
        <f t="shared" si="13"/>
        <v>Spring</v>
      </c>
      <c r="V94">
        <f t="shared" si="14"/>
        <v>0.22929155386993369</v>
      </c>
      <c r="W94">
        <f t="shared" si="15"/>
        <v>-0.25435329828790432</v>
      </c>
      <c r="X94">
        <f t="shared" si="16"/>
        <v>0.10399668008577614</v>
      </c>
      <c r="Y94">
        <f t="shared" si="17"/>
        <v>0.36604748519325236</v>
      </c>
    </row>
    <row r="95" spans="1:25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  <c r="Q95" t="str">
        <f t="shared" si="9"/>
        <v>Weekday</v>
      </c>
      <c r="R95" t="str">
        <f t="shared" si="10"/>
        <v>Clear</v>
      </c>
      <c r="S95" t="str">
        <f t="shared" si="11"/>
        <v>Night</v>
      </c>
      <c r="T95" t="str">
        <f t="shared" si="12"/>
        <v>January</v>
      </c>
      <c r="U95" t="str">
        <f t="shared" si="13"/>
        <v>Spring</v>
      </c>
      <c r="V95">
        <f t="shared" si="14"/>
        <v>0.22929155386993369</v>
      </c>
      <c r="W95">
        <f t="shared" si="15"/>
        <v>-0.25435329828790432</v>
      </c>
      <c r="X95">
        <f t="shared" si="16"/>
        <v>0.10399668008577614</v>
      </c>
      <c r="Y95">
        <f t="shared" si="17"/>
        <v>0.36604748519325236</v>
      </c>
    </row>
    <row r="96" spans="1:25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  <c r="Q96" t="str">
        <f t="shared" si="9"/>
        <v>Weekday</v>
      </c>
      <c r="R96" t="str">
        <f t="shared" si="10"/>
        <v>Clear</v>
      </c>
      <c r="S96" t="str">
        <f t="shared" si="11"/>
        <v>Night</v>
      </c>
      <c r="T96" t="str">
        <f t="shared" si="12"/>
        <v>January</v>
      </c>
      <c r="U96" t="str">
        <f t="shared" si="13"/>
        <v>Spring</v>
      </c>
      <c r="V96">
        <f t="shared" si="14"/>
        <v>0.22929155386993369</v>
      </c>
      <c r="W96">
        <f t="shared" si="15"/>
        <v>-0.25435329828790432</v>
      </c>
      <c r="X96">
        <f t="shared" si="16"/>
        <v>0.10399668008577614</v>
      </c>
      <c r="Y96">
        <f t="shared" si="17"/>
        <v>0.36604748519325236</v>
      </c>
    </row>
    <row r="97" spans="1:25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  <c r="Q97" t="str">
        <f t="shared" si="9"/>
        <v>Weekday</v>
      </c>
      <c r="R97" t="str">
        <f t="shared" si="10"/>
        <v>Clear</v>
      </c>
      <c r="S97" t="str">
        <f t="shared" si="11"/>
        <v>Night</v>
      </c>
      <c r="T97" t="str">
        <f t="shared" si="12"/>
        <v>January</v>
      </c>
      <c r="U97" t="str">
        <f t="shared" si="13"/>
        <v>Spring</v>
      </c>
      <c r="V97">
        <f t="shared" si="14"/>
        <v>0.22929155386993369</v>
      </c>
      <c r="W97">
        <f t="shared" si="15"/>
        <v>-0.25435329828790432</v>
      </c>
      <c r="X97">
        <f t="shared" si="16"/>
        <v>0.10399668008577614</v>
      </c>
      <c r="Y97">
        <f t="shared" si="17"/>
        <v>0.36604748519325236</v>
      </c>
    </row>
    <row r="98" spans="1:25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  <c r="Q98" t="str">
        <f t="shared" si="9"/>
        <v>Weekday</v>
      </c>
      <c r="R98" t="str">
        <f t="shared" si="10"/>
        <v>Clear</v>
      </c>
      <c r="S98" t="str">
        <f t="shared" si="11"/>
        <v>Night</v>
      </c>
      <c r="T98" t="str">
        <f t="shared" si="12"/>
        <v>January</v>
      </c>
      <c r="U98" t="str">
        <f t="shared" si="13"/>
        <v>Spring</v>
      </c>
      <c r="V98">
        <f t="shared" si="14"/>
        <v>0.22929155386993369</v>
      </c>
      <c r="W98">
        <f t="shared" si="15"/>
        <v>-0.25435329828790432</v>
      </c>
      <c r="X98">
        <f t="shared" si="16"/>
        <v>0.10399668008577614</v>
      </c>
      <c r="Y98">
        <f t="shared" si="17"/>
        <v>0.36604748519325236</v>
      </c>
    </row>
    <row r="99" spans="1:25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  <c r="Q99" t="str">
        <f t="shared" si="9"/>
        <v>Weekday</v>
      </c>
      <c r="R99" t="str">
        <f t="shared" si="10"/>
        <v>Clear</v>
      </c>
      <c r="S99" t="str">
        <f t="shared" si="11"/>
        <v>Morning</v>
      </c>
      <c r="T99" t="str">
        <f t="shared" si="12"/>
        <v>January</v>
      </c>
      <c r="U99" t="str">
        <f t="shared" si="13"/>
        <v>Spring</v>
      </c>
      <c r="V99">
        <f t="shared" si="14"/>
        <v>0.22929155386993369</v>
      </c>
      <c r="W99">
        <f t="shared" si="15"/>
        <v>-0.25435329828790432</v>
      </c>
      <c r="X99">
        <f t="shared" si="16"/>
        <v>0.10399668008577614</v>
      </c>
      <c r="Y99">
        <f t="shared" si="17"/>
        <v>0.36604748519325236</v>
      </c>
    </row>
    <row r="100" spans="1:25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  <c r="Q100" t="str">
        <f t="shared" si="9"/>
        <v>Weekday</v>
      </c>
      <c r="R100" t="str">
        <f t="shared" si="10"/>
        <v>Clear</v>
      </c>
      <c r="S100" t="str">
        <f t="shared" si="11"/>
        <v>Morning</v>
      </c>
      <c r="T100" t="str">
        <f t="shared" si="12"/>
        <v>January</v>
      </c>
      <c r="U100" t="str">
        <f t="shared" si="13"/>
        <v>Spring</v>
      </c>
      <c r="V100">
        <f t="shared" si="14"/>
        <v>0.22929155386993369</v>
      </c>
      <c r="W100">
        <f t="shared" si="15"/>
        <v>-0.25435329828790432</v>
      </c>
      <c r="X100">
        <f t="shared" si="16"/>
        <v>0.10399668008577614</v>
      </c>
      <c r="Y100">
        <f t="shared" si="17"/>
        <v>0.36604748519325236</v>
      </c>
    </row>
    <row r="101" spans="1:25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  <c r="Q101" t="str">
        <f t="shared" si="9"/>
        <v>Weekday</v>
      </c>
      <c r="R101" t="str">
        <f t="shared" si="10"/>
        <v>Clear</v>
      </c>
      <c r="S101" t="str">
        <f t="shared" si="11"/>
        <v>Morning</v>
      </c>
      <c r="T101" t="str">
        <f t="shared" si="12"/>
        <v>January</v>
      </c>
      <c r="U101" t="str">
        <f t="shared" si="13"/>
        <v>Spring</v>
      </c>
      <c r="V101">
        <f t="shared" si="14"/>
        <v>0.22929155386993369</v>
      </c>
      <c r="W101">
        <f t="shared" si="15"/>
        <v>-0.25435329828790432</v>
      </c>
      <c r="X101">
        <f t="shared" si="16"/>
        <v>0.10399668008577614</v>
      </c>
      <c r="Y101">
        <f t="shared" si="17"/>
        <v>0.36604748519325236</v>
      </c>
    </row>
    <row r="102" spans="1:25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  <c r="Q102" t="str">
        <f t="shared" si="9"/>
        <v>Weekday</v>
      </c>
      <c r="R102" t="str">
        <f t="shared" si="10"/>
        <v>Clear</v>
      </c>
      <c r="S102" t="str">
        <f t="shared" si="11"/>
        <v>Morning</v>
      </c>
      <c r="T102" t="str">
        <f t="shared" si="12"/>
        <v>January</v>
      </c>
      <c r="U102" t="str">
        <f t="shared" si="13"/>
        <v>Spring</v>
      </c>
      <c r="V102">
        <f t="shared" si="14"/>
        <v>0.22929155386993369</v>
      </c>
      <c r="W102">
        <f t="shared" si="15"/>
        <v>-0.25435329828790432</v>
      </c>
      <c r="X102">
        <f t="shared" si="16"/>
        <v>0.10399668008577614</v>
      </c>
      <c r="Y102">
        <f t="shared" si="17"/>
        <v>0.36604748519325236</v>
      </c>
    </row>
    <row r="103" spans="1:25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  <c r="Q103" t="str">
        <f t="shared" si="9"/>
        <v>Weekday</v>
      </c>
      <c r="R103" t="str">
        <f t="shared" si="10"/>
        <v>Clear</v>
      </c>
      <c r="S103" t="str">
        <f t="shared" si="11"/>
        <v>Morning</v>
      </c>
      <c r="T103" t="str">
        <f t="shared" si="12"/>
        <v>January</v>
      </c>
      <c r="U103" t="str">
        <f t="shared" si="13"/>
        <v>Spring</v>
      </c>
      <c r="V103">
        <f t="shared" si="14"/>
        <v>0.22929155386993369</v>
      </c>
      <c r="W103">
        <f t="shared" si="15"/>
        <v>-0.25435329828790432</v>
      </c>
      <c r="X103">
        <f t="shared" si="16"/>
        <v>0.10399668008577614</v>
      </c>
      <c r="Y103">
        <f t="shared" si="17"/>
        <v>0.36604748519325236</v>
      </c>
    </row>
    <row r="104" spans="1:25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  <c r="Q104" t="str">
        <f t="shared" si="9"/>
        <v>Weekday</v>
      </c>
      <c r="R104" t="str">
        <f t="shared" si="10"/>
        <v>Clear</v>
      </c>
      <c r="S104" t="str">
        <f t="shared" si="11"/>
        <v>Morning</v>
      </c>
      <c r="T104" t="str">
        <f t="shared" si="12"/>
        <v>January</v>
      </c>
      <c r="U104" t="str">
        <f t="shared" si="13"/>
        <v>Spring</v>
      </c>
      <c r="V104">
        <f t="shared" si="14"/>
        <v>0.22929155386993369</v>
      </c>
      <c r="W104">
        <f t="shared" si="15"/>
        <v>-0.25435329828790432</v>
      </c>
      <c r="X104">
        <f t="shared" si="16"/>
        <v>0.10399668008577614</v>
      </c>
      <c r="Y104">
        <f t="shared" si="17"/>
        <v>0.36604748519325236</v>
      </c>
    </row>
    <row r="105" spans="1:25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  <c r="Q105" t="str">
        <f t="shared" si="9"/>
        <v>Weekday</v>
      </c>
      <c r="R105" t="str">
        <f t="shared" si="10"/>
        <v>Clear</v>
      </c>
      <c r="S105" t="str">
        <f t="shared" si="11"/>
        <v>Afternoon</v>
      </c>
      <c r="T105" t="str">
        <f t="shared" si="12"/>
        <v>January</v>
      </c>
      <c r="U105" t="str">
        <f t="shared" si="13"/>
        <v>Spring</v>
      </c>
      <c r="V105">
        <f t="shared" si="14"/>
        <v>0.22929155386993369</v>
      </c>
      <c r="W105">
        <f t="shared" si="15"/>
        <v>-0.25435329828790432</v>
      </c>
      <c r="X105">
        <f t="shared" si="16"/>
        <v>0.10399668008577614</v>
      </c>
      <c r="Y105">
        <f t="shared" si="17"/>
        <v>0.36604748519325236</v>
      </c>
    </row>
    <row r="106" spans="1:25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  <c r="Q106" t="str">
        <f t="shared" si="9"/>
        <v>Weekday</v>
      </c>
      <c r="R106" t="str">
        <f t="shared" si="10"/>
        <v>Clear</v>
      </c>
      <c r="S106" t="str">
        <f t="shared" si="11"/>
        <v>Afternoon</v>
      </c>
      <c r="T106" t="str">
        <f t="shared" si="12"/>
        <v>January</v>
      </c>
      <c r="U106" t="str">
        <f t="shared" si="13"/>
        <v>Spring</v>
      </c>
      <c r="V106">
        <f t="shared" si="14"/>
        <v>0.22929155386993369</v>
      </c>
      <c r="W106">
        <f t="shared" si="15"/>
        <v>-0.25435329828790432</v>
      </c>
      <c r="X106">
        <f t="shared" si="16"/>
        <v>0.10399668008577614</v>
      </c>
      <c r="Y106">
        <f t="shared" si="17"/>
        <v>0.36604748519325236</v>
      </c>
    </row>
    <row r="107" spans="1:25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  <c r="Q107" t="str">
        <f t="shared" si="9"/>
        <v>Weekday</v>
      </c>
      <c r="R107" t="str">
        <f t="shared" si="10"/>
        <v>Clear</v>
      </c>
      <c r="S107" t="str">
        <f t="shared" si="11"/>
        <v>Afternoon</v>
      </c>
      <c r="T107" t="str">
        <f t="shared" si="12"/>
        <v>January</v>
      </c>
      <c r="U107" t="str">
        <f t="shared" si="13"/>
        <v>Spring</v>
      </c>
      <c r="V107">
        <f t="shared" si="14"/>
        <v>0.22929155386993369</v>
      </c>
      <c r="W107">
        <f t="shared" si="15"/>
        <v>-0.25435329828790432</v>
      </c>
      <c r="X107">
        <f t="shared" si="16"/>
        <v>0.10399668008577614</v>
      </c>
      <c r="Y107">
        <f t="shared" si="17"/>
        <v>0.36604748519325236</v>
      </c>
    </row>
    <row r="108" spans="1:25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  <c r="Q108" t="str">
        <f t="shared" si="9"/>
        <v>Weekday</v>
      </c>
      <c r="R108" t="str">
        <f t="shared" si="10"/>
        <v>Clear</v>
      </c>
      <c r="S108" t="str">
        <f t="shared" si="11"/>
        <v>Afternoon</v>
      </c>
      <c r="T108" t="str">
        <f t="shared" si="12"/>
        <v>January</v>
      </c>
      <c r="U108" t="str">
        <f t="shared" si="13"/>
        <v>Spring</v>
      </c>
      <c r="V108">
        <f t="shared" si="14"/>
        <v>0.22929155386993369</v>
      </c>
      <c r="W108">
        <f t="shared" si="15"/>
        <v>-0.25435329828790432</v>
      </c>
      <c r="X108">
        <f t="shared" si="16"/>
        <v>0.10399668008577614</v>
      </c>
      <c r="Y108">
        <f t="shared" si="17"/>
        <v>0.36604748519325236</v>
      </c>
    </row>
    <row r="109" spans="1:25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  <c r="Q109" t="str">
        <f t="shared" si="9"/>
        <v>Weekday</v>
      </c>
      <c r="R109" t="str">
        <f t="shared" si="10"/>
        <v>Clear</v>
      </c>
      <c r="S109" t="str">
        <f t="shared" si="11"/>
        <v>Afternoon</v>
      </c>
      <c r="T109" t="str">
        <f t="shared" si="12"/>
        <v>January</v>
      </c>
      <c r="U109" t="str">
        <f t="shared" si="13"/>
        <v>Spring</v>
      </c>
      <c r="V109">
        <f t="shared" si="14"/>
        <v>0.22929155386993369</v>
      </c>
      <c r="W109">
        <f t="shared" si="15"/>
        <v>-0.25435329828790432</v>
      </c>
      <c r="X109">
        <f t="shared" si="16"/>
        <v>0.10399668008577614</v>
      </c>
      <c r="Y109">
        <f t="shared" si="17"/>
        <v>0.36604748519325236</v>
      </c>
    </row>
    <row r="110" spans="1:25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  <c r="Q110" t="str">
        <f t="shared" si="9"/>
        <v>Weekday</v>
      </c>
      <c r="R110" t="str">
        <f t="shared" si="10"/>
        <v>Clear</v>
      </c>
      <c r="S110" t="str">
        <f t="shared" si="11"/>
        <v>Evening</v>
      </c>
      <c r="T110" t="str">
        <f t="shared" si="12"/>
        <v>January</v>
      </c>
      <c r="U110" t="str">
        <f t="shared" si="13"/>
        <v>Spring</v>
      </c>
      <c r="V110">
        <f t="shared" si="14"/>
        <v>0.22929155386993369</v>
      </c>
      <c r="W110">
        <f t="shared" si="15"/>
        <v>-0.25435329828790432</v>
      </c>
      <c r="X110">
        <f t="shared" si="16"/>
        <v>0.10399668008577614</v>
      </c>
      <c r="Y110">
        <f t="shared" si="17"/>
        <v>0.36604748519325236</v>
      </c>
    </row>
    <row r="111" spans="1:25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  <c r="Q111" t="str">
        <f t="shared" si="9"/>
        <v>Weekday</v>
      </c>
      <c r="R111" t="str">
        <f t="shared" si="10"/>
        <v>Clear</v>
      </c>
      <c r="S111" t="str">
        <f t="shared" si="11"/>
        <v>Evening</v>
      </c>
      <c r="T111" t="str">
        <f t="shared" si="12"/>
        <v>January</v>
      </c>
      <c r="U111" t="str">
        <f t="shared" si="13"/>
        <v>Spring</v>
      </c>
      <c r="V111">
        <f t="shared" si="14"/>
        <v>0.22929155386993369</v>
      </c>
      <c r="W111">
        <f t="shared" si="15"/>
        <v>-0.25435329828790432</v>
      </c>
      <c r="X111">
        <f t="shared" si="16"/>
        <v>0.10399668008577614</v>
      </c>
      <c r="Y111">
        <f t="shared" si="17"/>
        <v>0.36604748519325236</v>
      </c>
    </row>
    <row r="112" spans="1:25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  <c r="Q112" t="str">
        <f t="shared" si="9"/>
        <v>Weekday</v>
      </c>
      <c r="R112" t="str">
        <f t="shared" si="10"/>
        <v>Clear</v>
      </c>
      <c r="S112" t="str">
        <f t="shared" si="11"/>
        <v>Evening</v>
      </c>
      <c r="T112" t="str">
        <f t="shared" si="12"/>
        <v>January</v>
      </c>
      <c r="U112" t="str">
        <f t="shared" si="13"/>
        <v>Spring</v>
      </c>
      <c r="V112">
        <f t="shared" si="14"/>
        <v>0.22929155386993369</v>
      </c>
      <c r="W112">
        <f t="shared" si="15"/>
        <v>-0.25435329828790432</v>
      </c>
      <c r="X112">
        <f t="shared" si="16"/>
        <v>0.10399668008577614</v>
      </c>
      <c r="Y112">
        <f t="shared" si="17"/>
        <v>0.36604748519325236</v>
      </c>
    </row>
    <row r="113" spans="1:25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  <c r="Q113" t="str">
        <f t="shared" si="9"/>
        <v>Weekday</v>
      </c>
      <c r="R113" t="str">
        <f t="shared" si="10"/>
        <v>Clear</v>
      </c>
      <c r="S113" t="str">
        <f t="shared" si="11"/>
        <v>Evening</v>
      </c>
      <c r="T113" t="str">
        <f t="shared" si="12"/>
        <v>January</v>
      </c>
      <c r="U113" t="str">
        <f t="shared" si="13"/>
        <v>Spring</v>
      </c>
      <c r="V113">
        <f t="shared" si="14"/>
        <v>0.22929155386993369</v>
      </c>
      <c r="W113">
        <f t="shared" si="15"/>
        <v>-0.25435329828790432</v>
      </c>
      <c r="X113">
        <f t="shared" si="16"/>
        <v>0.10399668008577614</v>
      </c>
      <c r="Y113">
        <f t="shared" si="17"/>
        <v>0.36604748519325236</v>
      </c>
    </row>
    <row r="114" spans="1:25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  <c r="Q114" t="str">
        <f t="shared" si="9"/>
        <v>Weekday</v>
      </c>
      <c r="R114" t="str">
        <f t="shared" si="10"/>
        <v>Clear</v>
      </c>
      <c r="S114" t="str">
        <f t="shared" si="11"/>
        <v>Night</v>
      </c>
      <c r="T114" t="str">
        <f t="shared" si="12"/>
        <v>January</v>
      </c>
      <c r="U114" t="str">
        <f t="shared" si="13"/>
        <v>Spring</v>
      </c>
      <c r="V114">
        <f t="shared" si="14"/>
        <v>0.22929155386993369</v>
      </c>
      <c r="W114">
        <f t="shared" si="15"/>
        <v>-0.25435329828790432</v>
      </c>
      <c r="X114">
        <f t="shared" si="16"/>
        <v>0.10399668008577614</v>
      </c>
      <c r="Y114">
        <f t="shared" si="17"/>
        <v>0.36604748519325236</v>
      </c>
    </row>
    <row r="115" spans="1:25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  <c r="Q115" t="str">
        <f t="shared" si="9"/>
        <v>Weekday</v>
      </c>
      <c r="R115" t="str">
        <f t="shared" si="10"/>
        <v>Clear</v>
      </c>
      <c r="S115" t="str">
        <f t="shared" si="11"/>
        <v>Night</v>
      </c>
      <c r="T115" t="str">
        <f t="shared" si="12"/>
        <v>January</v>
      </c>
      <c r="U115" t="str">
        <f t="shared" si="13"/>
        <v>Spring</v>
      </c>
      <c r="V115">
        <f t="shared" si="14"/>
        <v>0.22929155386993369</v>
      </c>
      <c r="W115">
        <f t="shared" si="15"/>
        <v>-0.25435329828790432</v>
      </c>
      <c r="X115">
        <f t="shared" si="16"/>
        <v>0.10399668008577614</v>
      </c>
      <c r="Y115">
        <f t="shared" si="17"/>
        <v>0.36604748519325236</v>
      </c>
    </row>
    <row r="116" spans="1:25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  <c r="Q116" t="str">
        <f t="shared" si="9"/>
        <v>Weekday</v>
      </c>
      <c r="R116" t="str">
        <f t="shared" si="10"/>
        <v>Clear</v>
      </c>
      <c r="S116" t="str">
        <f t="shared" si="11"/>
        <v>Night</v>
      </c>
      <c r="T116" t="str">
        <f t="shared" si="12"/>
        <v>January</v>
      </c>
      <c r="U116" t="str">
        <f t="shared" si="13"/>
        <v>Spring</v>
      </c>
      <c r="V116">
        <f t="shared" si="14"/>
        <v>0.22929155386993369</v>
      </c>
      <c r="W116">
        <f t="shared" si="15"/>
        <v>-0.25435329828790432</v>
      </c>
      <c r="X116">
        <f t="shared" si="16"/>
        <v>0.10399668008577614</v>
      </c>
      <c r="Y116">
        <f t="shared" si="17"/>
        <v>0.36604748519325236</v>
      </c>
    </row>
    <row r="117" spans="1:25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  <c r="Q117" t="str">
        <f t="shared" si="9"/>
        <v>Weekday</v>
      </c>
      <c r="R117" t="str">
        <f t="shared" si="10"/>
        <v>Clear</v>
      </c>
      <c r="S117" t="str">
        <f t="shared" si="11"/>
        <v>Night</v>
      </c>
      <c r="T117" t="str">
        <f t="shared" si="12"/>
        <v>January</v>
      </c>
      <c r="U117" t="str">
        <f t="shared" si="13"/>
        <v>Spring</v>
      </c>
      <c r="V117">
        <f t="shared" si="14"/>
        <v>0.22929155386993369</v>
      </c>
      <c r="W117">
        <f t="shared" si="15"/>
        <v>-0.25435329828790432</v>
      </c>
      <c r="X117">
        <f t="shared" si="16"/>
        <v>0.10399668008577614</v>
      </c>
      <c r="Y117">
        <f t="shared" si="17"/>
        <v>0.36604748519325236</v>
      </c>
    </row>
    <row r="118" spans="1:25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  <c r="Q118" t="str">
        <f t="shared" si="9"/>
        <v>Weekday</v>
      </c>
      <c r="R118" t="str">
        <f t="shared" si="10"/>
        <v>Clear</v>
      </c>
      <c r="S118" t="str">
        <f t="shared" si="11"/>
        <v>Night</v>
      </c>
      <c r="T118" t="str">
        <f t="shared" si="12"/>
        <v>January</v>
      </c>
      <c r="U118" t="str">
        <f t="shared" si="13"/>
        <v>Spring</v>
      </c>
      <c r="V118">
        <f t="shared" si="14"/>
        <v>0.22929155386993369</v>
      </c>
      <c r="W118">
        <f t="shared" si="15"/>
        <v>-0.25435329828790432</v>
      </c>
      <c r="X118">
        <f t="shared" si="16"/>
        <v>0.10399668008577614</v>
      </c>
      <c r="Y118">
        <f t="shared" si="17"/>
        <v>0.36604748519325236</v>
      </c>
    </row>
    <row r="119" spans="1:25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  <c r="Q119" t="str">
        <f t="shared" si="9"/>
        <v>Weekday</v>
      </c>
      <c r="R119" t="str">
        <f t="shared" si="10"/>
        <v>Clear</v>
      </c>
      <c r="S119" t="str">
        <f t="shared" si="11"/>
        <v>Night</v>
      </c>
      <c r="T119" t="str">
        <f t="shared" si="12"/>
        <v>January</v>
      </c>
      <c r="U119" t="str">
        <f t="shared" si="13"/>
        <v>Spring</v>
      </c>
      <c r="V119">
        <f t="shared" si="14"/>
        <v>0.22929155386993369</v>
      </c>
      <c r="W119">
        <f t="shared" si="15"/>
        <v>-0.25435329828790432</v>
      </c>
      <c r="X119">
        <f t="shared" si="16"/>
        <v>0.10399668008577614</v>
      </c>
      <c r="Y119">
        <f t="shared" si="17"/>
        <v>0.36604748519325236</v>
      </c>
    </row>
    <row r="120" spans="1:25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  <c r="Q120" t="str">
        <f t="shared" si="9"/>
        <v>Weekday</v>
      </c>
      <c r="R120" t="str">
        <f t="shared" si="10"/>
        <v>Mist/Cloudy</v>
      </c>
      <c r="S120" t="str">
        <f t="shared" si="11"/>
        <v>Night</v>
      </c>
      <c r="T120" t="str">
        <f t="shared" si="12"/>
        <v>January</v>
      </c>
      <c r="U120" t="str">
        <f t="shared" si="13"/>
        <v>Spring</v>
      </c>
      <c r="V120">
        <f t="shared" si="14"/>
        <v>0.22929155386993369</v>
      </c>
      <c r="W120">
        <f t="shared" si="15"/>
        <v>-0.25435329828790432</v>
      </c>
      <c r="X120">
        <f t="shared" si="16"/>
        <v>0.10399668008577614</v>
      </c>
      <c r="Y120">
        <f t="shared" si="17"/>
        <v>0.36604748519325236</v>
      </c>
    </row>
    <row r="121" spans="1:25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  <c r="Q121" t="str">
        <f t="shared" si="9"/>
        <v>Weekday</v>
      </c>
      <c r="R121" t="str">
        <f t="shared" si="10"/>
        <v>Mist/Cloudy</v>
      </c>
      <c r="S121" t="str">
        <f t="shared" si="11"/>
        <v>Night</v>
      </c>
      <c r="T121" t="str">
        <f t="shared" si="12"/>
        <v>January</v>
      </c>
      <c r="U121" t="str">
        <f t="shared" si="13"/>
        <v>Spring</v>
      </c>
      <c r="V121">
        <f t="shared" si="14"/>
        <v>0.22929155386993369</v>
      </c>
      <c r="W121">
        <f t="shared" si="15"/>
        <v>-0.25435329828790432</v>
      </c>
      <c r="X121">
        <f t="shared" si="16"/>
        <v>0.10399668008577614</v>
      </c>
      <c r="Y121">
        <f t="shared" si="17"/>
        <v>0.36604748519325236</v>
      </c>
    </row>
    <row r="122" spans="1:25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  <c r="Q122" t="str">
        <f t="shared" si="9"/>
        <v>Weekday</v>
      </c>
      <c r="R122" t="str">
        <f t="shared" si="10"/>
        <v>Mist/Cloudy</v>
      </c>
      <c r="S122" t="str">
        <f t="shared" si="11"/>
        <v>Morning</v>
      </c>
      <c r="T122" t="str">
        <f t="shared" si="12"/>
        <v>January</v>
      </c>
      <c r="U122" t="str">
        <f t="shared" si="13"/>
        <v>Spring</v>
      </c>
      <c r="V122">
        <f t="shared" si="14"/>
        <v>0.22929155386993369</v>
      </c>
      <c r="W122">
        <f t="shared" si="15"/>
        <v>-0.25435329828790432</v>
      </c>
      <c r="X122">
        <f t="shared" si="16"/>
        <v>0.10399668008577614</v>
      </c>
      <c r="Y122">
        <f t="shared" si="17"/>
        <v>0.36604748519325236</v>
      </c>
    </row>
    <row r="123" spans="1:25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  <c r="Q123" t="str">
        <f t="shared" si="9"/>
        <v>Weekday</v>
      </c>
      <c r="R123" t="str">
        <f t="shared" si="10"/>
        <v>Mist/Cloudy</v>
      </c>
      <c r="S123" t="str">
        <f t="shared" si="11"/>
        <v>Morning</v>
      </c>
      <c r="T123" t="str">
        <f t="shared" si="12"/>
        <v>January</v>
      </c>
      <c r="U123" t="str">
        <f t="shared" si="13"/>
        <v>Spring</v>
      </c>
      <c r="V123">
        <f t="shared" si="14"/>
        <v>0.22929155386993369</v>
      </c>
      <c r="W123">
        <f t="shared" si="15"/>
        <v>-0.25435329828790432</v>
      </c>
      <c r="X123">
        <f t="shared" si="16"/>
        <v>0.10399668008577614</v>
      </c>
      <c r="Y123">
        <f t="shared" si="17"/>
        <v>0.36604748519325236</v>
      </c>
    </row>
    <row r="124" spans="1:25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  <c r="Q124" t="str">
        <f t="shared" si="9"/>
        <v>Weekday</v>
      </c>
      <c r="R124" t="str">
        <f t="shared" si="10"/>
        <v>Clear</v>
      </c>
      <c r="S124" t="str">
        <f t="shared" si="11"/>
        <v>Morning</v>
      </c>
      <c r="T124" t="str">
        <f t="shared" si="12"/>
        <v>January</v>
      </c>
      <c r="U124" t="str">
        <f t="shared" si="13"/>
        <v>Spring</v>
      </c>
      <c r="V124">
        <f t="shared" si="14"/>
        <v>0.22929155386993369</v>
      </c>
      <c r="W124">
        <f t="shared" si="15"/>
        <v>-0.25435329828790432</v>
      </c>
      <c r="X124">
        <f t="shared" si="16"/>
        <v>0.10399668008577614</v>
      </c>
      <c r="Y124">
        <f t="shared" si="17"/>
        <v>0.36604748519325236</v>
      </c>
    </row>
    <row r="125" spans="1:25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  <c r="Q125" t="str">
        <f t="shared" si="9"/>
        <v>Weekday</v>
      </c>
      <c r="R125" t="str">
        <f t="shared" si="10"/>
        <v>Mist/Cloudy</v>
      </c>
      <c r="S125" t="str">
        <f t="shared" si="11"/>
        <v>Morning</v>
      </c>
      <c r="T125" t="str">
        <f t="shared" si="12"/>
        <v>January</v>
      </c>
      <c r="U125" t="str">
        <f t="shared" si="13"/>
        <v>Spring</v>
      </c>
      <c r="V125">
        <f t="shared" si="14"/>
        <v>0.22929155386993369</v>
      </c>
      <c r="W125">
        <f t="shared" si="15"/>
        <v>-0.25435329828790432</v>
      </c>
      <c r="X125">
        <f t="shared" si="16"/>
        <v>0.10399668008577614</v>
      </c>
      <c r="Y125">
        <f t="shared" si="17"/>
        <v>0.36604748519325236</v>
      </c>
    </row>
    <row r="126" spans="1:25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  <c r="Q126" t="str">
        <f t="shared" si="9"/>
        <v>Weekday</v>
      </c>
      <c r="R126" t="str">
        <f t="shared" si="10"/>
        <v>Clear</v>
      </c>
      <c r="S126" t="str">
        <f t="shared" si="11"/>
        <v>Morning</v>
      </c>
      <c r="T126" t="str">
        <f t="shared" si="12"/>
        <v>January</v>
      </c>
      <c r="U126" t="str">
        <f t="shared" si="13"/>
        <v>Spring</v>
      </c>
      <c r="V126">
        <f t="shared" si="14"/>
        <v>0.22929155386993369</v>
      </c>
      <c r="W126">
        <f t="shared" si="15"/>
        <v>-0.25435329828790432</v>
      </c>
      <c r="X126">
        <f t="shared" si="16"/>
        <v>0.10399668008577614</v>
      </c>
      <c r="Y126">
        <f t="shared" si="17"/>
        <v>0.36604748519325236</v>
      </c>
    </row>
    <row r="127" spans="1:25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  <c r="Q127" t="str">
        <f t="shared" si="9"/>
        <v>Weekday</v>
      </c>
      <c r="R127" t="str">
        <f t="shared" si="10"/>
        <v>Clear</v>
      </c>
      <c r="S127" t="str">
        <f t="shared" si="11"/>
        <v>Morning</v>
      </c>
      <c r="T127" t="str">
        <f t="shared" si="12"/>
        <v>January</v>
      </c>
      <c r="U127" t="str">
        <f t="shared" si="13"/>
        <v>Spring</v>
      </c>
      <c r="V127">
        <f t="shared" si="14"/>
        <v>0.22929155386993369</v>
      </c>
      <c r="W127">
        <f t="shared" si="15"/>
        <v>-0.25435329828790432</v>
      </c>
      <c r="X127">
        <f t="shared" si="16"/>
        <v>0.10399668008577614</v>
      </c>
      <c r="Y127">
        <f t="shared" si="17"/>
        <v>0.36604748519325236</v>
      </c>
    </row>
    <row r="128" spans="1:25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  <c r="Q128" t="str">
        <f t="shared" si="9"/>
        <v>Weekday</v>
      </c>
      <c r="R128" t="str">
        <f t="shared" si="10"/>
        <v>Clear</v>
      </c>
      <c r="S128" t="str">
        <f t="shared" si="11"/>
        <v>Afternoon</v>
      </c>
      <c r="T128" t="str">
        <f t="shared" si="12"/>
        <v>January</v>
      </c>
      <c r="U128" t="str">
        <f t="shared" si="13"/>
        <v>Spring</v>
      </c>
      <c r="V128">
        <f t="shared" si="14"/>
        <v>0.22929155386993369</v>
      </c>
      <c r="W128">
        <f t="shared" si="15"/>
        <v>-0.25435329828790432</v>
      </c>
      <c r="X128">
        <f t="shared" si="16"/>
        <v>0.10399668008577614</v>
      </c>
      <c r="Y128">
        <f t="shared" si="17"/>
        <v>0.36604748519325236</v>
      </c>
    </row>
    <row r="129" spans="1:25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  <c r="Q129" t="str">
        <f t="shared" si="9"/>
        <v>Weekday</v>
      </c>
      <c r="R129" t="str">
        <f t="shared" si="10"/>
        <v>Clear</v>
      </c>
      <c r="S129" t="str">
        <f t="shared" si="11"/>
        <v>Afternoon</v>
      </c>
      <c r="T129" t="str">
        <f t="shared" si="12"/>
        <v>January</v>
      </c>
      <c r="U129" t="str">
        <f t="shared" si="13"/>
        <v>Spring</v>
      </c>
      <c r="V129">
        <f t="shared" si="14"/>
        <v>0.22929155386993369</v>
      </c>
      <c r="W129">
        <f t="shared" si="15"/>
        <v>-0.25435329828790432</v>
      </c>
      <c r="X129">
        <f t="shared" si="16"/>
        <v>0.10399668008577614</v>
      </c>
      <c r="Y129">
        <f t="shared" si="17"/>
        <v>0.36604748519325236</v>
      </c>
    </row>
    <row r="130" spans="1:25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  <c r="Q130" t="str">
        <f t="shared" ref="Q130:Q193" si="18">IF(OR(WEEKDAY(B130)=1, WEEKDAY(B130)=7), "Weekend", "Weekday")</f>
        <v>Weekday</v>
      </c>
      <c r="R130" t="str">
        <f t="shared" ref="R130:R193" si="19">IF(I130=1,"Clear",IF(I130=2,"Mist/Cloudy",IF(I130=3,"Light Rain/Snow","Heavy Rain/Snow")))</f>
        <v>Clear</v>
      </c>
      <c r="S130" t="str">
        <f t="shared" ref="S130:S193" si="20">IF(AND(F130&gt;=6, F130&lt;12), "Morning", IF(AND(F130&gt;=12, F130&lt;17), "Afternoon", IF(AND(F130&gt;=17, F130&lt;21), "Evening", "Night")))</f>
        <v>Afternoon</v>
      </c>
      <c r="T130" t="str">
        <f t="shared" ref="T130:T193" si="21">TEXT(B130, "mmmm")</f>
        <v>January</v>
      </c>
      <c r="U130" t="str">
        <f t="shared" ref="U130:U193" si="22">CHOOSE(C130, "Spring", "Summer", "Fall", "Winter")</f>
        <v>Spring</v>
      </c>
      <c r="V130">
        <f t="shared" ref="V130:V193" si="23">CORREL($J$2:$J$1001, $P$2:$P$1001)</f>
        <v>0.22929155386993369</v>
      </c>
      <c r="W130">
        <f t="shared" ref="W130:W193" si="24">CORREL($L$2:$L$1001, $P$2:$P$1001)</f>
        <v>-0.25435329828790432</v>
      </c>
      <c r="X130">
        <f t="shared" ref="X130:X193" si="25">CORREL($M$2:$M$1001, $P$2:$P$1001)</f>
        <v>0.10399668008577614</v>
      </c>
      <c r="Y130">
        <f t="shared" ref="Y130:Y193" si="26">CORREL($F$2:$F$1001, $P$2:$P$1001)</f>
        <v>0.36604748519325236</v>
      </c>
    </row>
    <row r="131" spans="1:25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  <c r="Q131" t="str">
        <f t="shared" si="18"/>
        <v>Weekday</v>
      </c>
      <c r="R131" t="str">
        <f t="shared" si="19"/>
        <v>Clear</v>
      </c>
      <c r="S131" t="str">
        <f t="shared" si="20"/>
        <v>Afternoon</v>
      </c>
      <c r="T131" t="str">
        <f t="shared" si="21"/>
        <v>January</v>
      </c>
      <c r="U131" t="str">
        <f t="shared" si="22"/>
        <v>Spring</v>
      </c>
      <c r="V131">
        <f t="shared" si="23"/>
        <v>0.22929155386993369</v>
      </c>
      <c r="W131">
        <f t="shared" si="24"/>
        <v>-0.25435329828790432</v>
      </c>
      <c r="X131">
        <f t="shared" si="25"/>
        <v>0.10399668008577614</v>
      </c>
      <c r="Y131">
        <f t="shared" si="26"/>
        <v>0.36604748519325236</v>
      </c>
    </row>
    <row r="132" spans="1:25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  <c r="Q132" t="str">
        <f t="shared" si="18"/>
        <v>Weekday</v>
      </c>
      <c r="R132" t="str">
        <f t="shared" si="19"/>
        <v>Clear</v>
      </c>
      <c r="S132" t="str">
        <f t="shared" si="20"/>
        <v>Afternoon</v>
      </c>
      <c r="T132" t="str">
        <f t="shared" si="21"/>
        <v>January</v>
      </c>
      <c r="U132" t="str">
        <f t="shared" si="22"/>
        <v>Spring</v>
      </c>
      <c r="V132">
        <f t="shared" si="23"/>
        <v>0.22929155386993369</v>
      </c>
      <c r="W132">
        <f t="shared" si="24"/>
        <v>-0.25435329828790432</v>
      </c>
      <c r="X132">
        <f t="shared" si="25"/>
        <v>0.10399668008577614</v>
      </c>
      <c r="Y132">
        <f t="shared" si="26"/>
        <v>0.36604748519325236</v>
      </c>
    </row>
    <row r="133" spans="1:25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  <c r="Q133" t="str">
        <f t="shared" si="18"/>
        <v>Weekday</v>
      </c>
      <c r="R133" t="str">
        <f t="shared" si="19"/>
        <v>Clear</v>
      </c>
      <c r="S133" t="str">
        <f t="shared" si="20"/>
        <v>Evening</v>
      </c>
      <c r="T133" t="str">
        <f t="shared" si="21"/>
        <v>January</v>
      </c>
      <c r="U133" t="str">
        <f t="shared" si="22"/>
        <v>Spring</v>
      </c>
      <c r="V133">
        <f t="shared" si="23"/>
        <v>0.22929155386993369</v>
      </c>
      <c r="W133">
        <f t="shared" si="24"/>
        <v>-0.25435329828790432</v>
      </c>
      <c r="X133">
        <f t="shared" si="25"/>
        <v>0.10399668008577614</v>
      </c>
      <c r="Y133">
        <f t="shared" si="26"/>
        <v>0.36604748519325236</v>
      </c>
    </row>
    <row r="134" spans="1:25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  <c r="Q134" t="str">
        <f t="shared" si="18"/>
        <v>Weekday</v>
      </c>
      <c r="R134" t="str">
        <f t="shared" si="19"/>
        <v>Clear</v>
      </c>
      <c r="S134" t="str">
        <f t="shared" si="20"/>
        <v>Evening</v>
      </c>
      <c r="T134" t="str">
        <f t="shared" si="21"/>
        <v>January</v>
      </c>
      <c r="U134" t="str">
        <f t="shared" si="22"/>
        <v>Spring</v>
      </c>
      <c r="V134">
        <f t="shared" si="23"/>
        <v>0.22929155386993369</v>
      </c>
      <c r="W134">
        <f t="shared" si="24"/>
        <v>-0.25435329828790432</v>
      </c>
      <c r="X134">
        <f t="shared" si="25"/>
        <v>0.10399668008577614</v>
      </c>
      <c r="Y134">
        <f t="shared" si="26"/>
        <v>0.36604748519325236</v>
      </c>
    </row>
    <row r="135" spans="1:25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  <c r="Q135" t="str">
        <f t="shared" si="18"/>
        <v>Weekday</v>
      </c>
      <c r="R135" t="str">
        <f t="shared" si="19"/>
        <v>Clear</v>
      </c>
      <c r="S135" t="str">
        <f t="shared" si="20"/>
        <v>Evening</v>
      </c>
      <c r="T135" t="str">
        <f t="shared" si="21"/>
        <v>January</v>
      </c>
      <c r="U135" t="str">
        <f t="shared" si="22"/>
        <v>Spring</v>
      </c>
      <c r="V135">
        <f t="shared" si="23"/>
        <v>0.22929155386993369</v>
      </c>
      <c r="W135">
        <f t="shared" si="24"/>
        <v>-0.25435329828790432</v>
      </c>
      <c r="X135">
        <f t="shared" si="25"/>
        <v>0.10399668008577614</v>
      </c>
      <c r="Y135">
        <f t="shared" si="26"/>
        <v>0.36604748519325236</v>
      </c>
    </row>
    <row r="136" spans="1:25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  <c r="Q136" t="str">
        <f t="shared" si="18"/>
        <v>Weekday</v>
      </c>
      <c r="R136" t="str">
        <f t="shared" si="19"/>
        <v>Clear</v>
      </c>
      <c r="S136" t="str">
        <f t="shared" si="20"/>
        <v>Evening</v>
      </c>
      <c r="T136" t="str">
        <f t="shared" si="21"/>
        <v>January</v>
      </c>
      <c r="U136" t="str">
        <f t="shared" si="22"/>
        <v>Spring</v>
      </c>
      <c r="V136">
        <f t="shared" si="23"/>
        <v>0.22929155386993369</v>
      </c>
      <c r="W136">
        <f t="shared" si="24"/>
        <v>-0.25435329828790432</v>
      </c>
      <c r="X136">
        <f t="shared" si="25"/>
        <v>0.10399668008577614</v>
      </c>
      <c r="Y136">
        <f t="shared" si="26"/>
        <v>0.36604748519325236</v>
      </c>
    </row>
    <row r="137" spans="1:25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  <c r="Q137" t="str">
        <f t="shared" si="18"/>
        <v>Weekday</v>
      </c>
      <c r="R137" t="str">
        <f t="shared" si="19"/>
        <v>Mist/Cloudy</v>
      </c>
      <c r="S137" t="str">
        <f t="shared" si="20"/>
        <v>Night</v>
      </c>
      <c r="T137" t="str">
        <f t="shared" si="21"/>
        <v>January</v>
      </c>
      <c r="U137" t="str">
        <f t="shared" si="22"/>
        <v>Spring</v>
      </c>
      <c r="V137">
        <f t="shared" si="23"/>
        <v>0.22929155386993369</v>
      </c>
      <c r="W137">
        <f t="shared" si="24"/>
        <v>-0.25435329828790432</v>
      </c>
      <c r="X137">
        <f t="shared" si="25"/>
        <v>0.10399668008577614</v>
      </c>
      <c r="Y137">
        <f t="shared" si="26"/>
        <v>0.36604748519325236</v>
      </c>
    </row>
    <row r="138" spans="1:25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  <c r="Q138" t="str">
        <f t="shared" si="18"/>
        <v>Weekday</v>
      </c>
      <c r="R138" t="str">
        <f t="shared" si="19"/>
        <v>Mist/Cloudy</v>
      </c>
      <c r="S138" t="str">
        <f t="shared" si="20"/>
        <v>Night</v>
      </c>
      <c r="T138" t="str">
        <f t="shared" si="21"/>
        <v>January</v>
      </c>
      <c r="U138" t="str">
        <f t="shared" si="22"/>
        <v>Spring</v>
      </c>
      <c r="V138">
        <f t="shared" si="23"/>
        <v>0.22929155386993369</v>
      </c>
      <c r="W138">
        <f t="shared" si="24"/>
        <v>-0.25435329828790432</v>
      </c>
      <c r="X138">
        <f t="shared" si="25"/>
        <v>0.10399668008577614</v>
      </c>
      <c r="Y138">
        <f t="shared" si="26"/>
        <v>0.36604748519325236</v>
      </c>
    </row>
    <row r="139" spans="1:25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  <c r="Q139" t="str">
        <f t="shared" si="18"/>
        <v>Weekday</v>
      </c>
      <c r="R139" t="str">
        <f t="shared" si="19"/>
        <v>Mist/Cloudy</v>
      </c>
      <c r="S139" t="str">
        <f t="shared" si="20"/>
        <v>Night</v>
      </c>
      <c r="T139" t="str">
        <f t="shared" si="21"/>
        <v>January</v>
      </c>
      <c r="U139" t="str">
        <f t="shared" si="22"/>
        <v>Spring</v>
      </c>
      <c r="V139">
        <f t="shared" si="23"/>
        <v>0.22929155386993369</v>
      </c>
      <c r="W139">
        <f t="shared" si="24"/>
        <v>-0.25435329828790432</v>
      </c>
      <c r="X139">
        <f t="shared" si="25"/>
        <v>0.10399668008577614</v>
      </c>
      <c r="Y139">
        <f t="shared" si="26"/>
        <v>0.36604748519325236</v>
      </c>
    </row>
    <row r="140" spans="1:25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  <c r="Q140" t="str">
        <f t="shared" si="18"/>
        <v>Weekday</v>
      </c>
      <c r="R140" t="str">
        <f t="shared" si="19"/>
        <v>Mist/Cloudy</v>
      </c>
      <c r="S140" t="str">
        <f t="shared" si="20"/>
        <v>Night</v>
      </c>
      <c r="T140" t="str">
        <f t="shared" si="21"/>
        <v>January</v>
      </c>
      <c r="U140" t="str">
        <f t="shared" si="22"/>
        <v>Spring</v>
      </c>
      <c r="V140">
        <f t="shared" si="23"/>
        <v>0.22929155386993369</v>
      </c>
      <c r="W140">
        <f t="shared" si="24"/>
        <v>-0.25435329828790432</v>
      </c>
      <c r="X140">
        <f t="shared" si="25"/>
        <v>0.10399668008577614</v>
      </c>
      <c r="Y140">
        <f t="shared" si="26"/>
        <v>0.36604748519325236</v>
      </c>
    </row>
    <row r="141" spans="1:25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  <c r="Q141" t="str">
        <f t="shared" si="18"/>
        <v>Weekday</v>
      </c>
      <c r="R141" t="str">
        <f t="shared" si="19"/>
        <v>Mist/Cloudy</v>
      </c>
      <c r="S141" t="str">
        <f t="shared" si="20"/>
        <v>Night</v>
      </c>
      <c r="T141" t="str">
        <f t="shared" si="21"/>
        <v>January</v>
      </c>
      <c r="U141" t="str">
        <f t="shared" si="22"/>
        <v>Spring</v>
      </c>
      <c r="V141">
        <f t="shared" si="23"/>
        <v>0.22929155386993369</v>
      </c>
      <c r="W141">
        <f t="shared" si="24"/>
        <v>-0.25435329828790432</v>
      </c>
      <c r="X141">
        <f t="shared" si="25"/>
        <v>0.10399668008577614</v>
      </c>
      <c r="Y141">
        <f t="shared" si="26"/>
        <v>0.36604748519325236</v>
      </c>
    </row>
    <row r="142" spans="1:25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  <c r="Q142" t="str">
        <f t="shared" si="18"/>
        <v>Weekday</v>
      </c>
      <c r="R142" t="str">
        <f t="shared" si="19"/>
        <v>Mist/Cloudy</v>
      </c>
      <c r="S142" t="str">
        <f t="shared" si="20"/>
        <v>Night</v>
      </c>
      <c r="T142" t="str">
        <f t="shared" si="21"/>
        <v>January</v>
      </c>
      <c r="U142" t="str">
        <f t="shared" si="22"/>
        <v>Spring</v>
      </c>
      <c r="V142">
        <f t="shared" si="23"/>
        <v>0.22929155386993369</v>
      </c>
      <c r="W142">
        <f t="shared" si="24"/>
        <v>-0.25435329828790432</v>
      </c>
      <c r="X142">
        <f t="shared" si="25"/>
        <v>0.10399668008577614</v>
      </c>
      <c r="Y142">
        <f t="shared" si="26"/>
        <v>0.36604748519325236</v>
      </c>
    </row>
    <row r="143" spans="1:25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  <c r="Q143" t="str">
        <f t="shared" si="18"/>
        <v>Weekday</v>
      </c>
      <c r="R143" t="str">
        <f t="shared" si="19"/>
        <v>Mist/Cloudy</v>
      </c>
      <c r="S143" t="str">
        <f t="shared" si="20"/>
        <v>Night</v>
      </c>
      <c r="T143" t="str">
        <f t="shared" si="21"/>
        <v>January</v>
      </c>
      <c r="U143" t="str">
        <f t="shared" si="22"/>
        <v>Spring</v>
      </c>
      <c r="V143">
        <f t="shared" si="23"/>
        <v>0.22929155386993369</v>
      </c>
      <c r="W143">
        <f t="shared" si="24"/>
        <v>-0.25435329828790432</v>
      </c>
      <c r="X143">
        <f t="shared" si="25"/>
        <v>0.10399668008577614</v>
      </c>
      <c r="Y143">
        <f t="shared" si="26"/>
        <v>0.36604748519325236</v>
      </c>
    </row>
    <row r="144" spans="1:25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  <c r="Q144" t="str">
        <f t="shared" si="18"/>
        <v>Weekday</v>
      </c>
      <c r="R144" t="str">
        <f t="shared" si="19"/>
        <v>Light Rain/Snow</v>
      </c>
      <c r="S144" t="str">
        <f t="shared" si="20"/>
        <v>Night</v>
      </c>
      <c r="T144" t="str">
        <f t="shared" si="21"/>
        <v>January</v>
      </c>
      <c r="U144" t="str">
        <f t="shared" si="22"/>
        <v>Spring</v>
      </c>
      <c r="V144">
        <f t="shared" si="23"/>
        <v>0.22929155386993369</v>
      </c>
      <c r="W144">
        <f t="shared" si="24"/>
        <v>-0.25435329828790432</v>
      </c>
      <c r="X144">
        <f t="shared" si="25"/>
        <v>0.10399668008577614</v>
      </c>
      <c r="Y144">
        <f t="shared" si="26"/>
        <v>0.36604748519325236</v>
      </c>
    </row>
    <row r="145" spans="1:25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  <c r="Q145" t="str">
        <f t="shared" si="18"/>
        <v>Weekday</v>
      </c>
      <c r="R145" t="str">
        <f t="shared" si="19"/>
        <v>Mist/Cloudy</v>
      </c>
      <c r="S145" t="str">
        <f t="shared" si="20"/>
        <v>Morning</v>
      </c>
      <c r="T145" t="str">
        <f t="shared" si="21"/>
        <v>January</v>
      </c>
      <c r="U145" t="str">
        <f t="shared" si="22"/>
        <v>Spring</v>
      </c>
      <c r="V145">
        <f t="shared" si="23"/>
        <v>0.22929155386993369</v>
      </c>
      <c r="W145">
        <f t="shared" si="24"/>
        <v>-0.25435329828790432</v>
      </c>
      <c r="X145">
        <f t="shared" si="25"/>
        <v>0.10399668008577614</v>
      </c>
      <c r="Y145">
        <f t="shared" si="26"/>
        <v>0.36604748519325236</v>
      </c>
    </row>
    <row r="146" spans="1:25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  <c r="Q146" t="str">
        <f t="shared" si="18"/>
        <v>Weekday</v>
      </c>
      <c r="R146" t="str">
        <f t="shared" si="19"/>
        <v>Clear</v>
      </c>
      <c r="S146" t="str">
        <f t="shared" si="20"/>
        <v>Morning</v>
      </c>
      <c r="T146" t="str">
        <f t="shared" si="21"/>
        <v>January</v>
      </c>
      <c r="U146" t="str">
        <f t="shared" si="22"/>
        <v>Spring</v>
      </c>
      <c r="V146">
        <f t="shared" si="23"/>
        <v>0.22929155386993369</v>
      </c>
      <c r="W146">
        <f t="shared" si="24"/>
        <v>-0.25435329828790432</v>
      </c>
      <c r="X146">
        <f t="shared" si="25"/>
        <v>0.10399668008577614</v>
      </c>
      <c r="Y146">
        <f t="shared" si="26"/>
        <v>0.36604748519325236</v>
      </c>
    </row>
    <row r="147" spans="1:25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  <c r="Q147" t="str">
        <f t="shared" si="18"/>
        <v>Weekday</v>
      </c>
      <c r="R147" t="str">
        <f t="shared" si="19"/>
        <v>Clear</v>
      </c>
      <c r="S147" t="str">
        <f t="shared" si="20"/>
        <v>Morning</v>
      </c>
      <c r="T147" t="str">
        <f t="shared" si="21"/>
        <v>January</v>
      </c>
      <c r="U147" t="str">
        <f t="shared" si="22"/>
        <v>Spring</v>
      </c>
      <c r="V147">
        <f t="shared" si="23"/>
        <v>0.22929155386993369</v>
      </c>
      <c r="W147">
        <f t="shared" si="24"/>
        <v>-0.25435329828790432</v>
      </c>
      <c r="X147">
        <f t="shared" si="25"/>
        <v>0.10399668008577614</v>
      </c>
      <c r="Y147">
        <f t="shared" si="26"/>
        <v>0.36604748519325236</v>
      </c>
    </row>
    <row r="148" spans="1:25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  <c r="Q148" t="str">
        <f t="shared" si="18"/>
        <v>Weekday</v>
      </c>
      <c r="R148" t="str">
        <f t="shared" si="19"/>
        <v>Clear</v>
      </c>
      <c r="S148" t="str">
        <f t="shared" si="20"/>
        <v>Morning</v>
      </c>
      <c r="T148" t="str">
        <f t="shared" si="21"/>
        <v>January</v>
      </c>
      <c r="U148" t="str">
        <f t="shared" si="22"/>
        <v>Spring</v>
      </c>
      <c r="V148">
        <f t="shared" si="23"/>
        <v>0.22929155386993369</v>
      </c>
      <c r="W148">
        <f t="shared" si="24"/>
        <v>-0.25435329828790432</v>
      </c>
      <c r="X148">
        <f t="shared" si="25"/>
        <v>0.10399668008577614</v>
      </c>
      <c r="Y148">
        <f t="shared" si="26"/>
        <v>0.36604748519325236</v>
      </c>
    </row>
    <row r="149" spans="1:25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  <c r="Q149" t="str">
        <f t="shared" si="18"/>
        <v>Weekday</v>
      </c>
      <c r="R149" t="str">
        <f t="shared" si="19"/>
        <v>Clear</v>
      </c>
      <c r="S149" t="str">
        <f t="shared" si="20"/>
        <v>Morning</v>
      </c>
      <c r="T149" t="str">
        <f t="shared" si="21"/>
        <v>January</v>
      </c>
      <c r="U149" t="str">
        <f t="shared" si="22"/>
        <v>Spring</v>
      </c>
      <c r="V149">
        <f t="shared" si="23"/>
        <v>0.22929155386993369</v>
      </c>
      <c r="W149">
        <f t="shared" si="24"/>
        <v>-0.25435329828790432</v>
      </c>
      <c r="X149">
        <f t="shared" si="25"/>
        <v>0.10399668008577614</v>
      </c>
      <c r="Y149">
        <f t="shared" si="26"/>
        <v>0.36604748519325236</v>
      </c>
    </row>
    <row r="150" spans="1:25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  <c r="Q150" t="str">
        <f t="shared" si="18"/>
        <v>Weekday</v>
      </c>
      <c r="R150" t="str">
        <f t="shared" si="19"/>
        <v>Mist/Cloudy</v>
      </c>
      <c r="S150" t="str">
        <f t="shared" si="20"/>
        <v>Morning</v>
      </c>
      <c r="T150" t="str">
        <f t="shared" si="21"/>
        <v>January</v>
      </c>
      <c r="U150" t="str">
        <f t="shared" si="22"/>
        <v>Spring</v>
      </c>
      <c r="V150">
        <f t="shared" si="23"/>
        <v>0.22929155386993369</v>
      </c>
      <c r="W150">
        <f t="shared" si="24"/>
        <v>-0.25435329828790432</v>
      </c>
      <c r="X150">
        <f t="shared" si="25"/>
        <v>0.10399668008577614</v>
      </c>
      <c r="Y150">
        <f t="shared" si="26"/>
        <v>0.36604748519325236</v>
      </c>
    </row>
    <row r="151" spans="1:25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  <c r="Q151" t="str">
        <f t="shared" si="18"/>
        <v>Weekday</v>
      </c>
      <c r="R151" t="str">
        <f t="shared" si="19"/>
        <v>Mist/Cloudy</v>
      </c>
      <c r="S151" t="str">
        <f t="shared" si="20"/>
        <v>Afternoon</v>
      </c>
      <c r="T151" t="str">
        <f t="shared" si="21"/>
        <v>January</v>
      </c>
      <c r="U151" t="str">
        <f t="shared" si="22"/>
        <v>Spring</v>
      </c>
      <c r="V151">
        <f t="shared" si="23"/>
        <v>0.22929155386993369</v>
      </c>
      <c r="W151">
        <f t="shared" si="24"/>
        <v>-0.25435329828790432</v>
      </c>
      <c r="X151">
        <f t="shared" si="25"/>
        <v>0.10399668008577614</v>
      </c>
      <c r="Y151">
        <f t="shared" si="26"/>
        <v>0.36604748519325236</v>
      </c>
    </row>
    <row r="152" spans="1:25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  <c r="Q152" t="str">
        <f t="shared" si="18"/>
        <v>Weekday</v>
      </c>
      <c r="R152" t="str">
        <f t="shared" si="19"/>
        <v>Mist/Cloudy</v>
      </c>
      <c r="S152" t="str">
        <f t="shared" si="20"/>
        <v>Afternoon</v>
      </c>
      <c r="T152" t="str">
        <f t="shared" si="21"/>
        <v>January</v>
      </c>
      <c r="U152" t="str">
        <f t="shared" si="22"/>
        <v>Spring</v>
      </c>
      <c r="V152">
        <f t="shared" si="23"/>
        <v>0.22929155386993369</v>
      </c>
      <c r="W152">
        <f t="shared" si="24"/>
        <v>-0.25435329828790432</v>
      </c>
      <c r="X152">
        <f t="shared" si="25"/>
        <v>0.10399668008577614</v>
      </c>
      <c r="Y152">
        <f t="shared" si="26"/>
        <v>0.36604748519325236</v>
      </c>
    </row>
    <row r="153" spans="1:25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  <c r="Q153" t="str">
        <f t="shared" si="18"/>
        <v>Weekday</v>
      </c>
      <c r="R153" t="str">
        <f t="shared" si="19"/>
        <v>Mist/Cloudy</v>
      </c>
      <c r="S153" t="str">
        <f t="shared" si="20"/>
        <v>Afternoon</v>
      </c>
      <c r="T153" t="str">
        <f t="shared" si="21"/>
        <v>January</v>
      </c>
      <c r="U153" t="str">
        <f t="shared" si="22"/>
        <v>Spring</v>
      </c>
      <c r="V153">
        <f t="shared" si="23"/>
        <v>0.22929155386993369</v>
      </c>
      <c r="W153">
        <f t="shared" si="24"/>
        <v>-0.25435329828790432</v>
      </c>
      <c r="X153">
        <f t="shared" si="25"/>
        <v>0.10399668008577614</v>
      </c>
      <c r="Y153">
        <f t="shared" si="26"/>
        <v>0.36604748519325236</v>
      </c>
    </row>
    <row r="154" spans="1:25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  <c r="Q154" t="str">
        <f t="shared" si="18"/>
        <v>Weekday</v>
      </c>
      <c r="R154" t="str">
        <f t="shared" si="19"/>
        <v>Mist/Cloudy</v>
      </c>
      <c r="S154" t="str">
        <f t="shared" si="20"/>
        <v>Afternoon</v>
      </c>
      <c r="T154" t="str">
        <f t="shared" si="21"/>
        <v>January</v>
      </c>
      <c r="U154" t="str">
        <f t="shared" si="22"/>
        <v>Spring</v>
      </c>
      <c r="V154">
        <f t="shared" si="23"/>
        <v>0.22929155386993369</v>
      </c>
      <c r="W154">
        <f t="shared" si="24"/>
        <v>-0.25435329828790432</v>
      </c>
      <c r="X154">
        <f t="shared" si="25"/>
        <v>0.10399668008577614</v>
      </c>
      <c r="Y154">
        <f t="shared" si="26"/>
        <v>0.36604748519325236</v>
      </c>
    </row>
    <row r="155" spans="1:25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  <c r="Q155" t="str">
        <f t="shared" si="18"/>
        <v>Weekday</v>
      </c>
      <c r="R155" t="str">
        <f t="shared" si="19"/>
        <v>Mist/Cloudy</v>
      </c>
      <c r="S155" t="str">
        <f t="shared" si="20"/>
        <v>Afternoon</v>
      </c>
      <c r="T155" t="str">
        <f t="shared" si="21"/>
        <v>January</v>
      </c>
      <c r="U155" t="str">
        <f t="shared" si="22"/>
        <v>Spring</v>
      </c>
      <c r="V155">
        <f t="shared" si="23"/>
        <v>0.22929155386993369</v>
      </c>
      <c r="W155">
        <f t="shared" si="24"/>
        <v>-0.25435329828790432</v>
      </c>
      <c r="X155">
        <f t="shared" si="25"/>
        <v>0.10399668008577614</v>
      </c>
      <c r="Y155">
        <f t="shared" si="26"/>
        <v>0.36604748519325236</v>
      </c>
    </row>
    <row r="156" spans="1:25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  <c r="Q156" t="str">
        <f t="shared" si="18"/>
        <v>Weekday</v>
      </c>
      <c r="R156" t="str">
        <f t="shared" si="19"/>
        <v>Mist/Cloudy</v>
      </c>
      <c r="S156" t="str">
        <f t="shared" si="20"/>
        <v>Evening</v>
      </c>
      <c r="T156" t="str">
        <f t="shared" si="21"/>
        <v>January</v>
      </c>
      <c r="U156" t="str">
        <f t="shared" si="22"/>
        <v>Spring</v>
      </c>
      <c r="V156">
        <f t="shared" si="23"/>
        <v>0.22929155386993369</v>
      </c>
      <c r="W156">
        <f t="shared" si="24"/>
        <v>-0.25435329828790432</v>
      </c>
      <c r="X156">
        <f t="shared" si="25"/>
        <v>0.10399668008577614</v>
      </c>
      <c r="Y156">
        <f t="shared" si="26"/>
        <v>0.36604748519325236</v>
      </c>
    </row>
    <row r="157" spans="1:25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  <c r="Q157" t="str">
        <f t="shared" si="18"/>
        <v>Weekday</v>
      </c>
      <c r="R157" t="str">
        <f t="shared" si="19"/>
        <v>Clear</v>
      </c>
      <c r="S157" t="str">
        <f t="shared" si="20"/>
        <v>Evening</v>
      </c>
      <c r="T157" t="str">
        <f t="shared" si="21"/>
        <v>January</v>
      </c>
      <c r="U157" t="str">
        <f t="shared" si="22"/>
        <v>Spring</v>
      </c>
      <c r="V157">
        <f t="shared" si="23"/>
        <v>0.22929155386993369</v>
      </c>
      <c r="W157">
        <f t="shared" si="24"/>
        <v>-0.25435329828790432</v>
      </c>
      <c r="X157">
        <f t="shared" si="25"/>
        <v>0.10399668008577614</v>
      </c>
      <c r="Y157">
        <f t="shared" si="26"/>
        <v>0.36604748519325236</v>
      </c>
    </row>
    <row r="158" spans="1:25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  <c r="Q158" t="str">
        <f t="shared" si="18"/>
        <v>Weekday</v>
      </c>
      <c r="R158" t="str">
        <f t="shared" si="19"/>
        <v>Clear</v>
      </c>
      <c r="S158" t="str">
        <f t="shared" si="20"/>
        <v>Evening</v>
      </c>
      <c r="T158" t="str">
        <f t="shared" si="21"/>
        <v>January</v>
      </c>
      <c r="U158" t="str">
        <f t="shared" si="22"/>
        <v>Spring</v>
      </c>
      <c r="V158">
        <f t="shared" si="23"/>
        <v>0.22929155386993369</v>
      </c>
      <c r="W158">
        <f t="shared" si="24"/>
        <v>-0.25435329828790432</v>
      </c>
      <c r="X158">
        <f t="shared" si="25"/>
        <v>0.10399668008577614</v>
      </c>
      <c r="Y158">
        <f t="shared" si="26"/>
        <v>0.36604748519325236</v>
      </c>
    </row>
    <row r="159" spans="1:25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  <c r="Q159" t="str">
        <f t="shared" si="18"/>
        <v>Weekday</v>
      </c>
      <c r="R159" t="str">
        <f t="shared" si="19"/>
        <v>Clear</v>
      </c>
      <c r="S159" t="str">
        <f t="shared" si="20"/>
        <v>Evening</v>
      </c>
      <c r="T159" t="str">
        <f t="shared" si="21"/>
        <v>January</v>
      </c>
      <c r="U159" t="str">
        <f t="shared" si="22"/>
        <v>Spring</v>
      </c>
      <c r="V159">
        <f t="shared" si="23"/>
        <v>0.22929155386993369</v>
      </c>
      <c r="W159">
        <f t="shared" si="24"/>
        <v>-0.25435329828790432</v>
      </c>
      <c r="X159">
        <f t="shared" si="25"/>
        <v>0.10399668008577614</v>
      </c>
      <c r="Y159">
        <f t="shared" si="26"/>
        <v>0.36604748519325236</v>
      </c>
    </row>
    <row r="160" spans="1:25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  <c r="Q160" t="str">
        <f t="shared" si="18"/>
        <v>Weekday</v>
      </c>
      <c r="R160" t="str">
        <f t="shared" si="19"/>
        <v>Clear</v>
      </c>
      <c r="S160" t="str">
        <f t="shared" si="20"/>
        <v>Night</v>
      </c>
      <c r="T160" t="str">
        <f t="shared" si="21"/>
        <v>January</v>
      </c>
      <c r="U160" t="str">
        <f t="shared" si="22"/>
        <v>Spring</v>
      </c>
      <c r="V160">
        <f t="shared" si="23"/>
        <v>0.22929155386993369</v>
      </c>
      <c r="W160">
        <f t="shared" si="24"/>
        <v>-0.25435329828790432</v>
      </c>
      <c r="X160">
        <f t="shared" si="25"/>
        <v>0.10399668008577614</v>
      </c>
      <c r="Y160">
        <f t="shared" si="26"/>
        <v>0.36604748519325236</v>
      </c>
    </row>
    <row r="161" spans="1:25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  <c r="Q161" t="str">
        <f t="shared" si="18"/>
        <v>Weekday</v>
      </c>
      <c r="R161" t="str">
        <f t="shared" si="19"/>
        <v>Mist/Cloudy</v>
      </c>
      <c r="S161" t="str">
        <f t="shared" si="20"/>
        <v>Night</v>
      </c>
      <c r="T161" t="str">
        <f t="shared" si="21"/>
        <v>January</v>
      </c>
      <c r="U161" t="str">
        <f t="shared" si="22"/>
        <v>Spring</v>
      </c>
      <c r="V161">
        <f t="shared" si="23"/>
        <v>0.22929155386993369</v>
      </c>
      <c r="W161">
        <f t="shared" si="24"/>
        <v>-0.25435329828790432</v>
      </c>
      <c r="X161">
        <f t="shared" si="25"/>
        <v>0.10399668008577614</v>
      </c>
      <c r="Y161">
        <f t="shared" si="26"/>
        <v>0.36604748519325236</v>
      </c>
    </row>
    <row r="162" spans="1:25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  <c r="Q162" t="str">
        <f t="shared" si="18"/>
        <v>Weekday</v>
      </c>
      <c r="R162" t="str">
        <f t="shared" si="19"/>
        <v>Mist/Cloudy</v>
      </c>
      <c r="S162" t="str">
        <f t="shared" si="20"/>
        <v>Night</v>
      </c>
      <c r="T162" t="str">
        <f t="shared" si="21"/>
        <v>January</v>
      </c>
      <c r="U162" t="str">
        <f t="shared" si="22"/>
        <v>Spring</v>
      </c>
      <c r="V162">
        <f t="shared" si="23"/>
        <v>0.22929155386993369</v>
      </c>
      <c r="W162">
        <f t="shared" si="24"/>
        <v>-0.25435329828790432</v>
      </c>
      <c r="X162">
        <f t="shared" si="25"/>
        <v>0.10399668008577614</v>
      </c>
      <c r="Y162">
        <f t="shared" si="26"/>
        <v>0.36604748519325236</v>
      </c>
    </row>
    <row r="163" spans="1:25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  <c r="Q163" t="str">
        <f t="shared" si="18"/>
        <v>Weekend</v>
      </c>
      <c r="R163" t="str">
        <f t="shared" si="19"/>
        <v>Mist/Cloudy</v>
      </c>
      <c r="S163" t="str">
        <f t="shared" si="20"/>
        <v>Night</v>
      </c>
      <c r="T163" t="str">
        <f t="shared" si="21"/>
        <v>January</v>
      </c>
      <c r="U163" t="str">
        <f t="shared" si="22"/>
        <v>Spring</v>
      </c>
      <c r="V163">
        <f t="shared" si="23"/>
        <v>0.22929155386993369</v>
      </c>
      <c r="W163">
        <f t="shared" si="24"/>
        <v>-0.25435329828790432</v>
      </c>
      <c r="X163">
        <f t="shared" si="25"/>
        <v>0.10399668008577614</v>
      </c>
      <c r="Y163">
        <f t="shared" si="26"/>
        <v>0.36604748519325236</v>
      </c>
    </row>
    <row r="164" spans="1:25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  <c r="Q164" t="str">
        <f t="shared" si="18"/>
        <v>Weekend</v>
      </c>
      <c r="R164" t="str">
        <f t="shared" si="19"/>
        <v>Mist/Cloudy</v>
      </c>
      <c r="S164" t="str">
        <f t="shared" si="20"/>
        <v>Night</v>
      </c>
      <c r="T164" t="str">
        <f t="shared" si="21"/>
        <v>January</v>
      </c>
      <c r="U164" t="str">
        <f t="shared" si="22"/>
        <v>Spring</v>
      </c>
      <c r="V164">
        <f t="shared" si="23"/>
        <v>0.22929155386993369</v>
      </c>
      <c r="W164">
        <f t="shared" si="24"/>
        <v>-0.25435329828790432</v>
      </c>
      <c r="X164">
        <f t="shared" si="25"/>
        <v>0.10399668008577614</v>
      </c>
      <c r="Y164">
        <f t="shared" si="26"/>
        <v>0.36604748519325236</v>
      </c>
    </row>
    <row r="165" spans="1:25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  <c r="Q165" t="str">
        <f t="shared" si="18"/>
        <v>Weekend</v>
      </c>
      <c r="R165" t="str">
        <f t="shared" si="19"/>
        <v>Mist/Cloudy</v>
      </c>
      <c r="S165" t="str">
        <f t="shared" si="20"/>
        <v>Night</v>
      </c>
      <c r="T165" t="str">
        <f t="shared" si="21"/>
        <v>January</v>
      </c>
      <c r="U165" t="str">
        <f t="shared" si="22"/>
        <v>Spring</v>
      </c>
      <c r="V165">
        <f t="shared" si="23"/>
        <v>0.22929155386993369</v>
      </c>
      <c r="W165">
        <f t="shared" si="24"/>
        <v>-0.25435329828790432</v>
      </c>
      <c r="X165">
        <f t="shared" si="25"/>
        <v>0.10399668008577614</v>
      </c>
      <c r="Y165">
        <f t="shared" si="26"/>
        <v>0.36604748519325236</v>
      </c>
    </row>
    <row r="166" spans="1:25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  <c r="Q166" t="str">
        <f t="shared" si="18"/>
        <v>Weekend</v>
      </c>
      <c r="R166" t="str">
        <f t="shared" si="19"/>
        <v>Light Rain/Snow</v>
      </c>
      <c r="S166" t="str">
        <f t="shared" si="20"/>
        <v>Night</v>
      </c>
      <c r="T166" t="str">
        <f t="shared" si="21"/>
        <v>January</v>
      </c>
      <c r="U166" t="str">
        <f t="shared" si="22"/>
        <v>Spring</v>
      </c>
      <c r="V166">
        <f t="shared" si="23"/>
        <v>0.22929155386993369</v>
      </c>
      <c r="W166">
        <f t="shared" si="24"/>
        <v>-0.25435329828790432</v>
      </c>
      <c r="X166">
        <f t="shared" si="25"/>
        <v>0.10399668008577614</v>
      </c>
      <c r="Y166">
        <f t="shared" si="26"/>
        <v>0.36604748519325236</v>
      </c>
    </row>
    <row r="167" spans="1:25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  <c r="Q167" t="str">
        <f t="shared" si="18"/>
        <v>Weekend</v>
      </c>
      <c r="R167" t="str">
        <f t="shared" si="19"/>
        <v>Light Rain/Snow</v>
      </c>
      <c r="S167" t="str">
        <f t="shared" si="20"/>
        <v>Night</v>
      </c>
      <c r="T167" t="str">
        <f t="shared" si="21"/>
        <v>January</v>
      </c>
      <c r="U167" t="str">
        <f t="shared" si="22"/>
        <v>Spring</v>
      </c>
      <c r="V167">
        <f t="shared" si="23"/>
        <v>0.22929155386993369</v>
      </c>
      <c r="W167">
        <f t="shared" si="24"/>
        <v>-0.25435329828790432</v>
      </c>
      <c r="X167">
        <f t="shared" si="25"/>
        <v>0.10399668008577614</v>
      </c>
      <c r="Y167">
        <f t="shared" si="26"/>
        <v>0.36604748519325236</v>
      </c>
    </row>
    <row r="168" spans="1:25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  <c r="Q168" t="str">
        <f t="shared" si="18"/>
        <v>Weekend</v>
      </c>
      <c r="R168" t="str">
        <f t="shared" si="19"/>
        <v>Mist/Cloudy</v>
      </c>
      <c r="S168" t="str">
        <f t="shared" si="20"/>
        <v>Night</v>
      </c>
      <c r="T168" t="str">
        <f t="shared" si="21"/>
        <v>January</v>
      </c>
      <c r="U168" t="str">
        <f t="shared" si="22"/>
        <v>Spring</v>
      </c>
      <c r="V168">
        <f t="shared" si="23"/>
        <v>0.22929155386993369</v>
      </c>
      <c r="W168">
        <f t="shared" si="24"/>
        <v>-0.25435329828790432</v>
      </c>
      <c r="X168">
        <f t="shared" si="25"/>
        <v>0.10399668008577614</v>
      </c>
      <c r="Y168">
        <f t="shared" si="26"/>
        <v>0.36604748519325236</v>
      </c>
    </row>
    <row r="169" spans="1:25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  <c r="Q169" t="str">
        <f t="shared" si="18"/>
        <v>Weekend</v>
      </c>
      <c r="R169" t="str">
        <f t="shared" si="19"/>
        <v>Mist/Cloudy</v>
      </c>
      <c r="S169" t="str">
        <f t="shared" si="20"/>
        <v>Morning</v>
      </c>
      <c r="T169" t="str">
        <f t="shared" si="21"/>
        <v>January</v>
      </c>
      <c r="U169" t="str">
        <f t="shared" si="22"/>
        <v>Spring</v>
      </c>
      <c r="V169">
        <f t="shared" si="23"/>
        <v>0.22929155386993369</v>
      </c>
      <c r="W169">
        <f t="shared" si="24"/>
        <v>-0.25435329828790432</v>
      </c>
      <c r="X169">
        <f t="shared" si="25"/>
        <v>0.10399668008577614</v>
      </c>
      <c r="Y169">
        <f t="shared" si="26"/>
        <v>0.36604748519325236</v>
      </c>
    </row>
    <row r="170" spans="1:25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  <c r="Q170" t="str">
        <f t="shared" si="18"/>
        <v>Weekend</v>
      </c>
      <c r="R170" t="str">
        <f t="shared" si="19"/>
        <v>Mist/Cloudy</v>
      </c>
      <c r="S170" t="str">
        <f t="shared" si="20"/>
        <v>Morning</v>
      </c>
      <c r="T170" t="str">
        <f t="shared" si="21"/>
        <v>January</v>
      </c>
      <c r="U170" t="str">
        <f t="shared" si="22"/>
        <v>Spring</v>
      </c>
      <c r="V170">
        <f t="shared" si="23"/>
        <v>0.22929155386993369</v>
      </c>
      <c r="W170">
        <f t="shared" si="24"/>
        <v>-0.25435329828790432</v>
      </c>
      <c r="X170">
        <f t="shared" si="25"/>
        <v>0.10399668008577614</v>
      </c>
      <c r="Y170">
        <f t="shared" si="26"/>
        <v>0.36604748519325236</v>
      </c>
    </row>
    <row r="171" spans="1:25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  <c r="Q171" t="str">
        <f t="shared" si="18"/>
        <v>Weekend</v>
      </c>
      <c r="R171" t="str">
        <f t="shared" si="19"/>
        <v>Light Rain/Snow</v>
      </c>
      <c r="S171" t="str">
        <f t="shared" si="20"/>
        <v>Morning</v>
      </c>
      <c r="T171" t="str">
        <f t="shared" si="21"/>
        <v>January</v>
      </c>
      <c r="U171" t="str">
        <f t="shared" si="22"/>
        <v>Spring</v>
      </c>
      <c r="V171">
        <f t="shared" si="23"/>
        <v>0.22929155386993369</v>
      </c>
      <c r="W171">
        <f t="shared" si="24"/>
        <v>-0.25435329828790432</v>
      </c>
      <c r="X171">
        <f t="shared" si="25"/>
        <v>0.10399668008577614</v>
      </c>
      <c r="Y171">
        <f t="shared" si="26"/>
        <v>0.36604748519325236</v>
      </c>
    </row>
    <row r="172" spans="1:25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  <c r="Q172" t="str">
        <f t="shared" si="18"/>
        <v>Weekend</v>
      </c>
      <c r="R172" t="str">
        <f t="shared" si="19"/>
        <v>Light Rain/Snow</v>
      </c>
      <c r="S172" t="str">
        <f t="shared" si="20"/>
        <v>Morning</v>
      </c>
      <c r="T172" t="str">
        <f t="shared" si="21"/>
        <v>January</v>
      </c>
      <c r="U172" t="str">
        <f t="shared" si="22"/>
        <v>Spring</v>
      </c>
      <c r="V172">
        <f t="shared" si="23"/>
        <v>0.22929155386993369</v>
      </c>
      <c r="W172">
        <f t="shared" si="24"/>
        <v>-0.25435329828790432</v>
      </c>
      <c r="X172">
        <f t="shared" si="25"/>
        <v>0.10399668008577614</v>
      </c>
      <c r="Y172">
        <f t="shared" si="26"/>
        <v>0.36604748519325236</v>
      </c>
    </row>
    <row r="173" spans="1:25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  <c r="Q173" t="str">
        <f t="shared" si="18"/>
        <v>Weekend</v>
      </c>
      <c r="R173" t="str">
        <f t="shared" si="19"/>
        <v>Mist/Cloudy</v>
      </c>
      <c r="S173" t="str">
        <f t="shared" si="20"/>
        <v>Morning</v>
      </c>
      <c r="T173" t="str">
        <f t="shared" si="21"/>
        <v>January</v>
      </c>
      <c r="U173" t="str">
        <f t="shared" si="22"/>
        <v>Spring</v>
      </c>
      <c r="V173">
        <f t="shared" si="23"/>
        <v>0.22929155386993369</v>
      </c>
      <c r="W173">
        <f t="shared" si="24"/>
        <v>-0.25435329828790432</v>
      </c>
      <c r="X173">
        <f t="shared" si="25"/>
        <v>0.10399668008577614</v>
      </c>
      <c r="Y173">
        <f t="shared" si="26"/>
        <v>0.36604748519325236</v>
      </c>
    </row>
    <row r="174" spans="1:25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  <c r="Q174" t="str">
        <f t="shared" si="18"/>
        <v>Weekend</v>
      </c>
      <c r="R174" t="str">
        <f t="shared" si="19"/>
        <v>Mist/Cloudy</v>
      </c>
      <c r="S174" t="str">
        <f t="shared" si="20"/>
        <v>Morning</v>
      </c>
      <c r="T174" t="str">
        <f t="shared" si="21"/>
        <v>January</v>
      </c>
      <c r="U174" t="str">
        <f t="shared" si="22"/>
        <v>Spring</v>
      </c>
      <c r="V174">
        <f t="shared" si="23"/>
        <v>0.22929155386993369</v>
      </c>
      <c r="W174">
        <f t="shared" si="24"/>
        <v>-0.25435329828790432</v>
      </c>
      <c r="X174">
        <f t="shared" si="25"/>
        <v>0.10399668008577614</v>
      </c>
      <c r="Y174">
        <f t="shared" si="26"/>
        <v>0.36604748519325236</v>
      </c>
    </row>
    <row r="175" spans="1:25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  <c r="Q175" t="str">
        <f t="shared" si="18"/>
        <v>Weekend</v>
      </c>
      <c r="R175" t="str">
        <f t="shared" si="19"/>
        <v>Mist/Cloudy</v>
      </c>
      <c r="S175" t="str">
        <f t="shared" si="20"/>
        <v>Afternoon</v>
      </c>
      <c r="T175" t="str">
        <f t="shared" si="21"/>
        <v>January</v>
      </c>
      <c r="U175" t="str">
        <f t="shared" si="22"/>
        <v>Spring</v>
      </c>
      <c r="V175">
        <f t="shared" si="23"/>
        <v>0.22929155386993369</v>
      </c>
      <c r="W175">
        <f t="shared" si="24"/>
        <v>-0.25435329828790432</v>
      </c>
      <c r="X175">
        <f t="shared" si="25"/>
        <v>0.10399668008577614</v>
      </c>
      <c r="Y175">
        <f t="shared" si="26"/>
        <v>0.36604748519325236</v>
      </c>
    </row>
    <row r="176" spans="1:25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  <c r="Q176" t="str">
        <f t="shared" si="18"/>
        <v>Weekend</v>
      </c>
      <c r="R176" t="str">
        <f t="shared" si="19"/>
        <v>Clear</v>
      </c>
      <c r="S176" t="str">
        <f t="shared" si="20"/>
        <v>Afternoon</v>
      </c>
      <c r="T176" t="str">
        <f t="shared" si="21"/>
        <v>January</v>
      </c>
      <c r="U176" t="str">
        <f t="shared" si="22"/>
        <v>Spring</v>
      </c>
      <c r="V176">
        <f t="shared" si="23"/>
        <v>0.22929155386993369</v>
      </c>
      <c r="W176">
        <f t="shared" si="24"/>
        <v>-0.25435329828790432</v>
      </c>
      <c r="X176">
        <f t="shared" si="25"/>
        <v>0.10399668008577614</v>
      </c>
      <c r="Y176">
        <f t="shared" si="26"/>
        <v>0.36604748519325236</v>
      </c>
    </row>
    <row r="177" spans="1:25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  <c r="Q177" t="str">
        <f t="shared" si="18"/>
        <v>Weekend</v>
      </c>
      <c r="R177" t="str">
        <f t="shared" si="19"/>
        <v>Clear</v>
      </c>
      <c r="S177" t="str">
        <f t="shared" si="20"/>
        <v>Afternoon</v>
      </c>
      <c r="T177" t="str">
        <f t="shared" si="21"/>
        <v>January</v>
      </c>
      <c r="U177" t="str">
        <f t="shared" si="22"/>
        <v>Spring</v>
      </c>
      <c r="V177">
        <f t="shared" si="23"/>
        <v>0.22929155386993369</v>
      </c>
      <c r="W177">
        <f t="shared" si="24"/>
        <v>-0.25435329828790432</v>
      </c>
      <c r="X177">
        <f t="shared" si="25"/>
        <v>0.10399668008577614</v>
      </c>
      <c r="Y177">
        <f t="shared" si="26"/>
        <v>0.36604748519325236</v>
      </c>
    </row>
    <row r="178" spans="1:25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  <c r="Q178" t="str">
        <f t="shared" si="18"/>
        <v>Weekend</v>
      </c>
      <c r="R178" t="str">
        <f t="shared" si="19"/>
        <v>Clear</v>
      </c>
      <c r="S178" t="str">
        <f t="shared" si="20"/>
        <v>Afternoon</v>
      </c>
      <c r="T178" t="str">
        <f t="shared" si="21"/>
        <v>January</v>
      </c>
      <c r="U178" t="str">
        <f t="shared" si="22"/>
        <v>Spring</v>
      </c>
      <c r="V178">
        <f t="shared" si="23"/>
        <v>0.22929155386993369</v>
      </c>
      <c r="W178">
        <f t="shared" si="24"/>
        <v>-0.25435329828790432</v>
      </c>
      <c r="X178">
        <f t="shared" si="25"/>
        <v>0.10399668008577614</v>
      </c>
      <c r="Y178">
        <f t="shared" si="26"/>
        <v>0.36604748519325236</v>
      </c>
    </row>
    <row r="179" spans="1:25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  <c r="Q179" t="str">
        <f t="shared" si="18"/>
        <v>Weekend</v>
      </c>
      <c r="R179" t="str">
        <f t="shared" si="19"/>
        <v>Clear</v>
      </c>
      <c r="S179" t="str">
        <f t="shared" si="20"/>
        <v>Afternoon</v>
      </c>
      <c r="T179" t="str">
        <f t="shared" si="21"/>
        <v>January</v>
      </c>
      <c r="U179" t="str">
        <f t="shared" si="22"/>
        <v>Spring</v>
      </c>
      <c r="V179">
        <f t="shared" si="23"/>
        <v>0.22929155386993369</v>
      </c>
      <c r="W179">
        <f t="shared" si="24"/>
        <v>-0.25435329828790432</v>
      </c>
      <c r="X179">
        <f t="shared" si="25"/>
        <v>0.10399668008577614</v>
      </c>
      <c r="Y179">
        <f t="shared" si="26"/>
        <v>0.36604748519325236</v>
      </c>
    </row>
    <row r="180" spans="1:25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  <c r="Q180" t="str">
        <f t="shared" si="18"/>
        <v>Weekend</v>
      </c>
      <c r="R180" t="str">
        <f t="shared" si="19"/>
        <v>Clear</v>
      </c>
      <c r="S180" t="str">
        <f t="shared" si="20"/>
        <v>Evening</v>
      </c>
      <c r="T180" t="str">
        <f t="shared" si="21"/>
        <v>January</v>
      </c>
      <c r="U180" t="str">
        <f t="shared" si="22"/>
        <v>Spring</v>
      </c>
      <c r="V180">
        <f t="shared" si="23"/>
        <v>0.22929155386993369</v>
      </c>
      <c r="W180">
        <f t="shared" si="24"/>
        <v>-0.25435329828790432</v>
      </c>
      <c r="X180">
        <f t="shared" si="25"/>
        <v>0.10399668008577614</v>
      </c>
      <c r="Y180">
        <f t="shared" si="26"/>
        <v>0.36604748519325236</v>
      </c>
    </row>
    <row r="181" spans="1:25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  <c r="Q181" t="str">
        <f t="shared" si="18"/>
        <v>Weekend</v>
      </c>
      <c r="R181" t="str">
        <f t="shared" si="19"/>
        <v>Clear</v>
      </c>
      <c r="S181" t="str">
        <f t="shared" si="20"/>
        <v>Evening</v>
      </c>
      <c r="T181" t="str">
        <f t="shared" si="21"/>
        <v>January</v>
      </c>
      <c r="U181" t="str">
        <f t="shared" si="22"/>
        <v>Spring</v>
      </c>
      <c r="V181">
        <f t="shared" si="23"/>
        <v>0.22929155386993369</v>
      </c>
      <c r="W181">
        <f t="shared" si="24"/>
        <v>-0.25435329828790432</v>
      </c>
      <c r="X181">
        <f t="shared" si="25"/>
        <v>0.10399668008577614</v>
      </c>
      <c r="Y181">
        <f t="shared" si="26"/>
        <v>0.36604748519325236</v>
      </c>
    </row>
    <row r="182" spans="1:25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  <c r="Q182" t="str">
        <f t="shared" si="18"/>
        <v>Weekend</v>
      </c>
      <c r="R182" t="str">
        <f t="shared" si="19"/>
        <v>Clear</v>
      </c>
      <c r="S182" t="str">
        <f t="shared" si="20"/>
        <v>Evening</v>
      </c>
      <c r="T182" t="str">
        <f t="shared" si="21"/>
        <v>January</v>
      </c>
      <c r="U182" t="str">
        <f t="shared" si="22"/>
        <v>Spring</v>
      </c>
      <c r="V182">
        <f t="shared" si="23"/>
        <v>0.22929155386993369</v>
      </c>
      <c r="W182">
        <f t="shared" si="24"/>
        <v>-0.25435329828790432</v>
      </c>
      <c r="X182">
        <f t="shared" si="25"/>
        <v>0.10399668008577614</v>
      </c>
      <c r="Y182">
        <f t="shared" si="26"/>
        <v>0.36604748519325236</v>
      </c>
    </row>
    <row r="183" spans="1:25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  <c r="Q183" t="str">
        <f t="shared" si="18"/>
        <v>Weekend</v>
      </c>
      <c r="R183" t="str">
        <f t="shared" si="19"/>
        <v>Clear</v>
      </c>
      <c r="S183" t="str">
        <f t="shared" si="20"/>
        <v>Evening</v>
      </c>
      <c r="T183" t="str">
        <f t="shared" si="21"/>
        <v>January</v>
      </c>
      <c r="U183" t="str">
        <f t="shared" si="22"/>
        <v>Spring</v>
      </c>
      <c r="V183">
        <f t="shared" si="23"/>
        <v>0.22929155386993369</v>
      </c>
      <c r="W183">
        <f t="shared" si="24"/>
        <v>-0.25435329828790432</v>
      </c>
      <c r="X183">
        <f t="shared" si="25"/>
        <v>0.10399668008577614</v>
      </c>
      <c r="Y183">
        <f t="shared" si="26"/>
        <v>0.36604748519325236</v>
      </c>
    </row>
    <row r="184" spans="1:25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  <c r="Q184" t="str">
        <f t="shared" si="18"/>
        <v>Weekend</v>
      </c>
      <c r="R184" t="str">
        <f t="shared" si="19"/>
        <v>Clear</v>
      </c>
      <c r="S184" t="str">
        <f t="shared" si="20"/>
        <v>Night</v>
      </c>
      <c r="T184" t="str">
        <f t="shared" si="21"/>
        <v>January</v>
      </c>
      <c r="U184" t="str">
        <f t="shared" si="22"/>
        <v>Spring</v>
      </c>
      <c r="V184">
        <f t="shared" si="23"/>
        <v>0.22929155386993369</v>
      </c>
      <c r="W184">
        <f t="shared" si="24"/>
        <v>-0.25435329828790432</v>
      </c>
      <c r="X184">
        <f t="shared" si="25"/>
        <v>0.10399668008577614</v>
      </c>
      <c r="Y184">
        <f t="shared" si="26"/>
        <v>0.36604748519325236</v>
      </c>
    </row>
    <row r="185" spans="1:25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  <c r="Q185" t="str">
        <f t="shared" si="18"/>
        <v>Weekend</v>
      </c>
      <c r="R185" t="str">
        <f t="shared" si="19"/>
        <v>Clear</v>
      </c>
      <c r="S185" t="str">
        <f t="shared" si="20"/>
        <v>Night</v>
      </c>
      <c r="T185" t="str">
        <f t="shared" si="21"/>
        <v>January</v>
      </c>
      <c r="U185" t="str">
        <f t="shared" si="22"/>
        <v>Spring</v>
      </c>
      <c r="V185">
        <f t="shared" si="23"/>
        <v>0.22929155386993369</v>
      </c>
      <c r="W185">
        <f t="shared" si="24"/>
        <v>-0.25435329828790432</v>
      </c>
      <c r="X185">
        <f t="shared" si="25"/>
        <v>0.10399668008577614</v>
      </c>
      <c r="Y185">
        <f t="shared" si="26"/>
        <v>0.36604748519325236</v>
      </c>
    </row>
    <row r="186" spans="1:25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  <c r="Q186" t="str">
        <f t="shared" si="18"/>
        <v>Weekend</v>
      </c>
      <c r="R186" t="str">
        <f t="shared" si="19"/>
        <v>Clear</v>
      </c>
      <c r="S186" t="str">
        <f t="shared" si="20"/>
        <v>Night</v>
      </c>
      <c r="T186" t="str">
        <f t="shared" si="21"/>
        <v>January</v>
      </c>
      <c r="U186" t="str">
        <f t="shared" si="22"/>
        <v>Spring</v>
      </c>
      <c r="V186">
        <f t="shared" si="23"/>
        <v>0.22929155386993369</v>
      </c>
      <c r="W186">
        <f t="shared" si="24"/>
        <v>-0.25435329828790432</v>
      </c>
      <c r="X186">
        <f t="shared" si="25"/>
        <v>0.10399668008577614</v>
      </c>
      <c r="Y186">
        <f t="shared" si="26"/>
        <v>0.36604748519325236</v>
      </c>
    </row>
    <row r="187" spans="1:25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  <c r="Q187" t="str">
        <f t="shared" si="18"/>
        <v>Weekend</v>
      </c>
      <c r="R187" t="str">
        <f t="shared" si="19"/>
        <v>Clear</v>
      </c>
      <c r="S187" t="str">
        <f t="shared" si="20"/>
        <v>Night</v>
      </c>
      <c r="T187" t="str">
        <f t="shared" si="21"/>
        <v>January</v>
      </c>
      <c r="U187" t="str">
        <f t="shared" si="22"/>
        <v>Spring</v>
      </c>
      <c r="V187">
        <f t="shared" si="23"/>
        <v>0.22929155386993369</v>
      </c>
      <c r="W187">
        <f t="shared" si="24"/>
        <v>-0.25435329828790432</v>
      </c>
      <c r="X187">
        <f t="shared" si="25"/>
        <v>0.10399668008577614</v>
      </c>
      <c r="Y187">
        <f t="shared" si="26"/>
        <v>0.36604748519325236</v>
      </c>
    </row>
    <row r="188" spans="1:25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  <c r="Q188" t="str">
        <f t="shared" si="18"/>
        <v>Weekend</v>
      </c>
      <c r="R188" t="str">
        <f t="shared" si="19"/>
        <v>Clear</v>
      </c>
      <c r="S188" t="str">
        <f t="shared" si="20"/>
        <v>Night</v>
      </c>
      <c r="T188" t="str">
        <f t="shared" si="21"/>
        <v>January</v>
      </c>
      <c r="U188" t="str">
        <f t="shared" si="22"/>
        <v>Spring</v>
      </c>
      <c r="V188">
        <f t="shared" si="23"/>
        <v>0.22929155386993369</v>
      </c>
      <c r="W188">
        <f t="shared" si="24"/>
        <v>-0.25435329828790432</v>
      </c>
      <c r="X188">
        <f t="shared" si="25"/>
        <v>0.10399668008577614</v>
      </c>
      <c r="Y188">
        <f t="shared" si="26"/>
        <v>0.36604748519325236</v>
      </c>
    </row>
    <row r="189" spans="1:25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  <c r="Q189" t="str">
        <f t="shared" si="18"/>
        <v>Weekend</v>
      </c>
      <c r="R189" t="str">
        <f t="shared" si="19"/>
        <v>Clear</v>
      </c>
      <c r="S189" t="str">
        <f t="shared" si="20"/>
        <v>Night</v>
      </c>
      <c r="T189" t="str">
        <f t="shared" si="21"/>
        <v>January</v>
      </c>
      <c r="U189" t="str">
        <f t="shared" si="22"/>
        <v>Spring</v>
      </c>
      <c r="V189">
        <f t="shared" si="23"/>
        <v>0.22929155386993369</v>
      </c>
      <c r="W189">
        <f t="shared" si="24"/>
        <v>-0.25435329828790432</v>
      </c>
      <c r="X189">
        <f t="shared" si="25"/>
        <v>0.10399668008577614</v>
      </c>
      <c r="Y189">
        <f t="shared" si="26"/>
        <v>0.36604748519325236</v>
      </c>
    </row>
    <row r="190" spans="1:25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  <c r="Q190" t="str">
        <f t="shared" si="18"/>
        <v>Weekend</v>
      </c>
      <c r="R190" t="str">
        <f t="shared" si="19"/>
        <v>Clear</v>
      </c>
      <c r="S190" t="str">
        <f t="shared" si="20"/>
        <v>Night</v>
      </c>
      <c r="T190" t="str">
        <f t="shared" si="21"/>
        <v>January</v>
      </c>
      <c r="U190" t="str">
        <f t="shared" si="22"/>
        <v>Spring</v>
      </c>
      <c r="V190">
        <f t="shared" si="23"/>
        <v>0.22929155386993369</v>
      </c>
      <c r="W190">
        <f t="shared" si="24"/>
        <v>-0.25435329828790432</v>
      </c>
      <c r="X190">
        <f t="shared" si="25"/>
        <v>0.10399668008577614</v>
      </c>
      <c r="Y190">
        <f t="shared" si="26"/>
        <v>0.36604748519325236</v>
      </c>
    </row>
    <row r="191" spans="1:25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  <c r="Q191" t="str">
        <f t="shared" si="18"/>
        <v>Weekend</v>
      </c>
      <c r="R191" t="str">
        <f t="shared" si="19"/>
        <v>Clear</v>
      </c>
      <c r="S191" t="str">
        <f t="shared" si="20"/>
        <v>Night</v>
      </c>
      <c r="T191" t="str">
        <f t="shared" si="21"/>
        <v>January</v>
      </c>
      <c r="U191" t="str">
        <f t="shared" si="22"/>
        <v>Spring</v>
      </c>
      <c r="V191">
        <f t="shared" si="23"/>
        <v>0.22929155386993369</v>
      </c>
      <c r="W191">
        <f t="shared" si="24"/>
        <v>-0.25435329828790432</v>
      </c>
      <c r="X191">
        <f t="shared" si="25"/>
        <v>0.10399668008577614</v>
      </c>
      <c r="Y191">
        <f t="shared" si="26"/>
        <v>0.36604748519325236</v>
      </c>
    </row>
    <row r="192" spans="1:25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  <c r="Q192" t="str">
        <f t="shared" si="18"/>
        <v>Weekend</v>
      </c>
      <c r="R192" t="str">
        <f t="shared" si="19"/>
        <v>Clear</v>
      </c>
      <c r="S192" t="str">
        <f t="shared" si="20"/>
        <v>Night</v>
      </c>
      <c r="T192" t="str">
        <f t="shared" si="21"/>
        <v>January</v>
      </c>
      <c r="U192" t="str">
        <f t="shared" si="22"/>
        <v>Spring</v>
      </c>
      <c r="V192">
        <f t="shared" si="23"/>
        <v>0.22929155386993369</v>
      </c>
      <c r="W192">
        <f t="shared" si="24"/>
        <v>-0.25435329828790432</v>
      </c>
      <c r="X192">
        <f t="shared" si="25"/>
        <v>0.10399668008577614</v>
      </c>
      <c r="Y192">
        <f t="shared" si="26"/>
        <v>0.36604748519325236</v>
      </c>
    </row>
    <row r="193" spans="1:25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  <c r="Q193" t="str">
        <f t="shared" si="18"/>
        <v>Weekend</v>
      </c>
      <c r="R193" t="str">
        <f t="shared" si="19"/>
        <v>Clear</v>
      </c>
      <c r="S193" t="str">
        <f t="shared" si="20"/>
        <v>Morning</v>
      </c>
      <c r="T193" t="str">
        <f t="shared" si="21"/>
        <v>January</v>
      </c>
      <c r="U193" t="str">
        <f t="shared" si="22"/>
        <v>Spring</v>
      </c>
      <c r="V193">
        <f t="shared" si="23"/>
        <v>0.22929155386993369</v>
      </c>
      <c r="W193">
        <f t="shared" si="24"/>
        <v>-0.25435329828790432</v>
      </c>
      <c r="X193">
        <f t="shared" si="25"/>
        <v>0.10399668008577614</v>
      </c>
      <c r="Y193">
        <f t="shared" si="26"/>
        <v>0.36604748519325236</v>
      </c>
    </row>
    <row r="194" spans="1:25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  <c r="Q194" t="str">
        <f t="shared" ref="Q194:Q257" si="27">IF(OR(WEEKDAY(B194)=1, WEEKDAY(B194)=7), "Weekend", "Weekday")</f>
        <v>Weekend</v>
      </c>
      <c r="R194" t="str">
        <f t="shared" ref="R194:R257" si="28">IF(I194=1,"Clear",IF(I194=2,"Mist/Cloudy",IF(I194=3,"Light Rain/Snow","Heavy Rain/Snow")))</f>
        <v>Clear</v>
      </c>
      <c r="S194" t="str">
        <f t="shared" ref="S194:S257" si="29">IF(AND(F194&gt;=6, F194&lt;12), "Morning", IF(AND(F194&gt;=12, F194&lt;17), "Afternoon", IF(AND(F194&gt;=17, F194&lt;21), "Evening", "Night")))</f>
        <v>Morning</v>
      </c>
      <c r="T194" t="str">
        <f t="shared" ref="T194:T257" si="30">TEXT(B194, "mmmm")</f>
        <v>January</v>
      </c>
      <c r="U194" t="str">
        <f t="shared" ref="U194:U257" si="31">CHOOSE(C194, "Spring", "Summer", "Fall", "Winter")</f>
        <v>Spring</v>
      </c>
      <c r="V194">
        <f t="shared" ref="V194:V257" si="32">CORREL($J$2:$J$1001, $P$2:$P$1001)</f>
        <v>0.22929155386993369</v>
      </c>
      <c r="W194">
        <f t="shared" ref="W194:W257" si="33">CORREL($L$2:$L$1001, $P$2:$P$1001)</f>
        <v>-0.25435329828790432</v>
      </c>
      <c r="X194">
        <f t="shared" ref="X194:X257" si="34">CORREL($M$2:$M$1001, $P$2:$P$1001)</f>
        <v>0.10399668008577614</v>
      </c>
      <c r="Y194">
        <f t="shared" ref="Y194:Y257" si="35">CORREL($F$2:$F$1001, $P$2:$P$1001)</f>
        <v>0.36604748519325236</v>
      </c>
    </row>
    <row r="195" spans="1:25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  <c r="Q195" t="str">
        <f t="shared" si="27"/>
        <v>Weekend</v>
      </c>
      <c r="R195" t="str">
        <f t="shared" si="28"/>
        <v>Clear</v>
      </c>
      <c r="S195" t="str">
        <f t="shared" si="29"/>
        <v>Morning</v>
      </c>
      <c r="T195" t="str">
        <f t="shared" si="30"/>
        <v>January</v>
      </c>
      <c r="U195" t="str">
        <f t="shared" si="31"/>
        <v>Spring</v>
      </c>
      <c r="V195">
        <f t="shared" si="32"/>
        <v>0.22929155386993369</v>
      </c>
      <c r="W195">
        <f t="shared" si="33"/>
        <v>-0.25435329828790432</v>
      </c>
      <c r="X195">
        <f t="shared" si="34"/>
        <v>0.10399668008577614</v>
      </c>
      <c r="Y195">
        <f t="shared" si="35"/>
        <v>0.36604748519325236</v>
      </c>
    </row>
    <row r="196" spans="1:25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  <c r="Q196" t="str">
        <f t="shared" si="27"/>
        <v>Weekend</v>
      </c>
      <c r="R196" t="str">
        <f t="shared" si="28"/>
        <v>Clear</v>
      </c>
      <c r="S196" t="str">
        <f t="shared" si="29"/>
        <v>Morning</v>
      </c>
      <c r="T196" t="str">
        <f t="shared" si="30"/>
        <v>January</v>
      </c>
      <c r="U196" t="str">
        <f t="shared" si="31"/>
        <v>Spring</v>
      </c>
      <c r="V196">
        <f t="shared" si="32"/>
        <v>0.22929155386993369</v>
      </c>
      <c r="W196">
        <f t="shared" si="33"/>
        <v>-0.25435329828790432</v>
      </c>
      <c r="X196">
        <f t="shared" si="34"/>
        <v>0.10399668008577614</v>
      </c>
      <c r="Y196">
        <f t="shared" si="35"/>
        <v>0.36604748519325236</v>
      </c>
    </row>
    <row r="197" spans="1:25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  <c r="Q197" t="str">
        <f t="shared" si="27"/>
        <v>Weekend</v>
      </c>
      <c r="R197" t="str">
        <f t="shared" si="28"/>
        <v>Clear</v>
      </c>
      <c r="S197" t="str">
        <f t="shared" si="29"/>
        <v>Morning</v>
      </c>
      <c r="T197" t="str">
        <f t="shared" si="30"/>
        <v>January</v>
      </c>
      <c r="U197" t="str">
        <f t="shared" si="31"/>
        <v>Spring</v>
      </c>
      <c r="V197">
        <f t="shared" si="32"/>
        <v>0.22929155386993369</v>
      </c>
      <c r="W197">
        <f t="shared" si="33"/>
        <v>-0.25435329828790432</v>
      </c>
      <c r="X197">
        <f t="shared" si="34"/>
        <v>0.10399668008577614</v>
      </c>
      <c r="Y197">
        <f t="shared" si="35"/>
        <v>0.36604748519325236</v>
      </c>
    </row>
    <row r="198" spans="1:25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  <c r="Q198" t="str">
        <f t="shared" si="27"/>
        <v>Weekend</v>
      </c>
      <c r="R198" t="str">
        <f t="shared" si="28"/>
        <v>Clear</v>
      </c>
      <c r="S198" t="str">
        <f t="shared" si="29"/>
        <v>Morning</v>
      </c>
      <c r="T198" t="str">
        <f t="shared" si="30"/>
        <v>January</v>
      </c>
      <c r="U198" t="str">
        <f t="shared" si="31"/>
        <v>Spring</v>
      </c>
      <c r="V198">
        <f t="shared" si="32"/>
        <v>0.22929155386993369</v>
      </c>
      <c r="W198">
        <f t="shared" si="33"/>
        <v>-0.25435329828790432</v>
      </c>
      <c r="X198">
        <f t="shared" si="34"/>
        <v>0.10399668008577614</v>
      </c>
      <c r="Y198">
        <f t="shared" si="35"/>
        <v>0.36604748519325236</v>
      </c>
    </row>
    <row r="199" spans="1:25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  <c r="Q199" t="str">
        <f t="shared" si="27"/>
        <v>Weekend</v>
      </c>
      <c r="R199" t="str">
        <f t="shared" si="28"/>
        <v>Clear</v>
      </c>
      <c r="S199" t="str">
        <f t="shared" si="29"/>
        <v>Afternoon</v>
      </c>
      <c r="T199" t="str">
        <f t="shared" si="30"/>
        <v>January</v>
      </c>
      <c r="U199" t="str">
        <f t="shared" si="31"/>
        <v>Spring</v>
      </c>
      <c r="V199">
        <f t="shared" si="32"/>
        <v>0.22929155386993369</v>
      </c>
      <c r="W199">
        <f t="shared" si="33"/>
        <v>-0.25435329828790432</v>
      </c>
      <c r="X199">
        <f t="shared" si="34"/>
        <v>0.10399668008577614</v>
      </c>
      <c r="Y199">
        <f t="shared" si="35"/>
        <v>0.36604748519325236</v>
      </c>
    </row>
    <row r="200" spans="1:25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  <c r="Q200" t="str">
        <f t="shared" si="27"/>
        <v>Weekend</v>
      </c>
      <c r="R200" t="str">
        <f t="shared" si="28"/>
        <v>Clear</v>
      </c>
      <c r="S200" t="str">
        <f t="shared" si="29"/>
        <v>Afternoon</v>
      </c>
      <c r="T200" t="str">
        <f t="shared" si="30"/>
        <v>January</v>
      </c>
      <c r="U200" t="str">
        <f t="shared" si="31"/>
        <v>Spring</v>
      </c>
      <c r="V200">
        <f t="shared" si="32"/>
        <v>0.22929155386993369</v>
      </c>
      <c r="W200">
        <f t="shared" si="33"/>
        <v>-0.25435329828790432</v>
      </c>
      <c r="X200">
        <f t="shared" si="34"/>
        <v>0.10399668008577614</v>
      </c>
      <c r="Y200">
        <f t="shared" si="35"/>
        <v>0.36604748519325236</v>
      </c>
    </row>
    <row r="201" spans="1:25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  <c r="Q201" t="str">
        <f t="shared" si="27"/>
        <v>Weekend</v>
      </c>
      <c r="R201" t="str">
        <f t="shared" si="28"/>
        <v>Clear</v>
      </c>
      <c r="S201" t="str">
        <f t="shared" si="29"/>
        <v>Afternoon</v>
      </c>
      <c r="T201" t="str">
        <f t="shared" si="30"/>
        <v>January</v>
      </c>
      <c r="U201" t="str">
        <f t="shared" si="31"/>
        <v>Spring</v>
      </c>
      <c r="V201">
        <f t="shared" si="32"/>
        <v>0.22929155386993369</v>
      </c>
      <c r="W201">
        <f t="shared" si="33"/>
        <v>-0.25435329828790432</v>
      </c>
      <c r="X201">
        <f t="shared" si="34"/>
        <v>0.10399668008577614</v>
      </c>
      <c r="Y201">
        <f t="shared" si="35"/>
        <v>0.36604748519325236</v>
      </c>
    </row>
    <row r="202" spans="1:25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  <c r="Q202" t="str">
        <f t="shared" si="27"/>
        <v>Weekend</v>
      </c>
      <c r="R202" t="str">
        <f t="shared" si="28"/>
        <v>Clear</v>
      </c>
      <c r="S202" t="str">
        <f t="shared" si="29"/>
        <v>Afternoon</v>
      </c>
      <c r="T202" t="str">
        <f t="shared" si="30"/>
        <v>January</v>
      </c>
      <c r="U202" t="str">
        <f t="shared" si="31"/>
        <v>Spring</v>
      </c>
      <c r="V202">
        <f t="shared" si="32"/>
        <v>0.22929155386993369</v>
      </c>
      <c r="W202">
        <f t="shared" si="33"/>
        <v>-0.25435329828790432</v>
      </c>
      <c r="X202">
        <f t="shared" si="34"/>
        <v>0.10399668008577614</v>
      </c>
      <c r="Y202">
        <f t="shared" si="35"/>
        <v>0.36604748519325236</v>
      </c>
    </row>
    <row r="203" spans="1:25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  <c r="Q203" t="str">
        <f t="shared" si="27"/>
        <v>Weekend</v>
      </c>
      <c r="R203" t="str">
        <f t="shared" si="28"/>
        <v>Clear</v>
      </c>
      <c r="S203" t="str">
        <f t="shared" si="29"/>
        <v>Afternoon</v>
      </c>
      <c r="T203" t="str">
        <f t="shared" si="30"/>
        <v>January</v>
      </c>
      <c r="U203" t="str">
        <f t="shared" si="31"/>
        <v>Spring</v>
      </c>
      <c r="V203">
        <f t="shared" si="32"/>
        <v>0.22929155386993369</v>
      </c>
      <c r="W203">
        <f t="shared" si="33"/>
        <v>-0.25435329828790432</v>
      </c>
      <c r="X203">
        <f t="shared" si="34"/>
        <v>0.10399668008577614</v>
      </c>
      <c r="Y203">
        <f t="shared" si="35"/>
        <v>0.36604748519325236</v>
      </c>
    </row>
    <row r="204" spans="1:25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  <c r="Q204" t="str">
        <f t="shared" si="27"/>
        <v>Weekend</v>
      </c>
      <c r="R204" t="str">
        <f t="shared" si="28"/>
        <v>Clear</v>
      </c>
      <c r="S204" t="str">
        <f t="shared" si="29"/>
        <v>Evening</v>
      </c>
      <c r="T204" t="str">
        <f t="shared" si="30"/>
        <v>January</v>
      </c>
      <c r="U204" t="str">
        <f t="shared" si="31"/>
        <v>Spring</v>
      </c>
      <c r="V204">
        <f t="shared" si="32"/>
        <v>0.22929155386993369</v>
      </c>
      <c r="W204">
        <f t="shared" si="33"/>
        <v>-0.25435329828790432</v>
      </c>
      <c r="X204">
        <f t="shared" si="34"/>
        <v>0.10399668008577614</v>
      </c>
      <c r="Y204">
        <f t="shared" si="35"/>
        <v>0.36604748519325236</v>
      </c>
    </row>
    <row r="205" spans="1:25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  <c r="Q205" t="str">
        <f t="shared" si="27"/>
        <v>Weekend</v>
      </c>
      <c r="R205" t="str">
        <f t="shared" si="28"/>
        <v>Clear</v>
      </c>
      <c r="S205" t="str">
        <f t="shared" si="29"/>
        <v>Evening</v>
      </c>
      <c r="T205" t="str">
        <f t="shared" si="30"/>
        <v>January</v>
      </c>
      <c r="U205" t="str">
        <f t="shared" si="31"/>
        <v>Spring</v>
      </c>
      <c r="V205">
        <f t="shared" si="32"/>
        <v>0.22929155386993369</v>
      </c>
      <c r="W205">
        <f t="shared" si="33"/>
        <v>-0.25435329828790432</v>
      </c>
      <c r="X205">
        <f t="shared" si="34"/>
        <v>0.10399668008577614</v>
      </c>
      <c r="Y205">
        <f t="shared" si="35"/>
        <v>0.36604748519325236</v>
      </c>
    </row>
    <row r="206" spans="1:25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  <c r="Q206" t="str">
        <f t="shared" si="27"/>
        <v>Weekend</v>
      </c>
      <c r="R206" t="str">
        <f t="shared" si="28"/>
        <v>Clear</v>
      </c>
      <c r="S206" t="str">
        <f t="shared" si="29"/>
        <v>Evening</v>
      </c>
      <c r="T206" t="str">
        <f t="shared" si="30"/>
        <v>January</v>
      </c>
      <c r="U206" t="str">
        <f t="shared" si="31"/>
        <v>Spring</v>
      </c>
      <c r="V206">
        <f t="shared" si="32"/>
        <v>0.22929155386993369</v>
      </c>
      <c r="W206">
        <f t="shared" si="33"/>
        <v>-0.25435329828790432</v>
      </c>
      <c r="X206">
        <f t="shared" si="34"/>
        <v>0.10399668008577614</v>
      </c>
      <c r="Y206">
        <f t="shared" si="35"/>
        <v>0.36604748519325236</v>
      </c>
    </row>
    <row r="207" spans="1:25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  <c r="Q207" t="str">
        <f t="shared" si="27"/>
        <v>Weekend</v>
      </c>
      <c r="R207" t="str">
        <f t="shared" si="28"/>
        <v>Clear</v>
      </c>
      <c r="S207" t="str">
        <f t="shared" si="29"/>
        <v>Evening</v>
      </c>
      <c r="T207" t="str">
        <f t="shared" si="30"/>
        <v>January</v>
      </c>
      <c r="U207" t="str">
        <f t="shared" si="31"/>
        <v>Spring</v>
      </c>
      <c r="V207">
        <f t="shared" si="32"/>
        <v>0.22929155386993369</v>
      </c>
      <c r="W207">
        <f t="shared" si="33"/>
        <v>-0.25435329828790432</v>
      </c>
      <c r="X207">
        <f t="shared" si="34"/>
        <v>0.10399668008577614</v>
      </c>
      <c r="Y207">
        <f t="shared" si="35"/>
        <v>0.36604748519325236</v>
      </c>
    </row>
    <row r="208" spans="1:25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  <c r="Q208" t="str">
        <f t="shared" si="27"/>
        <v>Weekend</v>
      </c>
      <c r="R208" t="str">
        <f t="shared" si="28"/>
        <v>Clear</v>
      </c>
      <c r="S208" t="str">
        <f t="shared" si="29"/>
        <v>Night</v>
      </c>
      <c r="T208" t="str">
        <f t="shared" si="30"/>
        <v>January</v>
      </c>
      <c r="U208" t="str">
        <f t="shared" si="31"/>
        <v>Spring</v>
      </c>
      <c r="V208">
        <f t="shared" si="32"/>
        <v>0.22929155386993369</v>
      </c>
      <c r="W208">
        <f t="shared" si="33"/>
        <v>-0.25435329828790432</v>
      </c>
      <c r="X208">
        <f t="shared" si="34"/>
        <v>0.10399668008577614</v>
      </c>
      <c r="Y208">
        <f t="shared" si="35"/>
        <v>0.36604748519325236</v>
      </c>
    </row>
    <row r="209" spans="1:25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  <c r="Q209" t="str">
        <f t="shared" si="27"/>
        <v>Weekend</v>
      </c>
      <c r="R209" t="str">
        <f t="shared" si="28"/>
        <v>Clear</v>
      </c>
      <c r="S209" t="str">
        <f t="shared" si="29"/>
        <v>Night</v>
      </c>
      <c r="T209" t="str">
        <f t="shared" si="30"/>
        <v>January</v>
      </c>
      <c r="U209" t="str">
        <f t="shared" si="31"/>
        <v>Spring</v>
      </c>
      <c r="V209">
        <f t="shared" si="32"/>
        <v>0.22929155386993369</v>
      </c>
      <c r="W209">
        <f t="shared" si="33"/>
        <v>-0.25435329828790432</v>
      </c>
      <c r="X209">
        <f t="shared" si="34"/>
        <v>0.10399668008577614</v>
      </c>
      <c r="Y209">
        <f t="shared" si="35"/>
        <v>0.36604748519325236</v>
      </c>
    </row>
    <row r="210" spans="1:25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  <c r="Q210" t="str">
        <f t="shared" si="27"/>
        <v>Weekend</v>
      </c>
      <c r="R210" t="str">
        <f t="shared" si="28"/>
        <v>Clear</v>
      </c>
      <c r="S210" t="str">
        <f t="shared" si="29"/>
        <v>Night</v>
      </c>
      <c r="T210" t="str">
        <f t="shared" si="30"/>
        <v>January</v>
      </c>
      <c r="U210" t="str">
        <f t="shared" si="31"/>
        <v>Spring</v>
      </c>
      <c r="V210">
        <f t="shared" si="32"/>
        <v>0.22929155386993369</v>
      </c>
      <c r="W210">
        <f t="shared" si="33"/>
        <v>-0.25435329828790432</v>
      </c>
      <c r="X210">
        <f t="shared" si="34"/>
        <v>0.10399668008577614</v>
      </c>
      <c r="Y210">
        <f t="shared" si="35"/>
        <v>0.36604748519325236</v>
      </c>
    </row>
    <row r="211" spans="1:25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  <c r="Q211" t="str">
        <f t="shared" si="27"/>
        <v>Weekday</v>
      </c>
      <c r="R211" t="str">
        <f t="shared" si="28"/>
        <v>Clear</v>
      </c>
      <c r="S211" t="str">
        <f t="shared" si="29"/>
        <v>Night</v>
      </c>
      <c r="T211" t="str">
        <f t="shared" si="30"/>
        <v>January</v>
      </c>
      <c r="U211" t="str">
        <f t="shared" si="31"/>
        <v>Spring</v>
      </c>
      <c r="V211">
        <f t="shared" si="32"/>
        <v>0.22929155386993369</v>
      </c>
      <c r="W211">
        <f t="shared" si="33"/>
        <v>-0.25435329828790432</v>
      </c>
      <c r="X211">
        <f t="shared" si="34"/>
        <v>0.10399668008577614</v>
      </c>
      <c r="Y211">
        <f t="shared" si="35"/>
        <v>0.36604748519325236</v>
      </c>
    </row>
    <row r="212" spans="1:25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  <c r="Q212" t="str">
        <f t="shared" si="27"/>
        <v>Weekday</v>
      </c>
      <c r="R212" t="str">
        <f t="shared" si="28"/>
        <v>Clear</v>
      </c>
      <c r="S212" t="str">
        <f t="shared" si="29"/>
        <v>Night</v>
      </c>
      <c r="T212" t="str">
        <f t="shared" si="30"/>
        <v>January</v>
      </c>
      <c r="U212" t="str">
        <f t="shared" si="31"/>
        <v>Spring</v>
      </c>
      <c r="V212">
        <f t="shared" si="32"/>
        <v>0.22929155386993369</v>
      </c>
      <c r="W212">
        <f t="shared" si="33"/>
        <v>-0.25435329828790432</v>
      </c>
      <c r="X212">
        <f t="shared" si="34"/>
        <v>0.10399668008577614</v>
      </c>
      <c r="Y212">
        <f t="shared" si="35"/>
        <v>0.36604748519325236</v>
      </c>
    </row>
    <row r="213" spans="1:25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  <c r="Q213" t="str">
        <f t="shared" si="27"/>
        <v>Weekday</v>
      </c>
      <c r="R213" t="str">
        <f t="shared" si="28"/>
        <v>Clear</v>
      </c>
      <c r="S213" t="str">
        <f t="shared" si="29"/>
        <v>Night</v>
      </c>
      <c r="T213" t="str">
        <f t="shared" si="30"/>
        <v>January</v>
      </c>
      <c r="U213" t="str">
        <f t="shared" si="31"/>
        <v>Spring</v>
      </c>
      <c r="V213">
        <f t="shared" si="32"/>
        <v>0.22929155386993369</v>
      </c>
      <c r="W213">
        <f t="shared" si="33"/>
        <v>-0.25435329828790432</v>
      </c>
      <c r="X213">
        <f t="shared" si="34"/>
        <v>0.10399668008577614</v>
      </c>
      <c r="Y213">
        <f t="shared" si="35"/>
        <v>0.36604748519325236</v>
      </c>
    </row>
    <row r="214" spans="1:25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  <c r="Q214" t="str">
        <f t="shared" si="27"/>
        <v>Weekday</v>
      </c>
      <c r="R214" t="str">
        <f t="shared" si="28"/>
        <v>Clear</v>
      </c>
      <c r="S214" t="str">
        <f t="shared" si="29"/>
        <v>Night</v>
      </c>
      <c r="T214" t="str">
        <f t="shared" si="30"/>
        <v>January</v>
      </c>
      <c r="U214" t="str">
        <f t="shared" si="31"/>
        <v>Spring</v>
      </c>
      <c r="V214">
        <f t="shared" si="32"/>
        <v>0.22929155386993369</v>
      </c>
      <c r="W214">
        <f t="shared" si="33"/>
        <v>-0.25435329828790432</v>
      </c>
      <c r="X214">
        <f t="shared" si="34"/>
        <v>0.10399668008577614</v>
      </c>
      <c r="Y214">
        <f t="shared" si="35"/>
        <v>0.36604748519325236</v>
      </c>
    </row>
    <row r="215" spans="1:25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  <c r="Q215" t="str">
        <f t="shared" si="27"/>
        <v>Weekday</v>
      </c>
      <c r="R215" t="str">
        <f t="shared" si="28"/>
        <v>Clear</v>
      </c>
      <c r="S215" t="str">
        <f t="shared" si="29"/>
        <v>Night</v>
      </c>
      <c r="T215" t="str">
        <f t="shared" si="30"/>
        <v>January</v>
      </c>
      <c r="U215" t="str">
        <f t="shared" si="31"/>
        <v>Spring</v>
      </c>
      <c r="V215">
        <f t="shared" si="32"/>
        <v>0.22929155386993369</v>
      </c>
      <c r="W215">
        <f t="shared" si="33"/>
        <v>-0.25435329828790432</v>
      </c>
      <c r="X215">
        <f t="shared" si="34"/>
        <v>0.10399668008577614</v>
      </c>
      <c r="Y215">
        <f t="shared" si="35"/>
        <v>0.36604748519325236</v>
      </c>
    </row>
    <row r="216" spans="1:25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  <c r="Q216" t="str">
        <f t="shared" si="27"/>
        <v>Weekday</v>
      </c>
      <c r="R216" t="str">
        <f t="shared" si="28"/>
        <v>Clear</v>
      </c>
      <c r="S216" t="str">
        <f t="shared" si="29"/>
        <v>Night</v>
      </c>
      <c r="T216" t="str">
        <f t="shared" si="30"/>
        <v>January</v>
      </c>
      <c r="U216" t="str">
        <f t="shared" si="31"/>
        <v>Spring</v>
      </c>
      <c r="V216">
        <f t="shared" si="32"/>
        <v>0.22929155386993369</v>
      </c>
      <c r="W216">
        <f t="shared" si="33"/>
        <v>-0.25435329828790432</v>
      </c>
      <c r="X216">
        <f t="shared" si="34"/>
        <v>0.10399668008577614</v>
      </c>
      <c r="Y216">
        <f t="shared" si="35"/>
        <v>0.36604748519325236</v>
      </c>
    </row>
    <row r="217" spans="1:25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  <c r="Q217" t="str">
        <f t="shared" si="27"/>
        <v>Weekday</v>
      </c>
      <c r="R217" t="str">
        <f t="shared" si="28"/>
        <v>Clear</v>
      </c>
      <c r="S217" t="str">
        <f t="shared" si="29"/>
        <v>Morning</v>
      </c>
      <c r="T217" t="str">
        <f t="shared" si="30"/>
        <v>January</v>
      </c>
      <c r="U217" t="str">
        <f t="shared" si="31"/>
        <v>Spring</v>
      </c>
      <c r="V217">
        <f t="shared" si="32"/>
        <v>0.22929155386993369</v>
      </c>
      <c r="W217">
        <f t="shared" si="33"/>
        <v>-0.25435329828790432</v>
      </c>
      <c r="X217">
        <f t="shared" si="34"/>
        <v>0.10399668008577614</v>
      </c>
      <c r="Y217">
        <f t="shared" si="35"/>
        <v>0.36604748519325236</v>
      </c>
    </row>
    <row r="218" spans="1:25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  <c r="Q218" t="str">
        <f t="shared" si="27"/>
        <v>Weekday</v>
      </c>
      <c r="R218" t="str">
        <f t="shared" si="28"/>
        <v>Clear</v>
      </c>
      <c r="S218" t="str">
        <f t="shared" si="29"/>
        <v>Morning</v>
      </c>
      <c r="T218" t="str">
        <f t="shared" si="30"/>
        <v>January</v>
      </c>
      <c r="U218" t="str">
        <f t="shared" si="31"/>
        <v>Spring</v>
      </c>
      <c r="V218">
        <f t="shared" si="32"/>
        <v>0.22929155386993369</v>
      </c>
      <c r="W218">
        <f t="shared" si="33"/>
        <v>-0.25435329828790432</v>
      </c>
      <c r="X218">
        <f t="shared" si="34"/>
        <v>0.10399668008577614</v>
      </c>
      <c r="Y218">
        <f t="shared" si="35"/>
        <v>0.36604748519325236</v>
      </c>
    </row>
    <row r="219" spans="1:25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  <c r="Q219" t="str">
        <f t="shared" si="27"/>
        <v>Weekday</v>
      </c>
      <c r="R219" t="str">
        <f t="shared" si="28"/>
        <v>Mist/Cloudy</v>
      </c>
      <c r="S219" t="str">
        <f t="shared" si="29"/>
        <v>Morning</v>
      </c>
      <c r="T219" t="str">
        <f t="shared" si="30"/>
        <v>January</v>
      </c>
      <c r="U219" t="str">
        <f t="shared" si="31"/>
        <v>Spring</v>
      </c>
      <c r="V219">
        <f t="shared" si="32"/>
        <v>0.22929155386993369</v>
      </c>
      <c r="W219">
        <f t="shared" si="33"/>
        <v>-0.25435329828790432</v>
      </c>
      <c r="X219">
        <f t="shared" si="34"/>
        <v>0.10399668008577614</v>
      </c>
      <c r="Y219">
        <f t="shared" si="35"/>
        <v>0.36604748519325236</v>
      </c>
    </row>
    <row r="220" spans="1:25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  <c r="Q220" t="str">
        <f t="shared" si="27"/>
        <v>Weekday</v>
      </c>
      <c r="R220" t="str">
        <f t="shared" si="28"/>
        <v>Mist/Cloudy</v>
      </c>
      <c r="S220" t="str">
        <f t="shared" si="29"/>
        <v>Morning</v>
      </c>
      <c r="T220" t="str">
        <f t="shared" si="30"/>
        <v>January</v>
      </c>
      <c r="U220" t="str">
        <f t="shared" si="31"/>
        <v>Spring</v>
      </c>
      <c r="V220">
        <f t="shared" si="32"/>
        <v>0.22929155386993369</v>
      </c>
      <c r="W220">
        <f t="shared" si="33"/>
        <v>-0.25435329828790432</v>
      </c>
      <c r="X220">
        <f t="shared" si="34"/>
        <v>0.10399668008577614</v>
      </c>
      <c r="Y220">
        <f t="shared" si="35"/>
        <v>0.36604748519325236</v>
      </c>
    </row>
    <row r="221" spans="1:25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  <c r="Q221" t="str">
        <f t="shared" si="27"/>
        <v>Weekday</v>
      </c>
      <c r="R221" t="str">
        <f t="shared" si="28"/>
        <v>Mist/Cloudy</v>
      </c>
      <c r="S221" t="str">
        <f t="shared" si="29"/>
        <v>Morning</v>
      </c>
      <c r="T221" t="str">
        <f t="shared" si="30"/>
        <v>January</v>
      </c>
      <c r="U221" t="str">
        <f t="shared" si="31"/>
        <v>Spring</v>
      </c>
      <c r="V221">
        <f t="shared" si="32"/>
        <v>0.22929155386993369</v>
      </c>
      <c r="W221">
        <f t="shared" si="33"/>
        <v>-0.25435329828790432</v>
      </c>
      <c r="X221">
        <f t="shared" si="34"/>
        <v>0.10399668008577614</v>
      </c>
      <c r="Y221">
        <f t="shared" si="35"/>
        <v>0.36604748519325236</v>
      </c>
    </row>
    <row r="222" spans="1:25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  <c r="Q222" t="str">
        <f t="shared" si="27"/>
        <v>Weekday</v>
      </c>
      <c r="R222" t="str">
        <f t="shared" si="28"/>
        <v>Mist/Cloudy</v>
      </c>
      <c r="S222" t="str">
        <f t="shared" si="29"/>
        <v>Morning</v>
      </c>
      <c r="T222" t="str">
        <f t="shared" si="30"/>
        <v>January</v>
      </c>
      <c r="U222" t="str">
        <f t="shared" si="31"/>
        <v>Spring</v>
      </c>
      <c r="V222">
        <f t="shared" si="32"/>
        <v>0.22929155386993369</v>
      </c>
      <c r="W222">
        <f t="shared" si="33"/>
        <v>-0.25435329828790432</v>
      </c>
      <c r="X222">
        <f t="shared" si="34"/>
        <v>0.10399668008577614</v>
      </c>
      <c r="Y222">
        <f t="shared" si="35"/>
        <v>0.36604748519325236</v>
      </c>
    </row>
    <row r="223" spans="1:25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  <c r="Q223" t="str">
        <f t="shared" si="27"/>
        <v>Weekday</v>
      </c>
      <c r="R223" t="str">
        <f t="shared" si="28"/>
        <v>Mist/Cloudy</v>
      </c>
      <c r="S223" t="str">
        <f t="shared" si="29"/>
        <v>Afternoon</v>
      </c>
      <c r="T223" t="str">
        <f t="shared" si="30"/>
        <v>January</v>
      </c>
      <c r="U223" t="str">
        <f t="shared" si="31"/>
        <v>Spring</v>
      </c>
      <c r="V223">
        <f t="shared" si="32"/>
        <v>0.22929155386993369</v>
      </c>
      <c r="W223">
        <f t="shared" si="33"/>
        <v>-0.25435329828790432</v>
      </c>
      <c r="X223">
        <f t="shared" si="34"/>
        <v>0.10399668008577614</v>
      </c>
      <c r="Y223">
        <f t="shared" si="35"/>
        <v>0.36604748519325236</v>
      </c>
    </row>
    <row r="224" spans="1:25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  <c r="Q224" t="str">
        <f t="shared" si="27"/>
        <v>Weekday</v>
      </c>
      <c r="R224" t="str">
        <f t="shared" si="28"/>
        <v>Mist/Cloudy</v>
      </c>
      <c r="S224" t="str">
        <f t="shared" si="29"/>
        <v>Afternoon</v>
      </c>
      <c r="T224" t="str">
        <f t="shared" si="30"/>
        <v>January</v>
      </c>
      <c r="U224" t="str">
        <f t="shared" si="31"/>
        <v>Spring</v>
      </c>
      <c r="V224">
        <f t="shared" si="32"/>
        <v>0.22929155386993369</v>
      </c>
      <c r="W224">
        <f t="shared" si="33"/>
        <v>-0.25435329828790432</v>
      </c>
      <c r="X224">
        <f t="shared" si="34"/>
        <v>0.10399668008577614</v>
      </c>
      <c r="Y224">
        <f t="shared" si="35"/>
        <v>0.36604748519325236</v>
      </c>
    </row>
    <row r="225" spans="1:25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  <c r="Q225" t="str">
        <f t="shared" si="27"/>
        <v>Weekday</v>
      </c>
      <c r="R225" t="str">
        <f t="shared" si="28"/>
        <v>Mist/Cloudy</v>
      </c>
      <c r="S225" t="str">
        <f t="shared" si="29"/>
        <v>Afternoon</v>
      </c>
      <c r="T225" t="str">
        <f t="shared" si="30"/>
        <v>January</v>
      </c>
      <c r="U225" t="str">
        <f t="shared" si="31"/>
        <v>Spring</v>
      </c>
      <c r="V225">
        <f t="shared" si="32"/>
        <v>0.22929155386993369</v>
      </c>
      <c r="W225">
        <f t="shared" si="33"/>
        <v>-0.25435329828790432</v>
      </c>
      <c r="X225">
        <f t="shared" si="34"/>
        <v>0.10399668008577614</v>
      </c>
      <c r="Y225">
        <f t="shared" si="35"/>
        <v>0.36604748519325236</v>
      </c>
    </row>
    <row r="226" spans="1:25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  <c r="Q226" t="str">
        <f t="shared" si="27"/>
        <v>Weekday</v>
      </c>
      <c r="R226" t="str">
        <f t="shared" si="28"/>
        <v>Mist/Cloudy</v>
      </c>
      <c r="S226" t="str">
        <f t="shared" si="29"/>
        <v>Afternoon</v>
      </c>
      <c r="T226" t="str">
        <f t="shared" si="30"/>
        <v>January</v>
      </c>
      <c r="U226" t="str">
        <f t="shared" si="31"/>
        <v>Spring</v>
      </c>
      <c r="V226">
        <f t="shared" si="32"/>
        <v>0.22929155386993369</v>
      </c>
      <c r="W226">
        <f t="shared" si="33"/>
        <v>-0.25435329828790432</v>
      </c>
      <c r="X226">
        <f t="shared" si="34"/>
        <v>0.10399668008577614</v>
      </c>
      <c r="Y226">
        <f t="shared" si="35"/>
        <v>0.36604748519325236</v>
      </c>
    </row>
    <row r="227" spans="1:25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  <c r="Q227" t="str">
        <f t="shared" si="27"/>
        <v>Weekday</v>
      </c>
      <c r="R227" t="str">
        <f t="shared" si="28"/>
        <v>Clear</v>
      </c>
      <c r="S227" t="str">
        <f t="shared" si="29"/>
        <v>Afternoon</v>
      </c>
      <c r="T227" t="str">
        <f t="shared" si="30"/>
        <v>January</v>
      </c>
      <c r="U227" t="str">
        <f t="shared" si="31"/>
        <v>Spring</v>
      </c>
      <c r="V227">
        <f t="shared" si="32"/>
        <v>0.22929155386993369</v>
      </c>
      <c r="W227">
        <f t="shared" si="33"/>
        <v>-0.25435329828790432</v>
      </c>
      <c r="X227">
        <f t="shared" si="34"/>
        <v>0.10399668008577614</v>
      </c>
      <c r="Y227">
        <f t="shared" si="35"/>
        <v>0.36604748519325236</v>
      </c>
    </row>
    <row r="228" spans="1:25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  <c r="Q228" t="str">
        <f t="shared" si="27"/>
        <v>Weekday</v>
      </c>
      <c r="R228" t="str">
        <f t="shared" si="28"/>
        <v>Clear</v>
      </c>
      <c r="S228" t="str">
        <f t="shared" si="29"/>
        <v>Evening</v>
      </c>
      <c r="T228" t="str">
        <f t="shared" si="30"/>
        <v>January</v>
      </c>
      <c r="U228" t="str">
        <f t="shared" si="31"/>
        <v>Spring</v>
      </c>
      <c r="V228">
        <f t="shared" si="32"/>
        <v>0.22929155386993369</v>
      </c>
      <c r="W228">
        <f t="shared" si="33"/>
        <v>-0.25435329828790432</v>
      </c>
      <c r="X228">
        <f t="shared" si="34"/>
        <v>0.10399668008577614</v>
      </c>
      <c r="Y228">
        <f t="shared" si="35"/>
        <v>0.36604748519325236</v>
      </c>
    </row>
    <row r="229" spans="1:25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  <c r="Q229" t="str">
        <f t="shared" si="27"/>
        <v>Weekday</v>
      </c>
      <c r="R229" t="str">
        <f t="shared" si="28"/>
        <v>Clear</v>
      </c>
      <c r="S229" t="str">
        <f t="shared" si="29"/>
        <v>Evening</v>
      </c>
      <c r="T229" t="str">
        <f t="shared" si="30"/>
        <v>January</v>
      </c>
      <c r="U229" t="str">
        <f t="shared" si="31"/>
        <v>Spring</v>
      </c>
      <c r="V229">
        <f t="shared" si="32"/>
        <v>0.22929155386993369</v>
      </c>
      <c r="W229">
        <f t="shared" si="33"/>
        <v>-0.25435329828790432</v>
      </c>
      <c r="X229">
        <f t="shared" si="34"/>
        <v>0.10399668008577614</v>
      </c>
      <c r="Y229">
        <f t="shared" si="35"/>
        <v>0.36604748519325236</v>
      </c>
    </row>
    <row r="230" spans="1:25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  <c r="Q230" t="str">
        <f t="shared" si="27"/>
        <v>Weekday</v>
      </c>
      <c r="R230" t="str">
        <f t="shared" si="28"/>
        <v>Clear</v>
      </c>
      <c r="S230" t="str">
        <f t="shared" si="29"/>
        <v>Evening</v>
      </c>
      <c r="T230" t="str">
        <f t="shared" si="30"/>
        <v>January</v>
      </c>
      <c r="U230" t="str">
        <f t="shared" si="31"/>
        <v>Spring</v>
      </c>
      <c r="V230">
        <f t="shared" si="32"/>
        <v>0.22929155386993369</v>
      </c>
      <c r="W230">
        <f t="shared" si="33"/>
        <v>-0.25435329828790432</v>
      </c>
      <c r="X230">
        <f t="shared" si="34"/>
        <v>0.10399668008577614</v>
      </c>
      <c r="Y230">
        <f t="shared" si="35"/>
        <v>0.36604748519325236</v>
      </c>
    </row>
    <row r="231" spans="1:25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  <c r="Q231" t="str">
        <f t="shared" si="27"/>
        <v>Weekday</v>
      </c>
      <c r="R231" t="str">
        <f t="shared" si="28"/>
        <v>Clear</v>
      </c>
      <c r="S231" t="str">
        <f t="shared" si="29"/>
        <v>Evening</v>
      </c>
      <c r="T231" t="str">
        <f t="shared" si="30"/>
        <v>January</v>
      </c>
      <c r="U231" t="str">
        <f t="shared" si="31"/>
        <v>Spring</v>
      </c>
      <c r="V231">
        <f t="shared" si="32"/>
        <v>0.22929155386993369</v>
      </c>
      <c r="W231">
        <f t="shared" si="33"/>
        <v>-0.25435329828790432</v>
      </c>
      <c r="X231">
        <f t="shared" si="34"/>
        <v>0.10399668008577614</v>
      </c>
      <c r="Y231">
        <f t="shared" si="35"/>
        <v>0.36604748519325236</v>
      </c>
    </row>
    <row r="232" spans="1:25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  <c r="Q232" t="str">
        <f t="shared" si="27"/>
        <v>Weekday</v>
      </c>
      <c r="R232" t="str">
        <f t="shared" si="28"/>
        <v>Clear</v>
      </c>
      <c r="S232" t="str">
        <f t="shared" si="29"/>
        <v>Night</v>
      </c>
      <c r="T232" t="str">
        <f t="shared" si="30"/>
        <v>January</v>
      </c>
      <c r="U232" t="str">
        <f t="shared" si="31"/>
        <v>Spring</v>
      </c>
      <c r="V232">
        <f t="shared" si="32"/>
        <v>0.22929155386993369</v>
      </c>
      <c r="W232">
        <f t="shared" si="33"/>
        <v>-0.25435329828790432</v>
      </c>
      <c r="X232">
        <f t="shared" si="34"/>
        <v>0.10399668008577614</v>
      </c>
      <c r="Y232">
        <f t="shared" si="35"/>
        <v>0.36604748519325236</v>
      </c>
    </row>
    <row r="233" spans="1:25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  <c r="Q233" t="str">
        <f t="shared" si="27"/>
        <v>Weekday</v>
      </c>
      <c r="R233" t="str">
        <f t="shared" si="28"/>
        <v>Clear</v>
      </c>
      <c r="S233" t="str">
        <f t="shared" si="29"/>
        <v>Night</v>
      </c>
      <c r="T233" t="str">
        <f t="shared" si="30"/>
        <v>January</v>
      </c>
      <c r="U233" t="str">
        <f t="shared" si="31"/>
        <v>Spring</v>
      </c>
      <c r="V233">
        <f t="shared" si="32"/>
        <v>0.22929155386993369</v>
      </c>
      <c r="W233">
        <f t="shared" si="33"/>
        <v>-0.25435329828790432</v>
      </c>
      <c r="X233">
        <f t="shared" si="34"/>
        <v>0.10399668008577614</v>
      </c>
      <c r="Y233">
        <f t="shared" si="35"/>
        <v>0.36604748519325236</v>
      </c>
    </row>
    <row r="234" spans="1:25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  <c r="Q234" t="str">
        <f t="shared" si="27"/>
        <v>Weekday</v>
      </c>
      <c r="R234" t="str">
        <f t="shared" si="28"/>
        <v>Clear</v>
      </c>
      <c r="S234" t="str">
        <f t="shared" si="29"/>
        <v>Night</v>
      </c>
      <c r="T234" t="str">
        <f t="shared" si="30"/>
        <v>January</v>
      </c>
      <c r="U234" t="str">
        <f t="shared" si="31"/>
        <v>Spring</v>
      </c>
      <c r="V234">
        <f t="shared" si="32"/>
        <v>0.22929155386993369</v>
      </c>
      <c r="W234">
        <f t="shared" si="33"/>
        <v>-0.25435329828790432</v>
      </c>
      <c r="X234">
        <f t="shared" si="34"/>
        <v>0.10399668008577614</v>
      </c>
      <c r="Y234">
        <f t="shared" si="35"/>
        <v>0.36604748519325236</v>
      </c>
    </row>
    <row r="235" spans="1:25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  <c r="Q235" t="str">
        <f t="shared" si="27"/>
        <v>Weekday</v>
      </c>
      <c r="R235" t="str">
        <f t="shared" si="28"/>
        <v>Clear</v>
      </c>
      <c r="S235" t="str">
        <f t="shared" si="29"/>
        <v>Night</v>
      </c>
      <c r="T235" t="str">
        <f t="shared" si="30"/>
        <v>January</v>
      </c>
      <c r="U235" t="str">
        <f t="shared" si="31"/>
        <v>Spring</v>
      </c>
      <c r="V235">
        <f t="shared" si="32"/>
        <v>0.22929155386993369</v>
      </c>
      <c r="W235">
        <f t="shared" si="33"/>
        <v>-0.25435329828790432</v>
      </c>
      <c r="X235">
        <f t="shared" si="34"/>
        <v>0.10399668008577614</v>
      </c>
      <c r="Y235">
        <f t="shared" si="35"/>
        <v>0.36604748519325236</v>
      </c>
    </row>
    <row r="236" spans="1:25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  <c r="Q236" t="str">
        <f t="shared" si="27"/>
        <v>Weekday</v>
      </c>
      <c r="R236" t="str">
        <f t="shared" si="28"/>
        <v>Clear</v>
      </c>
      <c r="S236" t="str">
        <f t="shared" si="29"/>
        <v>Night</v>
      </c>
      <c r="T236" t="str">
        <f t="shared" si="30"/>
        <v>January</v>
      </c>
      <c r="U236" t="str">
        <f t="shared" si="31"/>
        <v>Spring</v>
      </c>
      <c r="V236">
        <f t="shared" si="32"/>
        <v>0.22929155386993369</v>
      </c>
      <c r="W236">
        <f t="shared" si="33"/>
        <v>-0.25435329828790432</v>
      </c>
      <c r="X236">
        <f t="shared" si="34"/>
        <v>0.10399668008577614</v>
      </c>
      <c r="Y236">
        <f t="shared" si="35"/>
        <v>0.36604748519325236</v>
      </c>
    </row>
    <row r="237" spans="1:25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  <c r="Q237" t="str">
        <f t="shared" si="27"/>
        <v>Weekday</v>
      </c>
      <c r="R237" t="str">
        <f t="shared" si="28"/>
        <v>Mist/Cloudy</v>
      </c>
      <c r="S237" t="str">
        <f t="shared" si="29"/>
        <v>Night</v>
      </c>
      <c r="T237" t="str">
        <f t="shared" si="30"/>
        <v>January</v>
      </c>
      <c r="U237" t="str">
        <f t="shared" si="31"/>
        <v>Spring</v>
      </c>
      <c r="V237">
        <f t="shared" si="32"/>
        <v>0.22929155386993369</v>
      </c>
      <c r="W237">
        <f t="shared" si="33"/>
        <v>-0.25435329828790432</v>
      </c>
      <c r="X237">
        <f t="shared" si="34"/>
        <v>0.10399668008577614</v>
      </c>
      <c r="Y237">
        <f t="shared" si="35"/>
        <v>0.36604748519325236</v>
      </c>
    </row>
    <row r="238" spans="1:25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  <c r="Q238" t="str">
        <f t="shared" si="27"/>
        <v>Weekday</v>
      </c>
      <c r="R238" t="str">
        <f t="shared" si="28"/>
        <v>Mist/Cloudy</v>
      </c>
      <c r="S238" t="str">
        <f t="shared" si="29"/>
        <v>Night</v>
      </c>
      <c r="T238" t="str">
        <f t="shared" si="30"/>
        <v>January</v>
      </c>
      <c r="U238" t="str">
        <f t="shared" si="31"/>
        <v>Spring</v>
      </c>
      <c r="V238">
        <f t="shared" si="32"/>
        <v>0.22929155386993369</v>
      </c>
      <c r="W238">
        <f t="shared" si="33"/>
        <v>-0.25435329828790432</v>
      </c>
      <c r="X238">
        <f t="shared" si="34"/>
        <v>0.10399668008577614</v>
      </c>
      <c r="Y238">
        <f t="shared" si="35"/>
        <v>0.36604748519325236</v>
      </c>
    </row>
    <row r="239" spans="1:25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  <c r="Q239" t="str">
        <f t="shared" si="27"/>
        <v>Weekday</v>
      </c>
      <c r="R239" t="str">
        <f t="shared" si="28"/>
        <v>Mist/Cloudy</v>
      </c>
      <c r="S239" t="str">
        <f t="shared" si="29"/>
        <v>Morning</v>
      </c>
      <c r="T239" t="str">
        <f t="shared" si="30"/>
        <v>January</v>
      </c>
      <c r="U239" t="str">
        <f t="shared" si="31"/>
        <v>Spring</v>
      </c>
      <c r="V239">
        <f t="shared" si="32"/>
        <v>0.22929155386993369</v>
      </c>
      <c r="W239">
        <f t="shared" si="33"/>
        <v>-0.25435329828790432</v>
      </c>
      <c r="X239">
        <f t="shared" si="34"/>
        <v>0.10399668008577614</v>
      </c>
      <c r="Y239">
        <f t="shared" si="35"/>
        <v>0.36604748519325236</v>
      </c>
    </row>
    <row r="240" spans="1:25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  <c r="Q240" t="str">
        <f t="shared" si="27"/>
        <v>Weekday</v>
      </c>
      <c r="R240" t="str">
        <f t="shared" si="28"/>
        <v>Mist/Cloudy</v>
      </c>
      <c r="S240" t="str">
        <f t="shared" si="29"/>
        <v>Morning</v>
      </c>
      <c r="T240" t="str">
        <f t="shared" si="30"/>
        <v>January</v>
      </c>
      <c r="U240" t="str">
        <f t="shared" si="31"/>
        <v>Spring</v>
      </c>
      <c r="V240">
        <f t="shared" si="32"/>
        <v>0.22929155386993369</v>
      </c>
      <c r="W240">
        <f t="shared" si="33"/>
        <v>-0.25435329828790432</v>
      </c>
      <c r="X240">
        <f t="shared" si="34"/>
        <v>0.10399668008577614</v>
      </c>
      <c r="Y240">
        <f t="shared" si="35"/>
        <v>0.36604748519325236</v>
      </c>
    </row>
    <row r="241" spans="1:25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  <c r="Q241" t="str">
        <f t="shared" si="27"/>
        <v>Weekday</v>
      </c>
      <c r="R241" t="str">
        <f t="shared" si="28"/>
        <v>Mist/Cloudy</v>
      </c>
      <c r="S241" t="str">
        <f t="shared" si="29"/>
        <v>Morning</v>
      </c>
      <c r="T241" t="str">
        <f t="shared" si="30"/>
        <v>January</v>
      </c>
      <c r="U241" t="str">
        <f t="shared" si="31"/>
        <v>Spring</v>
      </c>
      <c r="V241">
        <f t="shared" si="32"/>
        <v>0.22929155386993369</v>
      </c>
      <c r="W241">
        <f t="shared" si="33"/>
        <v>-0.25435329828790432</v>
      </c>
      <c r="X241">
        <f t="shared" si="34"/>
        <v>0.10399668008577614</v>
      </c>
      <c r="Y241">
        <f t="shared" si="35"/>
        <v>0.36604748519325236</v>
      </c>
    </row>
    <row r="242" spans="1:25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  <c r="Q242" t="str">
        <f t="shared" si="27"/>
        <v>Weekday</v>
      </c>
      <c r="R242" t="str">
        <f t="shared" si="28"/>
        <v>Mist/Cloudy</v>
      </c>
      <c r="S242" t="str">
        <f t="shared" si="29"/>
        <v>Morning</v>
      </c>
      <c r="T242" t="str">
        <f t="shared" si="30"/>
        <v>January</v>
      </c>
      <c r="U242" t="str">
        <f t="shared" si="31"/>
        <v>Spring</v>
      </c>
      <c r="V242">
        <f t="shared" si="32"/>
        <v>0.22929155386993369</v>
      </c>
      <c r="W242">
        <f t="shared" si="33"/>
        <v>-0.25435329828790432</v>
      </c>
      <c r="X242">
        <f t="shared" si="34"/>
        <v>0.10399668008577614</v>
      </c>
      <c r="Y242">
        <f t="shared" si="35"/>
        <v>0.36604748519325236</v>
      </c>
    </row>
    <row r="243" spans="1:25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  <c r="Q243" t="str">
        <f t="shared" si="27"/>
        <v>Weekday</v>
      </c>
      <c r="R243" t="str">
        <f t="shared" si="28"/>
        <v>Mist/Cloudy</v>
      </c>
      <c r="S243" t="str">
        <f t="shared" si="29"/>
        <v>Morning</v>
      </c>
      <c r="T243" t="str">
        <f t="shared" si="30"/>
        <v>January</v>
      </c>
      <c r="U243" t="str">
        <f t="shared" si="31"/>
        <v>Spring</v>
      </c>
      <c r="V243">
        <f t="shared" si="32"/>
        <v>0.22929155386993369</v>
      </c>
      <c r="W243">
        <f t="shared" si="33"/>
        <v>-0.25435329828790432</v>
      </c>
      <c r="X243">
        <f t="shared" si="34"/>
        <v>0.10399668008577614</v>
      </c>
      <c r="Y243">
        <f t="shared" si="35"/>
        <v>0.36604748519325236</v>
      </c>
    </row>
    <row r="244" spans="1:25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  <c r="Q244" t="str">
        <f t="shared" si="27"/>
        <v>Weekday</v>
      </c>
      <c r="R244" t="str">
        <f t="shared" si="28"/>
        <v>Mist/Cloudy</v>
      </c>
      <c r="S244" t="str">
        <f t="shared" si="29"/>
        <v>Morning</v>
      </c>
      <c r="T244" t="str">
        <f t="shared" si="30"/>
        <v>January</v>
      </c>
      <c r="U244" t="str">
        <f t="shared" si="31"/>
        <v>Spring</v>
      </c>
      <c r="V244">
        <f t="shared" si="32"/>
        <v>0.22929155386993369</v>
      </c>
      <c r="W244">
        <f t="shared" si="33"/>
        <v>-0.25435329828790432</v>
      </c>
      <c r="X244">
        <f t="shared" si="34"/>
        <v>0.10399668008577614</v>
      </c>
      <c r="Y244">
        <f t="shared" si="35"/>
        <v>0.36604748519325236</v>
      </c>
    </row>
    <row r="245" spans="1:25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  <c r="Q245" t="str">
        <f t="shared" si="27"/>
        <v>Weekday</v>
      </c>
      <c r="R245" t="str">
        <f t="shared" si="28"/>
        <v>Mist/Cloudy</v>
      </c>
      <c r="S245" t="str">
        <f t="shared" si="29"/>
        <v>Afternoon</v>
      </c>
      <c r="T245" t="str">
        <f t="shared" si="30"/>
        <v>January</v>
      </c>
      <c r="U245" t="str">
        <f t="shared" si="31"/>
        <v>Spring</v>
      </c>
      <c r="V245">
        <f t="shared" si="32"/>
        <v>0.22929155386993369</v>
      </c>
      <c r="W245">
        <f t="shared" si="33"/>
        <v>-0.25435329828790432</v>
      </c>
      <c r="X245">
        <f t="shared" si="34"/>
        <v>0.10399668008577614</v>
      </c>
      <c r="Y245">
        <f t="shared" si="35"/>
        <v>0.36604748519325236</v>
      </c>
    </row>
    <row r="246" spans="1:25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  <c r="Q246" t="str">
        <f t="shared" si="27"/>
        <v>Weekday</v>
      </c>
      <c r="R246" t="str">
        <f t="shared" si="28"/>
        <v>Mist/Cloudy</v>
      </c>
      <c r="S246" t="str">
        <f t="shared" si="29"/>
        <v>Afternoon</v>
      </c>
      <c r="T246" t="str">
        <f t="shared" si="30"/>
        <v>January</v>
      </c>
      <c r="U246" t="str">
        <f t="shared" si="31"/>
        <v>Spring</v>
      </c>
      <c r="V246">
        <f t="shared" si="32"/>
        <v>0.22929155386993369</v>
      </c>
      <c r="W246">
        <f t="shared" si="33"/>
        <v>-0.25435329828790432</v>
      </c>
      <c r="X246">
        <f t="shared" si="34"/>
        <v>0.10399668008577614</v>
      </c>
      <c r="Y246">
        <f t="shared" si="35"/>
        <v>0.36604748519325236</v>
      </c>
    </row>
    <row r="247" spans="1:25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  <c r="Q247" t="str">
        <f t="shared" si="27"/>
        <v>Weekday</v>
      </c>
      <c r="R247" t="str">
        <f t="shared" si="28"/>
        <v>Mist/Cloudy</v>
      </c>
      <c r="S247" t="str">
        <f t="shared" si="29"/>
        <v>Afternoon</v>
      </c>
      <c r="T247" t="str">
        <f t="shared" si="30"/>
        <v>January</v>
      </c>
      <c r="U247" t="str">
        <f t="shared" si="31"/>
        <v>Spring</v>
      </c>
      <c r="V247">
        <f t="shared" si="32"/>
        <v>0.22929155386993369</v>
      </c>
      <c r="W247">
        <f t="shared" si="33"/>
        <v>-0.25435329828790432</v>
      </c>
      <c r="X247">
        <f t="shared" si="34"/>
        <v>0.10399668008577614</v>
      </c>
      <c r="Y247">
        <f t="shared" si="35"/>
        <v>0.36604748519325236</v>
      </c>
    </row>
    <row r="248" spans="1:25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  <c r="Q248" t="str">
        <f t="shared" si="27"/>
        <v>Weekday</v>
      </c>
      <c r="R248" t="str">
        <f t="shared" si="28"/>
        <v>Mist/Cloudy</v>
      </c>
      <c r="S248" t="str">
        <f t="shared" si="29"/>
        <v>Afternoon</v>
      </c>
      <c r="T248" t="str">
        <f t="shared" si="30"/>
        <v>January</v>
      </c>
      <c r="U248" t="str">
        <f t="shared" si="31"/>
        <v>Spring</v>
      </c>
      <c r="V248">
        <f t="shared" si="32"/>
        <v>0.22929155386993369</v>
      </c>
      <c r="W248">
        <f t="shared" si="33"/>
        <v>-0.25435329828790432</v>
      </c>
      <c r="X248">
        <f t="shared" si="34"/>
        <v>0.10399668008577614</v>
      </c>
      <c r="Y248">
        <f t="shared" si="35"/>
        <v>0.36604748519325236</v>
      </c>
    </row>
    <row r="249" spans="1:25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  <c r="Q249" t="str">
        <f t="shared" si="27"/>
        <v>Weekday</v>
      </c>
      <c r="R249" t="str">
        <f t="shared" si="28"/>
        <v>Mist/Cloudy</v>
      </c>
      <c r="S249" t="str">
        <f t="shared" si="29"/>
        <v>Afternoon</v>
      </c>
      <c r="T249" t="str">
        <f t="shared" si="30"/>
        <v>January</v>
      </c>
      <c r="U249" t="str">
        <f t="shared" si="31"/>
        <v>Spring</v>
      </c>
      <c r="V249">
        <f t="shared" si="32"/>
        <v>0.22929155386993369</v>
      </c>
      <c r="W249">
        <f t="shared" si="33"/>
        <v>-0.25435329828790432</v>
      </c>
      <c r="X249">
        <f t="shared" si="34"/>
        <v>0.10399668008577614</v>
      </c>
      <c r="Y249">
        <f t="shared" si="35"/>
        <v>0.36604748519325236</v>
      </c>
    </row>
    <row r="250" spans="1:25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  <c r="Q250" t="str">
        <f t="shared" si="27"/>
        <v>Weekday</v>
      </c>
      <c r="R250" t="str">
        <f t="shared" si="28"/>
        <v>Mist/Cloudy</v>
      </c>
      <c r="S250" t="str">
        <f t="shared" si="29"/>
        <v>Evening</v>
      </c>
      <c r="T250" t="str">
        <f t="shared" si="30"/>
        <v>January</v>
      </c>
      <c r="U250" t="str">
        <f t="shared" si="31"/>
        <v>Spring</v>
      </c>
      <c r="V250">
        <f t="shared" si="32"/>
        <v>0.22929155386993369</v>
      </c>
      <c r="W250">
        <f t="shared" si="33"/>
        <v>-0.25435329828790432</v>
      </c>
      <c r="X250">
        <f t="shared" si="34"/>
        <v>0.10399668008577614</v>
      </c>
      <c r="Y250">
        <f t="shared" si="35"/>
        <v>0.36604748519325236</v>
      </c>
    </row>
    <row r="251" spans="1:25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  <c r="Q251" t="str">
        <f t="shared" si="27"/>
        <v>Weekday</v>
      </c>
      <c r="R251" t="str">
        <f t="shared" si="28"/>
        <v>Light Rain/Snow</v>
      </c>
      <c r="S251" t="str">
        <f t="shared" si="29"/>
        <v>Evening</v>
      </c>
      <c r="T251" t="str">
        <f t="shared" si="30"/>
        <v>January</v>
      </c>
      <c r="U251" t="str">
        <f t="shared" si="31"/>
        <v>Spring</v>
      </c>
      <c r="V251">
        <f t="shared" si="32"/>
        <v>0.22929155386993369</v>
      </c>
      <c r="W251">
        <f t="shared" si="33"/>
        <v>-0.25435329828790432</v>
      </c>
      <c r="X251">
        <f t="shared" si="34"/>
        <v>0.10399668008577614</v>
      </c>
      <c r="Y251">
        <f t="shared" si="35"/>
        <v>0.36604748519325236</v>
      </c>
    </row>
    <row r="252" spans="1:25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  <c r="Q252" t="str">
        <f t="shared" si="27"/>
        <v>Weekday</v>
      </c>
      <c r="R252" t="str">
        <f t="shared" si="28"/>
        <v>Light Rain/Snow</v>
      </c>
      <c r="S252" t="str">
        <f t="shared" si="29"/>
        <v>Evening</v>
      </c>
      <c r="T252" t="str">
        <f t="shared" si="30"/>
        <v>January</v>
      </c>
      <c r="U252" t="str">
        <f t="shared" si="31"/>
        <v>Spring</v>
      </c>
      <c r="V252">
        <f t="shared" si="32"/>
        <v>0.22929155386993369</v>
      </c>
      <c r="W252">
        <f t="shared" si="33"/>
        <v>-0.25435329828790432</v>
      </c>
      <c r="X252">
        <f t="shared" si="34"/>
        <v>0.10399668008577614</v>
      </c>
      <c r="Y252">
        <f t="shared" si="35"/>
        <v>0.36604748519325236</v>
      </c>
    </row>
    <row r="253" spans="1:25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  <c r="Q253" t="str">
        <f t="shared" si="27"/>
        <v>Weekday</v>
      </c>
      <c r="R253" t="str">
        <f t="shared" si="28"/>
        <v>Light Rain/Snow</v>
      </c>
      <c r="S253" t="str">
        <f t="shared" si="29"/>
        <v>Evening</v>
      </c>
      <c r="T253" t="str">
        <f t="shared" si="30"/>
        <v>January</v>
      </c>
      <c r="U253" t="str">
        <f t="shared" si="31"/>
        <v>Spring</v>
      </c>
      <c r="V253">
        <f t="shared" si="32"/>
        <v>0.22929155386993369</v>
      </c>
      <c r="W253">
        <f t="shared" si="33"/>
        <v>-0.25435329828790432</v>
      </c>
      <c r="X253">
        <f t="shared" si="34"/>
        <v>0.10399668008577614</v>
      </c>
      <c r="Y253">
        <f t="shared" si="35"/>
        <v>0.36604748519325236</v>
      </c>
    </row>
    <row r="254" spans="1:25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  <c r="Q254" t="str">
        <f t="shared" si="27"/>
        <v>Weekday</v>
      </c>
      <c r="R254" t="str">
        <f t="shared" si="28"/>
        <v>Light Rain/Snow</v>
      </c>
      <c r="S254" t="str">
        <f t="shared" si="29"/>
        <v>Night</v>
      </c>
      <c r="T254" t="str">
        <f t="shared" si="30"/>
        <v>January</v>
      </c>
      <c r="U254" t="str">
        <f t="shared" si="31"/>
        <v>Spring</v>
      </c>
      <c r="V254">
        <f t="shared" si="32"/>
        <v>0.22929155386993369</v>
      </c>
      <c r="W254">
        <f t="shared" si="33"/>
        <v>-0.25435329828790432</v>
      </c>
      <c r="X254">
        <f t="shared" si="34"/>
        <v>0.10399668008577614</v>
      </c>
      <c r="Y254">
        <f t="shared" si="35"/>
        <v>0.36604748519325236</v>
      </c>
    </row>
    <row r="255" spans="1:25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  <c r="Q255" t="str">
        <f t="shared" si="27"/>
        <v>Weekday</v>
      </c>
      <c r="R255" t="str">
        <f t="shared" si="28"/>
        <v>Light Rain/Snow</v>
      </c>
      <c r="S255" t="str">
        <f t="shared" si="29"/>
        <v>Night</v>
      </c>
      <c r="T255" t="str">
        <f t="shared" si="30"/>
        <v>January</v>
      </c>
      <c r="U255" t="str">
        <f t="shared" si="31"/>
        <v>Spring</v>
      </c>
      <c r="V255">
        <f t="shared" si="32"/>
        <v>0.22929155386993369</v>
      </c>
      <c r="W255">
        <f t="shared" si="33"/>
        <v>-0.25435329828790432</v>
      </c>
      <c r="X255">
        <f t="shared" si="34"/>
        <v>0.10399668008577614</v>
      </c>
      <c r="Y255">
        <f t="shared" si="35"/>
        <v>0.36604748519325236</v>
      </c>
    </row>
    <row r="256" spans="1:25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  <c r="Q256" t="str">
        <f t="shared" si="27"/>
        <v>Weekday</v>
      </c>
      <c r="R256" t="str">
        <f t="shared" si="28"/>
        <v>Light Rain/Snow</v>
      </c>
      <c r="S256" t="str">
        <f t="shared" si="29"/>
        <v>Night</v>
      </c>
      <c r="T256" t="str">
        <f t="shared" si="30"/>
        <v>January</v>
      </c>
      <c r="U256" t="str">
        <f t="shared" si="31"/>
        <v>Spring</v>
      </c>
      <c r="V256">
        <f t="shared" si="32"/>
        <v>0.22929155386993369</v>
      </c>
      <c r="W256">
        <f t="shared" si="33"/>
        <v>-0.25435329828790432</v>
      </c>
      <c r="X256">
        <f t="shared" si="34"/>
        <v>0.10399668008577614</v>
      </c>
      <c r="Y256">
        <f t="shared" si="35"/>
        <v>0.36604748519325236</v>
      </c>
    </row>
    <row r="257" spans="1:25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  <c r="Q257" t="str">
        <f t="shared" si="27"/>
        <v>Weekday</v>
      </c>
      <c r="R257" t="str">
        <f t="shared" si="28"/>
        <v>Mist/Cloudy</v>
      </c>
      <c r="S257" t="str">
        <f t="shared" si="29"/>
        <v>Night</v>
      </c>
      <c r="T257" t="str">
        <f t="shared" si="30"/>
        <v>January</v>
      </c>
      <c r="U257" t="str">
        <f t="shared" si="31"/>
        <v>Spring</v>
      </c>
      <c r="V257">
        <f t="shared" si="32"/>
        <v>0.22929155386993369</v>
      </c>
      <c r="W257">
        <f t="shared" si="33"/>
        <v>-0.25435329828790432</v>
      </c>
      <c r="X257">
        <f t="shared" si="34"/>
        <v>0.10399668008577614</v>
      </c>
      <c r="Y257">
        <f t="shared" si="35"/>
        <v>0.36604748519325236</v>
      </c>
    </row>
    <row r="258" spans="1:25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  <c r="Q258" t="str">
        <f t="shared" ref="Q258:Q321" si="36">IF(OR(WEEKDAY(B258)=1, WEEKDAY(B258)=7), "Weekend", "Weekday")</f>
        <v>Weekday</v>
      </c>
      <c r="R258" t="str">
        <f t="shared" ref="R258:R321" si="37">IF(I258=1,"Clear",IF(I258=2,"Mist/Cloudy",IF(I258=3,"Light Rain/Snow","Heavy Rain/Snow")))</f>
        <v>Mist/Cloudy</v>
      </c>
      <c r="S258" t="str">
        <f t="shared" ref="S258:S321" si="38">IF(AND(F258&gt;=6, F258&lt;12), "Morning", IF(AND(F258&gt;=12, F258&lt;17), "Afternoon", IF(AND(F258&gt;=17, F258&lt;21), "Evening", "Night")))</f>
        <v>Night</v>
      </c>
      <c r="T258" t="str">
        <f t="shared" ref="T258:T321" si="39">TEXT(B258, "mmmm")</f>
        <v>January</v>
      </c>
      <c r="U258" t="str">
        <f t="shared" ref="U258:U321" si="40">CHOOSE(C258, "Spring", "Summer", "Fall", "Winter")</f>
        <v>Spring</v>
      </c>
      <c r="V258">
        <f t="shared" ref="V258:V321" si="41">CORREL($J$2:$J$1001, $P$2:$P$1001)</f>
        <v>0.22929155386993369</v>
      </c>
      <c r="W258">
        <f t="shared" ref="W258:W321" si="42">CORREL($L$2:$L$1001, $P$2:$P$1001)</f>
        <v>-0.25435329828790432</v>
      </c>
      <c r="X258">
        <f t="shared" ref="X258:X321" si="43">CORREL($M$2:$M$1001, $P$2:$P$1001)</f>
        <v>0.10399668008577614</v>
      </c>
      <c r="Y258">
        <f t="shared" ref="Y258:Y321" si="44">CORREL($F$2:$F$1001, $P$2:$P$1001)</f>
        <v>0.36604748519325236</v>
      </c>
    </row>
    <row r="259" spans="1:25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  <c r="Q259" t="str">
        <f t="shared" si="36"/>
        <v>Weekday</v>
      </c>
      <c r="R259" t="str">
        <f t="shared" si="37"/>
        <v>Clear</v>
      </c>
      <c r="S259" t="str">
        <f t="shared" si="38"/>
        <v>Night</v>
      </c>
      <c r="T259" t="str">
        <f t="shared" si="39"/>
        <v>January</v>
      </c>
      <c r="U259" t="str">
        <f t="shared" si="40"/>
        <v>Spring</v>
      </c>
      <c r="V259">
        <f t="shared" si="41"/>
        <v>0.22929155386993369</v>
      </c>
      <c r="W259">
        <f t="shared" si="42"/>
        <v>-0.25435329828790432</v>
      </c>
      <c r="X259">
        <f t="shared" si="43"/>
        <v>0.10399668008577614</v>
      </c>
      <c r="Y259">
        <f t="shared" si="44"/>
        <v>0.36604748519325236</v>
      </c>
    </row>
    <row r="260" spans="1:25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  <c r="Q260" t="str">
        <f t="shared" si="36"/>
        <v>Weekday</v>
      </c>
      <c r="R260" t="str">
        <f t="shared" si="37"/>
        <v>Clear</v>
      </c>
      <c r="S260" t="str">
        <f t="shared" si="38"/>
        <v>Night</v>
      </c>
      <c r="T260" t="str">
        <f t="shared" si="39"/>
        <v>January</v>
      </c>
      <c r="U260" t="str">
        <f t="shared" si="40"/>
        <v>Spring</v>
      </c>
      <c r="V260">
        <f t="shared" si="41"/>
        <v>0.22929155386993369</v>
      </c>
      <c r="W260">
        <f t="shared" si="42"/>
        <v>-0.25435329828790432</v>
      </c>
      <c r="X260">
        <f t="shared" si="43"/>
        <v>0.10399668008577614</v>
      </c>
      <c r="Y260">
        <f t="shared" si="44"/>
        <v>0.36604748519325236</v>
      </c>
    </row>
    <row r="261" spans="1:25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  <c r="Q261" t="str">
        <f t="shared" si="36"/>
        <v>Weekday</v>
      </c>
      <c r="R261" t="str">
        <f t="shared" si="37"/>
        <v>Clear</v>
      </c>
      <c r="S261" t="str">
        <f t="shared" si="38"/>
        <v>Morning</v>
      </c>
      <c r="T261" t="str">
        <f t="shared" si="39"/>
        <v>January</v>
      </c>
      <c r="U261" t="str">
        <f t="shared" si="40"/>
        <v>Spring</v>
      </c>
      <c r="V261">
        <f t="shared" si="41"/>
        <v>0.22929155386993369</v>
      </c>
      <c r="W261">
        <f t="shared" si="42"/>
        <v>-0.25435329828790432</v>
      </c>
      <c r="X261">
        <f t="shared" si="43"/>
        <v>0.10399668008577614</v>
      </c>
      <c r="Y261">
        <f t="shared" si="44"/>
        <v>0.36604748519325236</v>
      </c>
    </row>
    <row r="262" spans="1:25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  <c r="Q262" t="str">
        <f t="shared" si="36"/>
        <v>Weekday</v>
      </c>
      <c r="R262" t="str">
        <f t="shared" si="37"/>
        <v>Clear</v>
      </c>
      <c r="S262" t="str">
        <f t="shared" si="38"/>
        <v>Morning</v>
      </c>
      <c r="T262" t="str">
        <f t="shared" si="39"/>
        <v>January</v>
      </c>
      <c r="U262" t="str">
        <f t="shared" si="40"/>
        <v>Spring</v>
      </c>
      <c r="V262">
        <f t="shared" si="41"/>
        <v>0.22929155386993369</v>
      </c>
      <c r="W262">
        <f t="shared" si="42"/>
        <v>-0.25435329828790432</v>
      </c>
      <c r="X262">
        <f t="shared" si="43"/>
        <v>0.10399668008577614</v>
      </c>
      <c r="Y262">
        <f t="shared" si="44"/>
        <v>0.36604748519325236</v>
      </c>
    </row>
    <row r="263" spans="1:25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  <c r="Q263" t="str">
        <f t="shared" si="36"/>
        <v>Weekday</v>
      </c>
      <c r="R263" t="str">
        <f t="shared" si="37"/>
        <v>Clear</v>
      </c>
      <c r="S263" t="str">
        <f t="shared" si="38"/>
        <v>Morning</v>
      </c>
      <c r="T263" t="str">
        <f t="shared" si="39"/>
        <v>January</v>
      </c>
      <c r="U263" t="str">
        <f t="shared" si="40"/>
        <v>Spring</v>
      </c>
      <c r="V263">
        <f t="shared" si="41"/>
        <v>0.22929155386993369</v>
      </c>
      <c r="W263">
        <f t="shared" si="42"/>
        <v>-0.25435329828790432</v>
      </c>
      <c r="X263">
        <f t="shared" si="43"/>
        <v>0.10399668008577614</v>
      </c>
      <c r="Y263">
        <f t="shared" si="44"/>
        <v>0.36604748519325236</v>
      </c>
    </row>
    <row r="264" spans="1:25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  <c r="Q264" t="str">
        <f t="shared" si="36"/>
        <v>Weekday</v>
      </c>
      <c r="R264" t="str">
        <f t="shared" si="37"/>
        <v>Clear</v>
      </c>
      <c r="S264" t="str">
        <f t="shared" si="38"/>
        <v>Morning</v>
      </c>
      <c r="T264" t="str">
        <f t="shared" si="39"/>
        <v>January</v>
      </c>
      <c r="U264" t="str">
        <f t="shared" si="40"/>
        <v>Spring</v>
      </c>
      <c r="V264">
        <f t="shared" si="41"/>
        <v>0.22929155386993369</v>
      </c>
      <c r="W264">
        <f t="shared" si="42"/>
        <v>-0.25435329828790432</v>
      </c>
      <c r="X264">
        <f t="shared" si="43"/>
        <v>0.10399668008577614</v>
      </c>
      <c r="Y264">
        <f t="shared" si="44"/>
        <v>0.36604748519325236</v>
      </c>
    </row>
    <row r="265" spans="1:25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  <c r="Q265" t="str">
        <f t="shared" si="36"/>
        <v>Weekday</v>
      </c>
      <c r="R265" t="str">
        <f t="shared" si="37"/>
        <v>Clear</v>
      </c>
      <c r="S265" t="str">
        <f t="shared" si="38"/>
        <v>Morning</v>
      </c>
      <c r="T265" t="str">
        <f t="shared" si="39"/>
        <v>January</v>
      </c>
      <c r="U265" t="str">
        <f t="shared" si="40"/>
        <v>Spring</v>
      </c>
      <c r="V265">
        <f t="shared" si="41"/>
        <v>0.22929155386993369</v>
      </c>
      <c r="W265">
        <f t="shared" si="42"/>
        <v>-0.25435329828790432</v>
      </c>
      <c r="X265">
        <f t="shared" si="43"/>
        <v>0.10399668008577614</v>
      </c>
      <c r="Y265">
        <f t="shared" si="44"/>
        <v>0.36604748519325236</v>
      </c>
    </row>
    <row r="266" spans="1:25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  <c r="Q266" t="str">
        <f t="shared" si="36"/>
        <v>Weekday</v>
      </c>
      <c r="R266" t="str">
        <f t="shared" si="37"/>
        <v>Clear</v>
      </c>
      <c r="S266" t="str">
        <f t="shared" si="38"/>
        <v>Morning</v>
      </c>
      <c r="T266" t="str">
        <f t="shared" si="39"/>
        <v>January</v>
      </c>
      <c r="U266" t="str">
        <f t="shared" si="40"/>
        <v>Spring</v>
      </c>
      <c r="V266">
        <f t="shared" si="41"/>
        <v>0.22929155386993369</v>
      </c>
      <c r="W266">
        <f t="shared" si="42"/>
        <v>-0.25435329828790432</v>
      </c>
      <c r="X266">
        <f t="shared" si="43"/>
        <v>0.10399668008577614</v>
      </c>
      <c r="Y266">
        <f t="shared" si="44"/>
        <v>0.36604748519325236</v>
      </c>
    </row>
    <row r="267" spans="1:25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  <c r="Q267" t="str">
        <f t="shared" si="36"/>
        <v>Weekday</v>
      </c>
      <c r="R267" t="str">
        <f t="shared" si="37"/>
        <v>Clear</v>
      </c>
      <c r="S267" t="str">
        <f t="shared" si="38"/>
        <v>Afternoon</v>
      </c>
      <c r="T267" t="str">
        <f t="shared" si="39"/>
        <v>January</v>
      </c>
      <c r="U267" t="str">
        <f t="shared" si="40"/>
        <v>Spring</v>
      </c>
      <c r="V267">
        <f t="shared" si="41"/>
        <v>0.22929155386993369</v>
      </c>
      <c r="W267">
        <f t="shared" si="42"/>
        <v>-0.25435329828790432</v>
      </c>
      <c r="X267">
        <f t="shared" si="43"/>
        <v>0.10399668008577614</v>
      </c>
      <c r="Y267">
        <f t="shared" si="44"/>
        <v>0.36604748519325236</v>
      </c>
    </row>
    <row r="268" spans="1:25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  <c r="Q268" t="str">
        <f t="shared" si="36"/>
        <v>Weekday</v>
      </c>
      <c r="R268" t="str">
        <f t="shared" si="37"/>
        <v>Clear</v>
      </c>
      <c r="S268" t="str">
        <f t="shared" si="38"/>
        <v>Afternoon</v>
      </c>
      <c r="T268" t="str">
        <f t="shared" si="39"/>
        <v>January</v>
      </c>
      <c r="U268" t="str">
        <f t="shared" si="40"/>
        <v>Spring</v>
      </c>
      <c r="V268">
        <f t="shared" si="41"/>
        <v>0.22929155386993369</v>
      </c>
      <c r="W268">
        <f t="shared" si="42"/>
        <v>-0.25435329828790432</v>
      </c>
      <c r="X268">
        <f t="shared" si="43"/>
        <v>0.10399668008577614</v>
      </c>
      <c r="Y268">
        <f t="shared" si="44"/>
        <v>0.36604748519325236</v>
      </c>
    </row>
    <row r="269" spans="1:25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  <c r="Q269" t="str">
        <f t="shared" si="36"/>
        <v>Weekday</v>
      </c>
      <c r="R269" t="str">
        <f t="shared" si="37"/>
        <v>Clear</v>
      </c>
      <c r="S269" t="str">
        <f t="shared" si="38"/>
        <v>Afternoon</v>
      </c>
      <c r="T269" t="str">
        <f t="shared" si="39"/>
        <v>January</v>
      </c>
      <c r="U269" t="str">
        <f t="shared" si="40"/>
        <v>Spring</v>
      </c>
      <c r="V269">
        <f t="shared" si="41"/>
        <v>0.22929155386993369</v>
      </c>
      <c r="W269">
        <f t="shared" si="42"/>
        <v>-0.25435329828790432</v>
      </c>
      <c r="X269">
        <f t="shared" si="43"/>
        <v>0.10399668008577614</v>
      </c>
      <c r="Y269">
        <f t="shared" si="44"/>
        <v>0.36604748519325236</v>
      </c>
    </row>
    <row r="270" spans="1:25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  <c r="Q270" t="str">
        <f t="shared" si="36"/>
        <v>Weekday</v>
      </c>
      <c r="R270" t="str">
        <f t="shared" si="37"/>
        <v>Clear</v>
      </c>
      <c r="S270" t="str">
        <f t="shared" si="38"/>
        <v>Afternoon</v>
      </c>
      <c r="T270" t="str">
        <f t="shared" si="39"/>
        <v>January</v>
      </c>
      <c r="U270" t="str">
        <f t="shared" si="40"/>
        <v>Spring</v>
      </c>
      <c r="V270">
        <f t="shared" si="41"/>
        <v>0.22929155386993369</v>
      </c>
      <c r="W270">
        <f t="shared" si="42"/>
        <v>-0.25435329828790432</v>
      </c>
      <c r="X270">
        <f t="shared" si="43"/>
        <v>0.10399668008577614</v>
      </c>
      <c r="Y270">
        <f t="shared" si="44"/>
        <v>0.36604748519325236</v>
      </c>
    </row>
    <row r="271" spans="1:25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  <c r="Q271" t="str">
        <f t="shared" si="36"/>
        <v>Weekday</v>
      </c>
      <c r="R271" t="str">
        <f t="shared" si="37"/>
        <v>Clear</v>
      </c>
      <c r="S271" t="str">
        <f t="shared" si="38"/>
        <v>Afternoon</v>
      </c>
      <c r="T271" t="str">
        <f t="shared" si="39"/>
        <v>January</v>
      </c>
      <c r="U271" t="str">
        <f t="shared" si="40"/>
        <v>Spring</v>
      </c>
      <c r="V271">
        <f t="shared" si="41"/>
        <v>0.22929155386993369</v>
      </c>
      <c r="W271">
        <f t="shared" si="42"/>
        <v>-0.25435329828790432</v>
      </c>
      <c r="X271">
        <f t="shared" si="43"/>
        <v>0.10399668008577614</v>
      </c>
      <c r="Y271">
        <f t="shared" si="44"/>
        <v>0.36604748519325236</v>
      </c>
    </row>
    <row r="272" spans="1:25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  <c r="Q272" t="str">
        <f t="shared" si="36"/>
        <v>Weekday</v>
      </c>
      <c r="R272" t="str">
        <f t="shared" si="37"/>
        <v>Clear</v>
      </c>
      <c r="S272" t="str">
        <f t="shared" si="38"/>
        <v>Evening</v>
      </c>
      <c r="T272" t="str">
        <f t="shared" si="39"/>
        <v>January</v>
      </c>
      <c r="U272" t="str">
        <f t="shared" si="40"/>
        <v>Spring</v>
      </c>
      <c r="V272">
        <f t="shared" si="41"/>
        <v>0.22929155386993369</v>
      </c>
      <c r="W272">
        <f t="shared" si="42"/>
        <v>-0.25435329828790432</v>
      </c>
      <c r="X272">
        <f t="shared" si="43"/>
        <v>0.10399668008577614</v>
      </c>
      <c r="Y272">
        <f t="shared" si="44"/>
        <v>0.36604748519325236</v>
      </c>
    </row>
    <row r="273" spans="1:25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  <c r="Q273" t="str">
        <f t="shared" si="36"/>
        <v>Weekday</v>
      </c>
      <c r="R273" t="str">
        <f t="shared" si="37"/>
        <v>Clear</v>
      </c>
      <c r="S273" t="str">
        <f t="shared" si="38"/>
        <v>Evening</v>
      </c>
      <c r="T273" t="str">
        <f t="shared" si="39"/>
        <v>January</v>
      </c>
      <c r="U273" t="str">
        <f t="shared" si="40"/>
        <v>Spring</v>
      </c>
      <c r="V273">
        <f t="shared" si="41"/>
        <v>0.22929155386993369</v>
      </c>
      <c r="W273">
        <f t="shared" si="42"/>
        <v>-0.25435329828790432</v>
      </c>
      <c r="X273">
        <f t="shared" si="43"/>
        <v>0.10399668008577614</v>
      </c>
      <c r="Y273">
        <f t="shared" si="44"/>
        <v>0.36604748519325236</v>
      </c>
    </row>
    <row r="274" spans="1:25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  <c r="Q274" t="str">
        <f t="shared" si="36"/>
        <v>Weekday</v>
      </c>
      <c r="R274" t="str">
        <f t="shared" si="37"/>
        <v>Clear</v>
      </c>
      <c r="S274" t="str">
        <f t="shared" si="38"/>
        <v>Evening</v>
      </c>
      <c r="T274" t="str">
        <f t="shared" si="39"/>
        <v>January</v>
      </c>
      <c r="U274" t="str">
        <f t="shared" si="40"/>
        <v>Spring</v>
      </c>
      <c r="V274">
        <f t="shared" si="41"/>
        <v>0.22929155386993369</v>
      </c>
      <c r="W274">
        <f t="shared" si="42"/>
        <v>-0.25435329828790432</v>
      </c>
      <c r="X274">
        <f t="shared" si="43"/>
        <v>0.10399668008577614</v>
      </c>
      <c r="Y274">
        <f t="shared" si="44"/>
        <v>0.36604748519325236</v>
      </c>
    </row>
    <row r="275" spans="1:25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  <c r="Q275" t="str">
        <f t="shared" si="36"/>
        <v>Weekday</v>
      </c>
      <c r="R275" t="str">
        <f t="shared" si="37"/>
        <v>Clear</v>
      </c>
      <c r="S275" t="str">
        <f t="shared" si="38"/>
        <v>Evening</v>
      </c>
      <c r="T275" t="str">
        <f t="shared" si="39"/>
        <v>January</v>
      </c>
      <c r="U275" t="str">
        <f t="shared" si="40"/>
        <v>Spring</v>
      </c>
      <c r="V275">
        <f t="shared" si="41"/>
        <v>0.22929155386993369</v>
      </c>
      <c r="W275">
        <f t="shared" si="42"/>
        <v>-0.25435329828790432</v>
      </c>
      <c r="X275">
        <f t="shared" si="43"/>
        <v>0.10399668008577614</v>
      </c>
      <c r="Y275">
        <f t="shared" si="44"/>
        <v>0.36604748519325236</v>
      </c>
    </row>
    <row r="276" spans="1:25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  <c r="Q276" t="str">
        <f t="shared" si="36"/>
        <v>Weekday</v>
      </c>
      <c r="R276" t="str">
        <f t="shared" si="37"/>
        <v>Clear</v>
      </c>
      <c r="S276" t="str">
        <f t="shared" si="38"/>
        <v>Night</v>
      </c>
      <c r="T276" t="str">
        <f t="shared" si="39"/>
        <v>January</v>
      </c>
      <c r="U276" t="str">
        <f t="shared" si="40"/>
        <v>Spring</v>
      </c>
      <c r="V276">
        <f t="shared" si="41"/>
        <v>0.22929155386993369</v>
      </c>
      <c r="W276">
        <f t="shared" si="42"/>
        <v>-0.25435329828790432</v>
      </c>
      <c r="X276">
        <f t="shared" si="43"/>
        <v>0.10399668008577614</v>
      </c>
      <c r="Y276">
        <f t="shared" si="44"/>
        <v>0.36604748519325236</v>
      </c>
    </row>
    <row r="277" spans="1:25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  <c r="Q277" t="str">
        <f t="shared" si="36"/>
        <v>Weekday</v>
      </c>
      <c r="R277" t="str">
        <f t="shared" si="37"/>
        <v>Clear</v>
      </c>
      <c r="S277" t="str">
        <f t="shared" si="38"/>
        <v>Night</v>
      </c>
      <c r="T277" t="str">
        <f t="shared" si="39"/>
        <v>January</v>
      </c>
      <c r="U277" t="str">
        <f t="shared" si="40"/>
        <v>Spring</v>
      </c>
      <c r="V277">
        <f t="shared" si="41"/>
        <v>0.22929155386993369</v>
      </c>
      <c r="W277">
        <f t="shared" si="42"/>
        <v>-0.25435329828790432</v>
      </c>
      <c r="X277">
        <f t="shared" si="43"/>
        <v>0.10399668008577614</v>
      </c>
      <c r="Y277">
        <f t="shared" si="44"/>
        <v>0.36604748519325236</v>
      </c>
    </row>
    <row r="278" spans="1:25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  <c r="Q278" t="str">
        <f t="shared" si="36"/>
        <v>Weekday</v>
      </c>
      <c r="R278" t="str">
        <f t="shared" si="37"/>
        <v>Clear</v>
      </c>
      <c r="S278" t="str">
        <f t="shared" si="38"/>
        <v>Night</v>
      </c>
      <c r="T278" t="str">
        <f t="shared" si="39"/>
        <v>January</v>
      </c>
      <c r="U278" t="str">
        <f t="shared" si="40"/>
        <v>Spring</v>
      </c>
      <c r="V278">
        <f t="shared" si="41"/>
        <v>0.22929155386993369</v>
      </c>
      <c r="W278">
        <f t="shared" si="42"/>
        <v>-0.25435329828790432</v>
      </c>
      <c r="X278">
        <f t="shared" si="43"/>
        <v>0.10399668008577614</v>
      </c>
      <c r="Y278">
        <f t="shared" si="44"/>
        <v>0.36604748519325236</v>
      </c>
    </row>
    <row r="279" spans="1:25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  <c r="Q279" t="str">
        <f t="shared" si="36"/>
        <v>Weekday</v>
      </c>
      <c r="R279" t="str">
        <f t="shared" si="37"/>
        <v>Clear</v>
      </c>
      <c r="S279" t="str">
        <f t="shared" si="38"/>
        <v>Night</v>
      </c>
      <c r="T279" t="str">
        <f t="shared" si="39"/>
        <v>January</v>
      </c>
      <c r="U279" t="str">
        <f t="shared" si="40"/>
        <v>Spring</v>
      </c>
      <c r="V279">
        <f t="shared" si="41"/>
        <v>0.22929155386993369</v>
      </c>
      <c r="W279">
        <f t="shared" si="42"/>
        <v>-0.25435329828790432</v>
      </c>
      <c r="X279">
        <f t="shared" si="43"/>
        <v>0.10399668008577614</v>
      </c>
      <c r="Y279">
        <f t="shared" si="44"/>
        <v>0.36604748519325236</v>
      </c>
    </row>
    <row r="280" spans="1:25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  <c r="Q280" t="str">
        <f t="shared" si="36"/>
        <v>Weekday</v>
      </c>
      <c r="R280" t="str">
        <f t="shared" si="37"/>
        <v>Clear</v>
      </c>
      <c r="S280" t="str">
        <f t="shared" si="38"/>
        <v>Night</v>
      </c>
      <c r="T280" t="str">
        <f t="shared" si="39"/>
        <v>January</v>
      </c>
      <c r="U280" t="str">
        <f t="shared" si="40"/>
        <v>Spring</v>
      </c>
      <c r="V280">
        <f t="shared" si="41"/>
        <v>0.22929155386993369</v>
      </c>
      <c r="W280">
        <f t="shared" si="42"/>
        <v>-0.25435329828790432</v>
      </c>
      <c r="X280">
        <f t="shared" si="43"/>
        <v>0.10399668008577614</v>
      </c>
      <c r="Y280">
        <f t="shared" si="44"/>
        <v>0.36604748519325236</v>
      </c>
    </row>
    <row r="281" spans="1:25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  <c r="Q281" t="str">
        <f t="shared" si="36"/>
        <v>Weekday</v>
      </c>
      <c r="R281" t="str">
        <f t="shared" si="37"/>
        <v>Clear</v>
      </c>
      <c r="S281" t="str">
        <f t="shared" si="38"/>
        <v>Night</v>
      </c>
      <c r="T281" t="str">
        <f t="shared" si="39"/>
        <v>January</v>
      </c>
      <c r="U281" t="str">
        <f t="shared" si="40"/>
        <v>Spring</v>
      </c>
      <c r="V281">
        <f t="shared" si="41"/>
        <v>0.22929155386993369</v>
      </c>
      <c r="W281">
        <f t="shared" si="42"/>
        <v>-0.25435329828790432</v>
      </c>
      <c r="X281">
        <f t="shared" si="43"/>
        <v>0.10399668008577614</v>
      </c>
      <c r="Y281">
        <f t="shared" si="44"/>
        <v>0.36604748519325236</v>
      </c>
    </row>
    <row r="282" spans="1:25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  <c r="Q282" t="str">
        <f t="shared" si="36"/>
        <v>Weekday</v>
      </c>
      <c r="R282" t="str">
        <f t="shared" si="37"/>
        <v>Clear</v>
      </c>
      <c r="S282" t="str">
        <f t="shared" si="38"/>
        <v>Night</v>
      </c>
      <c r="T282" t="str">
        <f t="shared" si="39"/>
        <v>January</v>
      </c>
      <c r="U282" t="str">
        <f t="shared" si="40"/>
        <v>Spring</v>
      </c>
      <c r="V282">
        <f t="shared" si="41"/>
        <v>0.22929155386993369</v>
      </c>
      <c r="W282">
        <f t="shared" si="42"/>
        <v>-0.25435329828790432</v>
      </c>
      <c r="X282">
        <f t="shared" si="43"/>
        <v>0.10399668008577614</v>
      </c>
      <c r="Y282">
        <f t="shared" si="44"/>
        <v>0.36604748519325236</v>
      </c>
    </row>
    <row r="283" spans="1:25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  <c r="Q283" t="str">
        <f t="shared" si="36"/>
        <v>Weekday</v>
      </c>
      <c r="R283" t="str">
        <f t="shared" si="37"/>
        <v>Clear</v>
      </c>
      <c r="S283" t="str">
        <f t="shared" si="38"/>
        <v>Night</v>
      </c>
      <c r="T283" t="str">
        <f t="shared" si="39"/>
        <v>January</v>
      </c>
      <c r="U283" t="str">
        <f t="shared" si="40"/>
        <v>Spring</v>
      </c>
      <c r="V283">
        <f t="shared" si="41"/>
        <v>0.22929155386993369</v>
      </c>
      <c r="W283">
        <f t="shared" si="42"/>
        <v>-0.25435329828790432</v>
      </c>
      <c r="X283">
        <f t="shared" si="43"/>
        <v>0.10399668008577614</v>
      </c>
      <c r="Y283">
        <f t="shared" si="44"/>
        <v>0.36604748519325236</v>
      </c>
    </row>
    <row r="284" spans="1:25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  <c r="Q284" t="str">
        <f t="shared" si="36"/>
        <v>Weekday</v>
      </c>
      <c r="R284" t="str">
        <f t="shared" si="37"/>
        <v>Clear</v>
      </c>
      <c r="S284" t="str">
        <f t="shared" si="38"/>
        <v>Night</v>
      </c>
      <c r="T284" t="str">
        <f t="shared" si="39"/>
        <v>January</v>
      </c>
      <c r="U284" t="str">
        <f t="shared" si="40"/>
        <v>Spring</v>
      </c>
      <c r="V284">
        <f t="shared" si="41"/>
        <v>0.22929155386993369</v>
      </c>
      <c r="W284">
        <f t="shared" si="42"/>
        <v>-0.25435329828790432</v>
      </c>
      <c r="X284">
        <f t="shared" si="43"/>
        <v>0.10399668008577614</v>
      </c>
      <c r="Y284">
        <f t="shared" si="44"/>
        <v>0.36604748519325236</v>
      </c>
    </row>
    <row r="285" spans="1:25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  <c r="Q285" t="str">
        <f t="shared" si="36"/>
        <v>Weekday</v>
      </c>
      <c r="R285" t="str">
        <f t="shared" si="37"/>
        <v>Clear</v>
      </c>
      <c r="S285" t="str">
        <f t="shared" si="38"/>
        <v>Morning</v>
      </c>
      <c r="T285" t="str">
        <f t="shared" si="39"/>
        <v>January</v>
      </c>
      <c r="U285" t="str">
        <f t="shared" si="40"/>
        <v>Spring</v>
      </c>
      <c r="V285">
        <f t="shared" si="41"/>
        <v>0.22929155386993369</v>
      </c>
      <c r="W285">
        <f t="shared" si="42"/>
        <v>-0.25435329828790432</v>
      </c>
      <c r="X285">
        <f t="shared" si="43"/>
        <v>0.10399668008577614</v>
      </c>
      <c r="Y285">
        <f t="shared" si="44"/>
        <v>0.36604748519325236</v>
      </c>
    </row>
    <row r="286" spans="1:25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  <c r="Q286" t="str">
        <f t="shared" si="36"/>
        <v>Weekday</v>
      </c>
      <c r="R286" t="str">
        <f t="shared" si="37"/>
        <v>Clear</v>
      </c>
      <c r="S286" t="str">
        <f t="shared" si="38"/>
        <v>Morning</v>
      </c>
      <c r="T286" t="str">
        <f t="shared" si="39"/>
        <v>January</v>
      </c>
      <c r="U286" t="str">
        <f t="shared" si="40"/>
        <v>Spring</v>
      </c>
      <c r="V286">
        <f t="shared" si="41"/>
        <v>0.22929155386993369</v>
      </c>
      <c r="W286">
        <f t="shared" si="42"/>
        <v>-0.25435329828790432</v>
      </c>
      <c r="X286">
        <f t="shared" si="43"/>
        <v>0.10399668008577614</v>
      </c>
      <c r="Y286">
        <f t="shared" si="44"/>
        <v>0.36604748519325236</v>
      </c>
    </row>
    <row r="287" spans="1:25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  <c r="Q287" t="str">
        <f t="shared" si="36"/>
        <v>Weekday</v>
      </c>
      <c r="R287" t="str">
        <f t="shared" si="37"/>
        <v>Clear</v>
      </c>
      <c r="S287" t="str">
        <f t="shared" si="38"/>
        <v>Morning</v>
      </c>
      <c r="T287" t="str">
        <f t="shared" si="39"/>
        <v>January</v>
      </c>
      <c r="U287" t="str">
        <f t="shared" si="40"/>
        <v>Spring</v>
      </c>
      <c r="V287">
        <f t="shared" si="41"/>
        <v>0.22929155386993369</v>
      </c>
      <c r="W287">
        <f t="shared" si="42"/>
        <v>-0.25435329828790432</v>
      </c>
      <c r="X287">
        <f t="shared" si="43"/>
        <v>0.10399668008577614</v>
      </c>
      <c r="Y287">
        <f t="shared" si="44"/>
        <v>0.36604748519325236</v>
      </c>
    </row>
    <row r="288" spans="1:25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  <c r="Q288" t="str">
        <f t="shared" si="36"/>
        <v>Weekday</v>
      </c>
      <c r="R288" t="str">
        <f t="shared" si="37"/>
        <v>Clear</v>
      </c>
      <c r="S288" t="str">
        <f t="shared" si="38"/>
        <v>Morning</v>
      </c>
      <c r="T288" t="str">
        <f t="shared" si="39"/>
        <v>January</v>
      </c>
      <c r="U288" t="str">
        <f t="shared" si="40"/>
        <v>Spring</v>
      </c>
      <c r="V288">
        <f t="shared" si="41"/>
        <v>0.22929155386993369</v>
      </c>
      <c r="W288">
        <f t="shared" si="42"/>
        <v>-0.25435329828790432</v>
      </c>
      <c r="X288">
        <f t="shared" si="43"/>
        <v>0.10399668008577614</v>
      </c>
      <c r="Y288">
        <f t="shared" si="44"/>
        <v>0.36604748519325236</v>
      </c>
    </row>
    <row r="289" spans="1:25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  <c r="Q289" t="str">
        <f t="shared" si="36"/>
        <v>Weekday</v>
      </c>
      <c r="R289" t="str">
        <f t="shared" si="37"/>
        <v>Mist/Cloudy</v>
      </c>
      <c r="S289" t="str">
        <f t="shared" si="38"/>
        <v>Morning</v>
      </c>
      <c r="T289" t="str">
        <f t="shared" si="39"/>
        <v>January</v>
      </c>
      <c r="U289" t="str">
        <f t="shared" si="40"/>
        <v>Spring</v>
      </c>
      <c r="V289">
        <f t="shared" si="41"/>
        <v>0.22929155386993369</v>
      </c>
      <c r="W289">
        <f t="shared" si="42"/>
        <v>-0.25435329828790432</v>
      </c>
      <c r="X289">
        <f t="shared" si="43"/>
        <v>0.10399668008577614</v>
      </c>
      <c r="Y289">
        <f t="shared" si="44"/>
        <v>0.36604748519325236</v>
      </c>
    </row>
    <row r="290" spans="1:25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  <c r="Q290" t="str">
        <f t="shared" si="36"/>
        <v>Weekday</v>
      </c>
      <c r="R290" t="str">
        <f t="shared" si="37"/>
        <v>Mist/Cloudy</v>
      </c>
      <c r="S290" t="str">
        <f t="shared" si="38"/>
        <v>Morning</v>
      </c>
      <c r="T290" t="str">
        <f t="shared" si="39"/>
        <v>January</v>
      </c>
      <c r="U290" t="str">
        <f t="shared" si="40"/>
        <v>Spring</v>
      </c>
      <c r="V290">
        <f t="shared" si="41"/>
        <v>0.22929155386993369</v>
      </c>
      <c r="W290">
        <f t="shared" si="42"/>
        <v>-0.25435329828790432</v>
      </c>
      <c r="X290">
        <f t="shared" si="43"/>
        <v>0.10399668008577614</v>
      </c>
      <c r="Y290">
        <f t="shared" si="44"/>
        <v>0.36604748519325236</v>
      </c>
    </row>
    <row r="291" spans="1:25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  <c r="Q291" t="str">
        <f t="shared" si="36"/>
        <v>Weekday</v>
      </c>
      <c r="R291" t="str">
        <f t="shared" si="37"/>
        <v>Clear</v>
      </c>
      <c r="S291" t="str">
        <f t="shared" si="38"/>
        <v>Afternoon</v>
      </c>
      <c r="T291" t="str">
        <f t="shared" si="39"/>
        <v>January</v>
      </c>
      <c r="U291" t="str">
        <f t="shared" si="40"/>
        <v>Spring</v>
      </c>
      <c r="V291">
        <f t="shared" si="41"/>
        <v>0.22929155386993369</v>
      </c>
      <c r="W291">
        <f t="shared" si="42"/>
        <v>-0.25435329828790432</v>
      </c>
      <c r="X291">
        <f t="shared" si="43"/>
        <v>0.10399668008577614</v>
      </c>
      <c r="Y291">
        <f t="shared" si="44"/>
        <v>0.36604748519325236</v>
      </c>
    </row>
    <row r="292" spans="1:25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  <c r="Q292" t="str">
        <f t="shared" si="36"/>
        <v>Weekday</v>
      </c>
      <c r="R292" t="str">
        <f t="shared" si="37"/>
        <v>Clear</v>
      </c>
      <c r="S292" t="str">
        <f t="shared" si="38"/>
        <v>Afternoon</v>
      </c>
      <c r="T292" t="str">
        <f t="shared" si="39"/>
        <v>January</v>
      </c>
      <c r="U292" t="str">
        <f t="shared" si="40"/>
        <v>Spring</v>
      </c>
      <c r="V292">
        <f t="shared" si="41"/>
        <v>0.22929155386993369</v>
      </c>
      <c r="W292">
        <f t="shared" si="42"/>
        <v>-0.25435329828790432</v>
      </c>
      <c r="X292">
        <f t="shared" si="43"/>
        <v>0.10399668008577614</v>
      </c>
      <c r="Y292">
        <f t="shared" si="44"/>
        <v>0.36604748519325236</v>
      </c>
    </row>
    <row r="293" spans="1:25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  <c r="Q293" t="str">
        <f t="shared" si="36"/>
        <v>Weekday</v>
      </c>
      <c r="R293" t="str">
        <f t="shared" si="37"/>
        <v>Clear</v>
      </c>
      <c r="S293" t="str">
        <f t="shared" si="38"/>
        <v>Afternoon</v>
      </c>
      <c r="T293" t="str">
        <f t="shared" si="39"/>
        <v>January</v>
      </c>
      <c r="U293" t="str">
        <f t="shared" si="40"/>
        <v>Spring</v>
      </c>
      <c r="V293">
        <f t="shared" si="41"/>
        <v>0.22929155386993369</v>
      </c>
      <c r="W293">
        <f t="shared" si="42"/>
        <v>-0.25435329828790432</v>
      </c>
      <c r="X293">
        <f t="shared" si="43"/>
        <v>0.10399668008577614</v>
      </c>
      <c r="Y293">
        <f t="shared" si="44"/>
        <v>0.36604748519325236</v>
      </c>
    </row>
    <row r="294" spans="1:25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  <c r="Q294" t="str">
        <f t="shared" si="36"/>
        <v>Weekday</v>
      </c>
      <c r="R294" t="str">
        <f t="shared" si="37"/>
        <v>Clear</v>
      </c>
      <c r="S294" t="str">
        <f t="shared" si="38"/>
        <v>Afternoon</v>
      </c>
      <c r="T294" t="str">
        <f t="shared" si="39"/>
        <v>January</v>
      </c>
      <c r="U294" t="str">
        <f t="shared" si="40"/>
        <v>Spring</v>
      </c>
      <c r="V294">
        <f t="shared" si="41"/>
        <v>0.22929155386993369</v>
      </c>
      <c r="W294">
        <f t="shared" si="42"/>
        <v>-0.25435329828790432</v>
      </c>
      <c r="X294">
        <f t="shared" si="43"/>
        <v>0.10399668008577614</v>
      </c>
      <c r="Y294">
        <f t="shared" si="44"/>
        <v>0.36604748519325236</v>
      </c>
    </row>
    <row r="295" spans="1:25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  <c r="Q295" t="str">
        <f t="shared" si="36"/>
        <v>Weekday</v>
      </c>
      <c r="R295" t="str">
        <f t="shared" si="37"/>
        <v>Clear</v>
      </c>
      <c r="S295" t="str">
        <f t="shared" si="38"/>
        <v>Afternoon</v>
      </c>
      <c r="T295" t="str">
        <f t="shared" si="39"/>
        <v>January</v>
      </c>
      <c r="U295" t="str">
        <f t="shared" si="40"/>
        <v>Spring</v>
      </c>
      <c r="V295">
        <f t="shared" si="41"/>
        <v>0.22929155386993369</v>
      </c>
      <c r="W295">
        <f t="shared" si="42"/>
        <v>-0.25435329828790432</v>
      </c>
      <c r="X295">
        <f t="shared" si="43"/>
        <v>0.10399668008577614</v>
      </c>
      <c r="Y295">
        <f t="shared" si="44"/>
        <v>0.36604748519325236</v>
      </c>
    </row>
    <row r="296" spans="1:25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  <c r="Q296" t="str">
        <f t="shared" si="36"/>
        <v>Weekday</v>
      </c>
      <c r="R296" t="str">
        <f t="shared" si="37"/>
        <v>Clear</v>
      </c>
      <c r="S296" t="str">
        <f t="shared" si="38"/>
        <v>Evening</v>
      </c>
      <c r="T296" t="str">
        <f t="shared" si="39"/>
        <v>January</v>
      </c>
      <c r="U296" t="str">
        <f t="shared" si="40"/>
        <v>Spring</v>
      </c>
      <c r="V296">
        <f t="shared" si="41"/>
        <v>0.22929155386993369</v>
      </c>
      <c r="W296">
        <f t="shared" si="42"/>
        <v>-0.25435329828790432</v>
      </c>
      <c r="X296">
        <f t="shared" si="43"/>
        <v>0.10399668008577614</v>
      </c>
      <c r="Y296">
        <f t="shared" si="44"/>
        <v>0.36604748519325236</v>
      </c>
    </row>
    <row r="297" spans="1:25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  <c r="Q297" t="str">
        <f t="shared" si="36"/>
        <v>Weekday</v>
      </c>
      <c r="R297" t="str">
        <f t="shared" si="37"/>
        <v>Clear</v>
      </c>
      <c r="S297" t="str">
        <f t="shared" si="38"/>
        <v>Evening</v>
      </c>
      <c r="T297" t="str">
        <f t="shared" si="39"/>
        <v>January</v>
      </c>
      <c r="U297" t="str">
        <f t="shared" si="40"/>
        <v>Spring</v>
      </c>
      <c r="V297">
        <f t="shared" si="41"/>
        <v>0.22929155386993369</v>
      </c>
      <c r="W297">
        <f t="shared" si="42"/>
        <v>-0.25435329828790432</v>
      </c>
      <c r="X297">
        <f t="shared" si="43"/>
        <v>0.10399668008577614</v>
      </c>
      <c r="Y297">
        <f t="shared" si="44"/>
        <v>0.36604748519325236</v>
      </c>
    </row>
    <row r="298" spans="1:25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  <c r="Q298" t="str">
        <f t="shared" si="36"/>
        <v>Weekday</v>
      </c>
      <c r="R298" t="str">
        <f t="shared" si="37"/>
        <v>Clear</v>
      </c>
      <c r="S298" t="str">
        <f t="shared" si="38"/>
        <v>Evening</v>
      </c>
      <c r="T298" t="str">
        <f t="shared" si="39"/>
        <v>January</v>
      </c>
      <c r="U298" t="str">
        <f t="shared" si="40"/>
        <v>Spring</v>
      </c>
      <c r="V298">
        <f t="shared" si="41"/>
        <v>0.22929155386993369</v>
      </c>
      <c r="W298">
        <f t="shared" si="42"/>
        <v>-0.25435329828790432</v>
      </c>
      <c r="X298">
        <f t="shared" si="43"/>
        <v>0.10399668008577614</v>
      </c>
      <c r="Y298">
        <f t="shared" si="44"/>
        <v>0.36604748519325236</v>
      </c>
    </row>
    <row r="299" spans="1:25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  <c r="Q299" t="str">
        <f t="shared" si="36"/>
        <v>Weekday</v>
      </c>
      <c r="R299" t="str">
        <f t="shared" si="37"/>
        <v>Clear</v>
      </c>
      <c r="S299" t="str">
        <f t="shared" si="38"/>
        <v>Evening</v>
      </c>
      <c r="T299" t="str">
        <f t="shared" si="39"/>
        <v>January</v>
      </c>
      <c r="U299" t="str">
        <f t="shared" si="40"/>
        <v>Spring</v>
      </c>
      <c r="V299">
        <f t="shared" si="41"/>
        <v>0.22929155386993369</v>
      </c>
      <c r="W299">
        <f t="shared" si="42"/>
        <v>-0.25435329828790432</v>
      </c>
      <c r="X299">
        <f t="shared" si="43"/>
        <v>0.10399668008577614</v>
      </c>
      <c r="Y299">
        <f t="shared" si="44"/>
        <v>0.36604748519325236</v>
      </c>
    </row>
    <row r="300" spans="1:25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  <c r="Q300" t="str">
        <f t="shared" si="36"/>
        <v>Weekday</v>
      </c>
      <c r="R300" t="str">
        <f t="shared" si="37"/>
        <v>Clear</v>
      </c>
      <c r="S300" t="str">
        <f t="shared" si="38"/>
        <v>Night</v>
      </c>
      <c r="T300" t="str">
        <f t="shared" si="39"/>
        <v>January</v>
      </c>
      <c r="U300" t="str">
        <f t="shared" si="40"/>
        <v>Spring</v>
      </c>
      <c r="V300">
        <f t="shared" si="41"/>
        <v>0.22929155386993369</v>
      </c>
      <c r="W300">
        <f t="shared" si="42"/>
        <v>-0.25435329828790432</v>
      </c>
      <c r="X300">
        <f t="shared" si="43"/>
        <v>0.10399668008577614</v>
      </c>
      <c r="Y300">
        <f t="shared" si="44"/>
        <v>0.36604748519325236</v>
      </c>
    </row>
    <row r="301" spans="1:25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  <c r="Q301" t="str">
        <f t="shared" si="36"/>
        <v>Weekday</v>
      </c>
      <c r="R301" t="str">
        <f t="shared" si="37"/>
        <v>Clear</v>
      </c>
      <c r="S301" t="str">
        <f t="shared" si="38"/>
        <v>Night</v>
      </c>
      <c r="T301" t="str">
        <f t="shared" si="39"/>
        <v>January</v>
      </c>
      <c r="U301" t="str">
        <f t="shared" si="40"/>
        <v>Spring</v>
      </c>
      <c r="V301">
        <f t="shared" si="41"/>
        <v>0.22929155386993369</v>
      </c>
      <c r="W301">
        <f t="shared" si="42"/>
        <v>-0.25435329828790432</v>
      </c>
      <c r="X301">
        <f t="shared" si="43"/>
        <v>0.10399668008577614</v>
      </c>
      <c r="Y301">
        <f t="shared" si="44"/>
        <v>0.36604748519325236</v>
      </c>
    </row>
    <row r="302" spans="1:25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  <c r="Q302" t="str">
        <f t="shared" si="36"/>
        <v>Weekday</v>
      </c>
      <c r="R302" t="str">
        <f t="shared" si="37"/>
        <v>Clear</v>
      </c>
      <c r="S302" t="str">
        <f t="shared" si="38"/>
        <v>Night</v>
      </c>
      <c r="T302" t="str">
        <f t="shared" si="39"/>
        <v>January</v>
      </c>
      <c r="U302" t="str">
        <f t="shared" si="40"/>
        <v>Spring</v>
      </c>
      <c r="V302">
        <f t="shared" si="41"/>
        <v>0.22929155386993369</v>
      </c>
      <c r="W302">
        <f t="shared" si="42"/>
        <v>-0.25435329828790432</v>
      </c>
      <c r="X302">
        <f t="shared" si="43"/>
        <v>0.10399668008577614</v>
      </c>
      <c r="Y302">
        <f t="shared" si="44"/>
        <v>0.36604748519325236</v>
      </c>
    </row>
    <row r="303" spans="1:25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  <c r="Q303" t="str">
        <f t="shared" si="36"/>
        <v>Weekday</v>
      </c>
      <c r="R303" t="str">
        <f t="shared" si="37"/>
        <v>Clear</v>
      </c>
      <c r="S303" t="str">
        <f t="shared" si="38"/>
        <v>Night</v>
      </c>
      <c r="T303" t="str">
        <f t="shared" si="39"/>
        <v>January</v>
      </c>
      <c r="U303" t="str">
        <f t="shared" si="40"/>
        <v>Spring</v>
      </c>
      <c r="V303">
        <f t="shared" si="41"/>
        <v>0.22929155386993369</v>
      </c>
      <c r="W303">
        <f t="shared" si="42"/>
        <v>-0.25435329828790432</v>
      </c>
      <c r="X303">
        <f t="shared" si="43"/>
        <v>0.10399668008577614</v>
      </c>
      <c r="Y303">
        <f t="shared" si="44"/>
        <v>0.36604748519325236</v>
      </c>
    </row>
    <row r="304" spans="1:25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  <c r="Q304" t="str">
        <f t="shared" si="36"/>
        <v>Weekday</v>
      </c>
      <c r="R304" t="str">
        <f t="shared" si="37"/>
        <v>Clear</v>
      </c>
      <c r="S304" t="str">
        <f t="shared" si="38"/>
        <v>Night</v>
      </c>
      <c r="T304" t="str">
        <f t="shared" si="39"/>
        <v>January</v>
      </c>
      <c r="U304" t="str">
        <f t="shared" si="40"/>
        <v>Spring</v>
      </c>
      <c r="V304">
        <f t="shared" si="41"/>
        <v>0.22929155386993369</v>
      </c>
      <c r="W304">
        <f t="shared" si="42"/>
        <v>-0.25435329828790432</v>
      </c>
      <c r="X304">
        <f t="shared" si="43"/>
        <v>0.10399668008577614</v>
      </c>
      <c r="Y304">
        <f t="shared" si="44"/>
        <v>0.36604748519325236</v>
      </c>
    </row>
    <row r="305" spans="1:25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  <c r="Q305" t="str">
        <f t="shared" si="36"/>
        <v>Weekday</v>
      </c>
      <c r="R305" t="str">
        <f t="shared" si="37"/>
        <v>Clear</v>
      </c>
      <c r="S305" t="str">
        <f t="shared" si="38"/>
        <v>Night</v>
      </c>
      <c r="T305" t="str">
        <f t="shared" si="39"/>
        <v>January</v>
      </c>
      <c r="U305" t="str">
        <f t="shared" si="40"/>
        <v>Spring</v>
      </c>
      <c r="V305">
        <f t="shared" si="41"/>
        <v>0.22929155386993369</v>
      </c>
      <c r="W305">
        <f t="shared" si="42"/>
        <v>-0.25435329828790432</v>
      </c>
      <c r="X305">
        <f t="shared" si="43"/>
        <v>0.10399668008577614</v>
      </c>
      <c r="Y305">
        <f t="shared" si="44"/>
        <v>0.36604748519325236</v>
      </c>
    </row>
    <row r="306" spans="1:25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  <c r="Q306" t="str">
        <f t="shared" si="36"/>
        <v>Weekday</v>
      </c>
      <c r="R306" t="str">
        <f t="shared" si="37"/>
        <v>Clear</v>
      </c>
      <c r="S306" t="str">
        <f t="shared" si="38"/>
        <v>Night</v>
      </c>
      <c r="T306" t="str">
        <f t="shared" si="39"/>
        <v>January</v>
      </c>
      <c r="U306" t="str">
        <f t="shared" si="40"/>
        <v>Spring</v>
      </c>
      <c r="V306">
        <f t="shared" si="41"/>
        <v>0.22929155386993369</v>
      </c>
      <c r="W306">
        <f t="shared" si="42"/>
        <v>-0.25435329828790432</v>
      </c>
      <c r="X306">
        <f t="shared" si="43"/>
        <v>0.10399668008577614</v>
      </c>
      <c r="Y306">
        <f t="shared" si="44"/>
        <v>0.36604748519325236</v>
      </c>
    </row>
    <row r="307" spans="1:25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  <c r="Q307" t="str">
        <f t="shared" si="36"/>
        <v>Weekday</v>
      </c>
      <c r="R307" t="str">
        <f t="shared" si="37"/>
        <v>Clear</v>
      </c>
      <c r="S307" t="str">
        <f t="shared" si="38"/>
        <v>Night</v>
      </c>
      <c r="T307" t="str">
        <f t="shared" si="39"/>
        <v>January</v>
      </c>
      <c r="U307" t="str">
        <f t="shared" si="40"/>
        <v>Spring</v>
      </c>
      <c r="V307">
        <f t="shared" si="41"/>
        <v>0.22929155386993369</v>
      </c>
      <c r="W307">
        <f t="shared" si="42"/>
        <v>-0.25435329828790432</v>
      </c>
      <c r="X307">
        <f t="shared" si="43"/>
        <v>0.10399668008577614</v>
      </c>
      <c r="Y307">
        <f t="shared" si="44"/>
        <v>0.36604748519325236</v>
      </c>
    </row>
    <row r="308" spans="1:25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  <c r="Q308" t="str">
        <f t="shared" si="36"/>
        <v>Weekday</v>
      </c>
      <c r="R308" t="str">
        <f t="shared" si="37"/>
        <v>Clear</v>
      </c>
      <c r="S308" t="str">
        <f t="shared" si="38"/>
        <v>Morning</v>
      </c>
      <c r="T308" t="str">
        <f t="shared" si="39"/>
        <v>January</v>
      </c>
      <c r="U308" t="str">
        <f t="shared" si="40"/>
        <v>Spring</v>
      </c>
      <c r="V308">
        <f t="shared" si="41"/>
        <v>0.22929155386993369</v>
      </c>
      <c r="W308">
        <f t="shared" si="42"/>
        <v>-0.25435329828790432</v>
      </c>
      <c r="X308">
        <f t="shared" si="43"/>
        <v>0.10399668008577614</v>
      </c>
      <c r="Y308">
        <f t="shared" si="44"/>
        <v>0.36604748519325236</v>
      </c>
    </row>
    <row r="309" spans="1:25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  <c r="Q309" t="str">
        <f t="shared" si="36"/>
        <v>Weekday</v>
      </c>
      <c r="R309" t="str">
        <f t="shared" si="37"/>
        <v>Clear</v>
      </c>
      <c r="S309" t="str">
        <f t="shared" si="38"/>
        <v>Morning</v>
      </c>
      <c r="T309" t="str">
        <f t="shared" si="39"/>
        <v>January</v>
      </c>
      <c r="U309" t="str">
        <f t="shared" si="40"/>
        <v>Spring</v>
      </c>
      <c r="V309">
        <f t="shared" si="41"/>
        <v>0.22929155386993369</v>
      </c>
      <c r="W309">
        <f t="shared" si="42"/>
        <v>-0.25435329828790432</v>
      </c>
      <c r="X309">
        <f t="shared" si="43"/>
        <v>0.10399668008577614</v>
      </c>
      <c r="Y309">
        <f t="shared" si="44"/>
        <v>0.36604748519325236</v>
      </c>
    </row>
    <row r="310" spans="1:25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  <c r="Q310" t="str">
        <f t="shared" si="36"/>
        <v>Weekday</v>
      </c>
      <c r="R310" t="str">
        <f t="shared" si="37"/>
        <v>Clear</v>
      </c>
      <c r="S310" t="str">
        <f t="shared" si="38"/>
        <v>Morning</v>
      </c>
      <c r="T310" t="str">
        <f t="shared" si="39"/>
        <v>January</v>
      </c>
      <c r="U310" t="str">
        <f t="shared" si="40"/>
        <v>Spring</v>
      </c>
      <c r="V310">
        <f t="shared" si="41"/>
        <v>0.22929155386993369</v>
      </c>
      <c r="W310">
        <f t="shared" si="42"/>
        <v>-0.25435329828790432</v>
      </c>
      <c r="X310">
        <f t="shared" si="43"/>
        <v>0.10399668008577614</v>
      </c>
      <c r="Y310">
        <f t="shared" si="44"/>
        <v>0.36604748519325236</v>
      </c>
    </row>
    <row r="311" spans="1:25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  <c r="Q311" t="str">
        <f t="shared" si="36"/>
        <v>Weekday</v>
      </c>
      <c r="R311" t="str">
        <f t="shared" si="37"/>
        <v>Clear</v>
      </c>
      <c r="S311" t="str">
        <f t="shared" si="38"/>
        <v>Morning</v>
      </c>
      <c r="T311" t="str">
        <f t="shared" si="39"/>
        <v>January</v>
      </c>
      <c r="U311" t="str">
        <f t="shared" si="40"/>
        <v>Spring</v>
      </c>
      <c r="V311">
        <f t="shared" si="41"/>
        <v>0.22929155386993369</v>
      </c>
      <c r="W311">
        <f t="shared" si="42"/>
        <v>-0.25435329828790432</v>
      </c>
      <c r="X311">
        <f t="shared" si="43"/>
        <v>0.10399668008577614</v>
      </c>
      <c r="Y311">
        <f t="shared" si="44"/>
        <v>0.36604748519325236</v>
      </c>
    </row>
    <row r="312" spans="1:25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  <c r="Q312" t="str">
        <f t="shared" si="36"/>
        <v>Weekday</v>
      </c>
      <c r="R312" t="str">
        <f t="shared" si="37"/>
        <v>Clear</v>
      </c>
      <c r="S312" t="str">
        <f t="shared" si="38"/>
        <v>Morning</v>
      </c>
      <c r="T312" t="str">
        <f t="shared" si="39"/>
        <v>January</v>
      </c>
      <c r="U312" t="str">
        <f t="shared" si="40"/>
        <v>Spring</v>
      </c>
      <c r="V312">
        <f t="shared" si="41"/>
        <v>0.22929155386993369</v>
      </c>
      <c r="W312">
        <f t="shared" si="42"/>
        <v>-0.25435329828790432</v>
      </c>
      <c r="X312">
        <f t="shared" si="43"/>
        <v>0.10399668008577614</v>
      </c>
      <c r="Y312">
        <f t="shared" si="44"/>
        <v>0.36604748519325236</v>
      </c>
    </row>
    <row r="313" spans="1:25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  <c r="Q313" t="str">
        <f t="shared" si="36"/>
        <v>Weekday</v>
      </c>
      <c r="R313" t="str">
        <f t="shared" si="37"/>
        <v>Clear</v>
      </c>
      <c r="S313" t="str">
        <f t="shared" si="38"/>
        <v>Morning</v>
      </c>
      <c r="T313" t="str">
        <f t="shared" si="39"/>
        <v>January</v>
      </c>
      <c r="U313" t="str">
        <f t="shared" si="40"/>
        <v>Spring</v>
      </c>
      <c r="V313">
        <f t="shared" si="41"/>
        <v>0.22929155386993369</v>
      </c>
      <c r="W313">
        <f t="shared" si="42"/>
        <v>-0.25435329828790432</v>
      </c>
      <c r="X313">
        <f t="shared" si="43"/>
        <v>0.10399668008577614</v>
      </c>
      <c r="Y313">
        <f t="shared" si="44"/>
        <v>0.36604748519325236</v>
      </c>
    </row>
    <row r="314" spans="1:25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  <c r="Q314" t="str">
        <f t="shared" si="36"/>
        <v>Weekday</v>
      </c>
      <c r="R314" t="str">
        <f t="shared" si="37"/>
        <v>Clear</v>
      </c>
      <c r="S314" t="str">
        <f t="shared" si="38"/>
        <v>Afternoon</v>
      </c>
      <c r="T314" t="str">
        <f t="shared" si="39"/>
        <v>January</v>
      </c>
      <c r="U314" t="str">
        <f t="shared" si="40"/>
        <v>Spring</v>
      </c>
      <c r="V314">
        <f t="shared" si="41"/>
        <v>0.22929155386993369</v>
      </c>
      <c r="W314">
        <f t="shared" si="42"/>
        <v>-0.25435329828790432</v>
      </c>
      <c r="X314">
        <f t="shared" si="43"/>
        <v>0.10399668008577614</v>
      </c>
      <c r="Y314">
        <f t="shared" si="44"/>
        <v>0.36604748519325236</v>
      </c>
    </row>
    <row r="315" spans="1:25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  <c r="Q315" t="str">
        <f t="shared" si="36"/>
        <v>Weekday</v>
      </c>
      <c r="R315" t="str">
        <f t="shared" si="37"/>
        <v>Clear</v>
      </c>
      <c r="S315" t="str">
        <f t="shared" si="38"/>
        <v>Afternoon</v>
      </c>
      <c r="T315" t="str">
        <f t="shared" si="39"/>
        <v>January</v>
      </c>
      <c r="U315" t="str">
        <f t="shared" si="40"/>
        <v>Spring</v>
      </c>
      <c r="V315">
        <f t="shared" si="41"/>
        <v>0.22929155386993369</v>
      </c>
      <c r="W315">
        <f t="shared" si="42"/>
        <v>-0.25435329828790432</v>
      </c>
      <c r="X315">
        <f t="shared" si="43"/>
        <v>0.10399668008577614</v>
      </c>
      <c r="Y315">
        <f t="shared" si="44"/>
        <v>0.36604748519325236</v>
      </c>
    </row>
    <row r="316" spans="1:25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  <c r="Q316" t="str">
        <f t="shared" si="36"/>
        <v>Weekday</v>
      </c>
      <c r="R316" t="str">
        <f t="shared" si="37"/>
        <v>Clear</v>
      </c>
      <c r="S316" t="str">
        <f t="shared" si="38"/>
        <v>Afternoon</v>
      </c>
      <c r="T316" t="str">
        <f t="shared" si="39"/>
        <v>January</v>
      </c>
      <c r="U316" t="str">
        <f t="shared" si="40"/>
        <v>Spring</v>
      </c>
      <c r="V316">
        <f t="shared" si="41"/>
        <v>0.22929155386993369</v>
      </c>
      <c r="W316">
        <f t="shared" si="42"/>
        <v>-0.25435329828790432</v>
      </c>
      <c r="X316">
        <f t="shared" si="43"/>
        <v>0.10399668008577614</v>
      </c>
      <c r="Y316">
        <f t="shared" si="44"/>
        <v>0.36604748519325236</v>
      </c>
    </row>
    <row r="317" spans="1:25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  <c r="Q317" t="str">
        <f t="shared" si="36"/>
        <v>Weekday</v>
      </c>
      <c r="R317" t="str">
        <f t="shared" si="37"/>
        <v>Clear</v>
      </c>
      <c r="S317" t="str">
        <f t="shared" si="38"/>
        <v>Afternoon</v>
      </c>
      <c r="T317" t="str">
        <f t="shared" si="39"/>
        <v>January</v>
      </c>
      <c r="U317" t="str">
        <f t="shared" si="40"/>
        <v>Spring</v>
      </c>
      <c r="V317">
        <f t="shared" si="41"/>
        <v>0.22929155386993369</v>
      </c>
      <c r="W317">
        <f t="shared" si="42"/>
        <v>-0.25435329828790432</v>
      </c>
      <c r="X317">
        <f t="shared" si="43"/>
        <v>0.10399668008577614</v>
      </c>
      <c r="Y317">
        <f t="shared" si="44"/>
        <v>0.36604748519325236</v>
      </c>
    </row>
    <row r="318" spans="1:25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  <c r="Q318" t="str">
        <f t="shared" si="36"/>
        <v>Weekday</v>
      </c>
      <c r="R318" t="str">
        <f t="shared" si="37"/>
        <v>Clear</v>
      </c>
      <c r="S318" t="str">
        <f t="shared" si="38"/>
        <v>Afternoon</v>
      </c>
      <c r="T318" t="str">
        <f t="shared" si="39"/>
        <v>January</v>
      </c>
      <c r="U318" t="str">
        <f t="shared" si="40"/>
        <v>Spring</v>
      </c>
      <c r="V318">
        <f t="shared" si="41"/>
        <v>0.22929155386993369</v>
      </c>
      <c r="W318">
        <f t="shared" si="42"/>
        <v>-0.25435329828790432</v>
      </c>
      <c r="X318">
        <f t="shared" si="43"/>
        <v>0.10399668008577614</v>
      </c>
      <c r="Y318">
        <f t="shared" si="44"/>
        <v>0.36604748519325236</v>
      </c>
    </row>
    <row r="319" spans="1:25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  <c r="Q319" t="str">
        <f t="shared" si="36"/>
        <v>Weekday</v>
      </c>
      <c r="R319" t="str">
        <f t="shared" si="37"/>
        <v>Clear</v>
      </c>
      <c r="S319" t="str">
        <f t="shared" si="38"/>
        <v>Evening</v>
      </c>
      <c r="T319" t="str">
        <f t="shared" si="39"/>
        <v>January</v>
      </c>
      <c r="U319" t="str">
        <f t="shared" si="40"/>
        <v>Spring</v>
      </c>
      <c r="V319">
        <f t="shared" si="41"/>
        <v>0.22929155386993369</v>
      </c>
      <c r="W319">
        <f t="shared" si="42"/>
        <v>-0.25435329828790432</v>
      </c>
      <c r="X319">
        <f t="shared" si="43"/>
        <v>0.10399668008577614</v>
      </c>
      <c r="Y319">
        <f t="shared" si="44"/>
        <v>0.36604748519325236</v>
      </c>
    </row>
    <row r="320" spans="1:25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  <c r="Q320" t="str">
        <f t="shared" si="36"/>
        <v>Weekday</v>
      </c>
      <c r="R320" t="str">
        <f t="shared" si="37"/>
        <v>Clear</v>
      </c>
      <c r="S320" t="str">
        <f t="shared" si="38"/>
        <v>Evening</v>
      </c>
      <c r="T320" t="str">
        <f t="shared" si="39"/>
        <v>January</v>
      </c>
      <c r="U320" t="str">
        <f t="shared" si="40"/>
        <v>Spring</v>
      </c>
      <c r="V320">
        <f t="shared" si="41"/>
        <v>0.22929155386993369</v>
      </c>
      <c r="W320">
        <f t="shared" si="42"/>
        <v>-0.25435329828790432</v>
      </c>
      <c r="X320">
        <f t="shared" si="43"/>
        <v>0.10399668008577614</v>
      </c>
      <c r="Y320">
        <f t="shared" si="44"/>
        <v>0.36604748519325236</v>
      </c>
    </row>
    <row r="321" spans="1:25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  <c r="Q321" t="str">
        <f t="shared" si="36"/>
        <v>Weekday</v>
      </c>
      <c r="R321" t="str">
        <f t="shared" si="37"/>
        <v>Clear</v>
      </c>
      <c r="S321" t="str">
        <f t="shared" si="38"/>
        <v>Evening</v>
      </c>
      <c r="T321" t="str">
        <f t="shared" si="39"/>
        <v>January</v>
      </c>
      <c r="U321" t="str">
        <f t="shared" si="40"/>
        <v>Spring</v>
      </c>
      <c r="V321">
        <f t="shared" si="41"/>
        <v>0.22929155386993369</v>
      </c>
      <c r="W321">
        <f t="shared" si="42"/>
        <v>-0.25435329828790432</v>
      </c>
      <c r="X321">
        <f t="shared" si="43"/>
        <v>0.10399668008577614</v>
      </c>
      <c r="Y321">
        <f t="shared" si="44"/>
        <v>0.36604748519325236</v>
      </c>
    </row>
    <row r="322" spans="1:25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  <c r="Q322" t="str">
        <f t="shared" ref="Q322:Q385" si="45">IF(OR(WEEKDAY(B322)=1, WEEKDAY(B322)=7), "Weekend", "Weekday")</f>
        <v>Weekday</v>
      </c>
      <c r="R322" t="str">
        <f t="shared" ref="R322:R385" si="46">IF(I322=1,"Clear",IF(I322=2,"Mist/Cloudy",IF(I322=3,"Light Rain/Snow","Heavy Rain/Snow")))</f>
        <v>Clear</v>
      </c>
      <c r="S322" t="str">
        <f t="shared" ref="S322:S385" si="47">IF(AND(F322&gt;=6, F322&lt;12), "Morning", IF(AND(F322&gt;=12, F322&lt;17), "Afternoon", IF(AND(F322&gt;=17, F322&lt;21), "Evening", "Night")))</f>
        <v>Evening</v>
      </c>
      <c r="T322" t="str">
        <f t="shared" ref="T322:T385" si="48">TEXT(B322, "mmmm")</f>
        <v>January</v>
      </c>
      <c r="U322" t="str">
        <f t="shared" ref="U322:U385" si="49">CHOOSE(C322, "Spring", "Summer", "Fall", "Winter")</f>
        <v>Spring</v>
      </c>
      <c r="V322">
        <f t="shared" ref="V322:V385" si="50">CORREL($J$2:$J$1001, $P$2:$P$1001)</f>
        <v>0.22929155386993369</v>
      </c>
      <c r="W322">
        <f t="shared" ref="W322:W385" si="51">CORREL($L$2:$L$1001, $P$2:$P$1001)</f>
        <v>-0.25435329828790432</v>
      </c>
      <c r="X322">
        <f t="shared" ref="X322:X385" si="52">CORREL($M$2:$M$1001, $P$2:$P$1001)</f>
        <v>0.10399668008577614</v>
      </c>
      <c r="Y322">
        <f t="shared" ref="Y322:Y385" si="53">CORREL($F$2:$F$1001, $P$2:$P$1001)</f>
        <v>0.36604748519325236</v>
      </c>
    </row>
    <row r="323" spans="1:25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  <c r="Q323" t="str">
        <f t="shared" si="45"/>
        <v>Weekday</v>
      </c>
      <c r="R323" t="str">
        <f t="shared" si="46"/>
        <v>Clear</v>
      </c>
      <c r="S323" t="str">
        <f t="shared" si="47"/>
        <v>Night</v>
      </c>
      <c r="T323" t="str">
        <f t="shared" si="48"/>
        <v>January</v>
      </c>
      <c r="U323" t="str">
        <f t="shared" si="49"/>
        <v>Spring</v>
      </c>
      <c r="V323">
        <f t="shared" si="50"/>
        <v>0.22929155386993369</v>
      </c>
      <c r="W323">
        <f t="shared" si="51"/>
        <v>-0.25435329828790432</v>
      </c>
      <c r="X323">
        <f t="shared" si="52"/>
        <v>0.10399668008577614</v>
      </c>
      <c r="Y323">
        <f t="shared" si="53"/>
        <v>0.36604748519325236</v>
      </c>
    </row>
    <row r="324" spans="1:25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  <c r="Q324" t="str">
        <f t="shared" si="45"/>
        <v>Weekday</v>
      </c>
      <c r="R324" t="str">
        <f t="shared" si="46"/>
        <v>Mist/Cloudy</v>
      </c>
      <c r="S324" t="str">
        <f t="shared" si="47"/>
        <v>Night</v>
      </c>
      <c r="T324" t="str">
        <f t="shared" si="48"/>
        <v>January</v>
      </c>
      <c r="U324" t="str">
        <f t="shared" si="49"/>
        <v>Spring</v>
      </c>
      <c r="V324">
        <f t="shared" si="50"/>
        <v>0.22929155386993369</v>
      </c>
      <c r="W324">
        <f t="shared" si="51"/>
        <v>-0.25435329828790432</v>
      </c>
      <c r="X324">
        <f t="shared" si="52"/>
        <v>0.10399668008577614</v>
      </c>
      <c r="Y324">
        <f t="shared" si="53"/>
        <v>0.36604748519325236</v>
      </c>
    </row>
    <row r="325" spans="1:25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  <c r="Q325" t="str">
        <f t="shared" si="45"/>
        <v>Weekday</v>
      </c>
      <c r="R325" t="str">
        <f t="shared" si="46"/>
        <v>Mist/Cloudy</v>
      </c>
      <c r="S325" t="str">
        <f t="shared" si="47"/>
        <v>Night</v>
      </c>
      <c r="T325" t="str">
        <f t="shared" si="48"/>
        <v>January</v>
      </c>
      <c r="U325" t="str">
        <f t="shared" si="49"/>
        <v>Spring</v>
      </c>
      <c r="V325">
        <f t="shared" si="50"/>
        <v>0.22929155386993369</v>
      </c>
      <c r="W325">
        <f t="shared" si="51"/>
        <v>-0.25435329828790432</v>
      </c>
      <c r="X325">
        <f t="shared" si="52"/>
        <v>0.10399668008577614</v>
      </c>
      <c r="Y325">
        <f t="shared" si="53"/>
        <v>0.36604748519325236</v>
      </c>
    </row>
    <row r="326" spans="1:25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  <c r="Q326" t="str">
        <f t="shared" si="45"/>
        <v>Weekend</v>
      </c>
      <c r="R326" t="str">
        <f t="shared" si="46"/>
        <v>Clear</v>
      </c>
      <c r="S326" t="str">
        <f t="shared" si="47"/>
        <v>Night</v>
      </c>
      <c r="T326" t="str">
        <f t="shared" si="48"/>
        <v>January</v>
      </c>
      <c r="U326" t="str">
        <f t="shared" si="49"/>
        <v>Spring</v>
      </c>
      <c r="V326">
        <f t="shared" si="50"/>
        <v>0.22929155386993369</v>
      </c>
      <c r="W326">
        <f t="shared" si="51"/>
        <v>-0.25435329828790432</v>
      </c>
      <c r="X326">
        <f t="shared" si="52"/>
        <v>0.10399668008577614</v>
      </c>
      <c r="Y326">
        <f t="shared" si="53"/>
        <v>0.36604748519325236</v>
      </c>
    </row>
    <row r="327" spans="1:25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  <c r="Q327" t="str">
        <f t="shared" si="45"/>
        <v>Weekend</v>
      </c>
      <c r="R327" t="str">
        <f t="shared" si="46"/>
        <v>Mist/Cloudy</v>
      </c>
      <c r="S327" t="str">
        <f t="shared" si="47"/>
        <v>Night</v>
      </c>
      <c r="T327" t="str">
        <f t="shared" si="48"/>
        <v>January</v>
      </c>
      <c r="U327" t="str">
        <f t="shared" si="49"/>
        <v>Spring</v>
      </c>
      <c r="V327">
        <f t="shared" si="50"/>
        <v>0.22929155386993369</v>
      </c>
      <c r="W327">
        <f t="shared" si="51"/>
        <v>-0.25435329828790432</v>
      </c>
      <c r="X327">
        <f t="shared" si="52"/>
        <v>0.10399668008577614</v>
      </c>
      <c r="Y327">
        <f t="shared" si="53"/>
        <v>0.36604748519325236</v>
      </c>
    </row>
    <row r="328" spans="1:25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  <c r="Q328" t="str">
        <f t="shared" si="45"/>
        <v>Weekend</v>
      </c>
      <c r="R328" t="str">
        <f t="shared" si="46"/>
        <v>Mist/Cloudy</v>
      </c>
      <c r="S328" t="str">
        <f t="shared" si="47"/>
        <v>Night</v>
      </c>
      <c r="T328" t="str">
        <f t="shared" si="48"/>
        <v>January</v>
      </c>
      <c r="U328" t="str">
        <f t="shared" si="49"/>
        <v>Spring</v>
      </c>
      <c r="V328">
        <f t="shared" si="50"/>
        <v>0.22929155386993369</v>
      </c>
      <c r="W328">
        <f t="shared" si="51"/>
        <v>-0.25435329828790432</v>
      </c>
      <c r="X328">
        <f t="shared" si="52"/>
        <v>0.10399668008577614</v>
      </c>
      <c r="Y328">
        <f t="shared" si="53"/>
        <v>0.36604748519325236</v>
      </c>
    </row>
    <row r="329" spans="1:25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  <c r="Q329" t="str">
        <f t="shared" si="45"/>
        <v>Weekend</v>
      </c>
      <c r="R329" t="str">
        <f t="shared" si="46"/>
        <v>Mist/Cloudy</v>
      </c>
      <c r="S329" t="str">
        <f t="shared" si="47"/>
        <v>Night</v>
      </c>
      <c r="T329" t="str">
        <f t="shared" si="48"/>
        <v>January</v>
      </c>
      <c r="U329" t="str">
        <f t="shared" si="49"/>
        <v>Spring</v>
      </c>
      <c r="V329">
        <f t="shared" si="50"/>
        <v>0.22929155386993369</v>
      </c>
      <c r="W329">
        <f t="shared" si="51"/>
        <v>-0.25435329828790432</v>
      </c>
      <c r="X329">
        <f t="shared" si="52"/>
        <v>0.10399668008577614</v>
      </c>
      <c r="Y329">
        <f t="shared" si="53"/>
        <v>0.36604748519325236</v>
      </c>
    </row>
    <row r="330" spans="1:25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  <c r="Q330" t="str">
        <f t="shared" si="45"/>
        <v>Weekend</v>
      </c>
      <c r="R330" t="str">
        <f t="shared" si="46"/>
        <v>Mist/Cloudy</v>
      </c>
      <c r="S330" t="str">
        <f t="shared" si="47"/>
        <v>Night</v>
      </c>
      <c r="T330" t="str">
        <f t="shared" si="48"/>
        <v>January</v>
      </c>
      <c r="U330" t="str">
        <f t="shared" si="49"/>
        <v>Spring</v>
      </c>
      <c r="V330">
        <f t="shared" si="50"/>
        <v>0.22929155386993369</v>
      </c>
      <c r="W330">
        <f t="shared" si="51"/>
        <v>-0.25435329828790432</v>
      </c>
      <c r="X330">
        <f t="shared" si="52"/>
        <v>0.10399668008577614</v>
      </c>
      <c r="Y330">
        <f t="shared" si="53"/>
        <v>0.36604748519325236</v>
      </c>
    </row>
    <row r="331" spans="1:25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  <c r="Q331" t="str">
        <f t="shared" si="45"/>
        <v>Weekend</v>
      </c>
      <c r="R331" t="str">
        <f t="shared" si="46"/>
        <v>Clear</v>
      </c>
      <c r="S331" t="str">
        <f t="shared" si="47"/>
        <v>Night</v>
      </c>
      <c r="T331" t="str">
        <f t="shared" si="48"/>
        <v>January</v>
      </c>
      <c r="U331" t="str">
        <f t="shared" si="49"/>
        <v>Spring</v>
      </c>
      <c r="V331">
        <f t="shared" si="50"/>
        <v>0.22929155386993369</v>
      </c>
      <c r="W331">
        <f t="shared" si="51"/>
        <v>-0.25435329828790432</v>
      </c>
      <c r="X331">
        <f t="shared" si="52"/>
        <v>0.10399668008577614</v>
      </c>
      <c r="Y331">
        <f t="shared" si="53"/>
        <v>0.36604748519325236</v>
      </c>
    </row>
    <row r="332" spans="1:25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  <c r="Q332" t="str">
        <f t="shared" si="45"/>
        <v>Weekend</v>
      </c>
      <c r="R332" t="str">
        <f t="shared" si="46"/>
        <v>Clear</v>
      </c>
      <c r="S332" t="str">
        <f t="shared" si="47"/>
        <v>Morning</v>
      </c>
      <c r="T332" t="str">
        <f t="shared" si="48"/>
        <v>January</v>
      </c>
      <c r="U332" t="str">
        <f t="shared" si="49"/>
        <v>Spring</v>
      </c>
      <c r="V332">
        <f t="shared" si="50"/>
        <v>0.22929155386993369</v>
      </c>
      <c r="W332">
        <f t="shared" si="51"/>
        <v>-0.25435329828790432</v>
      </c>
      <c r="X332">
        <f t="shared" si="52"/>
        <v>0.10399668008577614</v>
      </c>
      <c r="Y332">
        <f t="shared" si="53"/>
        <v>0.36604748519325236</v>
      </c>
    </row>
    <row r="333" spans="1:25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  <c r="Q333" t="str">
        <f t="shared" si="45"/>
        <v>Weekend</v>
      </c>
      <c r="R333" t="str">
        <f t="shared" si="46"/>
        <v>Clear</v>
      </c>
      <c r="S333" t="str">
        <f t="shared" si="47"/>
        <v>Morning</v>
      </c>
      <c r="T333" t="str">
        <f t="shared" si="48"/>
        <v>January</v>
      </c>
      <c r="U333" t="str">
        <f t="shared" si="49"/>
        <v>Spring</v>
      </c>
      <c r="V333">
        <f t="shared" si="50"/>
        <v>0.22929155386993369</v>
      </c>
      <c r="W333">
        <f t="shared" si="51"/>
        <v>-0.25435329828790432</v>
      </c>
      <c r="X333">
        <f t="shared" si="52"/>
        <v>0.10399668008577614</v>
      </c>
      <c r="Y333">
        <f t="shared" si="53"/>
        <v>0.36604748519325236</v>
      </c>
    </row>
    <row r="334" spans="1:25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  <c r="Q334" t="str">
        <f t="shared" si="45"/>
        <v>Weekend</v>
      </c>
      <c r="R334" t="str">
        <f t="shared" si="46"/>
        <v>Clear</v>
      </c>
      <c r="S334" t="str">
        <f t="shared" si="47"/>
        <v>Morning</v>
      </c>
      <c r="T334" t="str">
        <f t="shared" si="48"/>
        <v>January</v>
      </c>
      <c r="U334" t="str">
        <f t="shared" si="49"/>
        <v>Spring</v>
      </c>
      <c r="V334">
        <f t="shared" si="50"/>
        <v>0.22929155386993369</v>
      </c>
      <c r="W334">
        <f t="shared" si="51"/>
        <v>-0.25435329828790432</v>
      </c>
      <c r="X334">
        <f t="shared" si="52"/>
        <v>0.10399668008577614</v>
      </c>
      <c r="Y334">
        <f t="shared" si="53"/>
        <v>0.36604748519325236</v>
      </c>
    </row>
    <row r="335" spans="1:25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  <c r="Q335" t="str">
        <f t="shared" si="45"/>
        <v>Weekend</v>
      </c>
      <c r="R335" t="str">
        <f t="shared" si="46"/>
        <v>Clear</v>
      </c>
      <c r="S335" t="str">
        <f t="shared" si="47"/>
        <v>Morning</v>
      </c>
      <c r="T335" t="str">
        <f t="shared" si="48"/>
        <v>January</v>
      </c>
      <c r="U335" t="str">
        <f t="shared" si="49"/>
        <v>Spring</v>
      </c>
      <c r="V335">
        <f t="shared" si="50"/>
        <v>0.22929155386993369</v>
      </c>
      <c r="W335">
        <f t="shared" si="51"/>
        <v>-0.25435329828790432</v>
      </c>
      <c r="X335">
        <f t="shared" si="52"/>
        <v>0.10399668008577614</v>
      </c>
      <c r="Y335">
        <f t="shared" si="53"/>
        <v>0.36604748519325236</v>
      </c>
    </row>
    <row r="336" spans="1:25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  <c r="Q336" t="str">
        <f t="shared" si="45"/>
        <v>Weekend</v>
      </c>
      <c r="R336" t="str">
        <f t="shared" si="46"/>
        <v>Clear</v>
      </c>
      <c r="S336" t="str">
        <f t="shared" si="47"/>
        <v>Morning</v>
      </c>
      <c r="T336" t="str">
        <f t="shared" si="48"/>
        <v>January</v>
      </c>
      <c r="U336" t="str">
        <f t="shared" si="49"/>
        <v>Spring</v>
      </c>
      <c r="V336">
        <f t="shared" si="50"/>
        <v>0.22929155386993369</v>
      </c>
      <c r="W336">
        <f t="shared" si="51"/>
        <v>-0.25435329828790432</v>
      </c>
      <c r="X336">
        <f t="shared" si="52"/>
        <v>0.10399668008577614</v>
      </c>
      <c r="Y336">
        <f t="shared" si="53"/>
        <v>0.36604748519325236</v>
      </c>
    </row>
    <row r="337" spans="1:25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  <c r="Q337" t="str">
        <f t="shared" si="45"/>
        <v>Weekend</v>
      </c>
      <c r="R337" t="str">
        <f t="shared" si="46"/>
        <v>Clear</v>
      </c>
      <c r="S337" t="str">
        <f t="shared" si="47"/>
        <v>Morning</v>
      </c>
      <c r="T337" t="str">
        <f t="shared" si="48"/>
        <v>January</v>
      </c>
      <c r="U337" t="str">
        <f t="shared" si="49"/>
        <v>Spring</v>
      </c>
      <c r="V337">
        <f t="shared" si="50"/>
        <v>0.22929155386993369</v>
      </c>
      <c r="W337">
        <f t="shared" si="51"/>
        <v>-0.25435329828790432</v>
      </c>
      <c r="X337">
        <f t="shared" si="52"/>
        <v>0.10399668008577614</v>
      </c>
      <c r="Y337">
        <f t="shared" si="53"/>
        <v>0.36604748519325236</v>
      </c>
    </row>
    <row r="338" spans="1:25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  <c r="Q338" t="str">
        <f t="shared" si="45"/>
        <v>Weekend</v>
      </c>
      <c r="R338" t="str">
        <f t="shared" si="46"/>
        <v>Clear</v>
      </c>
      <c r="S338" t="str">
        <f t="shared" si="47"/>
        <v>Afternoon</v>
      </c>
      <c r="T338" t="str">
        <f t="shared" si="48"/>
        <v>January</v>
      </c>
      <c r="U338" t="str">
        <f t="shared" si="49"/>
        <v>Spring</v>
      </c>
      <c r="V338">
        <f t="shared" si="50"/>
        <v>0.22929155386993369</v>
      </c>
      <c r="W338">
        <f t="shared" si="51"/>
        <v>-0.25435329828790432</v>
      </c>
      <c r="X338">
        <f t="shared" si="52"/>
        <v>0.10399668008577614</v>
      </c>
      <c r="Y338">
        <f t="shared" si="53"/>
        <v>0.36604748519325236</v>
      </c>
    </row>
    <row r="339" spans="1:25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  <c r="Q339" t="str">
        <f t="shared" si="45"/>
        <v>Weekend</v>
      </c>
      <c r="R339" t="str">
        <f t="shared" si="46"/>
        <v>Clear</v>
      </c>
      <c r="S339" t="str">
        <f t="shared" si="47"/>
        <v>Afternoon</v>
      </c>
      <c r="T339" t="str">
        <f t="shared" si="48"/>
        <v>January</v>
      </c>
      <c r="U339" t="str">
        <f t="shared" si="49"/>
        <v>Spring</v>
      </c>
      <c r="V339">
        <f t="shared" si="50"/>
        <v>0.22929155386993369</v>
      </c>
      <c r="W339">
        <f t="shared" si="51"/>
        <v>-0.25435329828790432</v>
      </c>
      <c r="X339">
        <f t="shared" si="52"/>
        <v>0.10399668008577614</v>
      </c>
      <c r="Y339">
        <f t="shared" si="53"/>
        <v>0.36604748519325236</v>
      </c>
    </row>
    <row r="340" spans="1:25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  <c r="Q340" t="str">
        <f t="shared" si="45"/>
        <v>Weekend</v>
      </c>
      <c r="R340" t="str">
        <f t="shared" si="46"/>
        <v>Clear</v>
      </c>
      <c r="S340" t="str">
        <f t="shared" si="47"/>
        <v>Afternoon</v>
      </c>
      <c r="T340" t="str">
        <f t="shared" si="48"/>
        <v>January</v>
      </c>
      <c r="U340" t="str">
        <f t="shared" si="49"/>
        <v>Spring</v>
      </c>
      <c r="V340">
        <f t="shared" si="50"/>
        <v>0.22929155386993369</v>
      </c>
      <c r="W340">
        <f t="shared" si="51"/>
        <v>-0.25435329828790432</v>
      </c>
      <c r="X340">
        <f t="shared" si="52"/>
        <v>0.10399668008577614</v>
      </c>
      <c r="Y340">
        <f t="shared" si="53"/>
        <v>0.36604748519325236</v>
      </c>
    </row>
    <row r="341" spans="1:25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  <c r="Q341" t="str">
        <f t="shared" si="45"/>
        <v>Weekend</v>
      </c>
      <c r="R341" t="str">
        <f t="shared" si="46"/>
        <v>Mist/Cloudy</v>
      </c>
      <c r="S341" t="str">
        <f t="shared" si="47"/>
        <v>Afternoon</v>
      </c>
      <c r="T341" t="str">
        <f t="shared" si="48"/>
        <v>January</v>
      </c>
      <c r="U341" t="str">
        <f t="shared" si="49"/>
        <v>Spring</v>
      </c>
      <c r="V341">
        <f t="shared" si="50"/>
        <v>0.22929155386993369</v>
      </c>
      <c r="W341">
        <f t="shared" si="51"/>
        <v>-0.25435329828790432</v>
      </c>
      <c r="X341">
        <f t="shared" si="52"/>
        <v>0.10399668008577614</v>
      </c>
      <c r="Y341">
        <f t="shared" si="53"/>
        <v>0.36604748519325236</v>
      </c>
    </row>
    <row r="342" spans="1:25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  <c r="Q342" t="str">
        <f t="shared" si="45"/>
        <v>Weekend</v>
      </c>
      <c r="R342" t="str">
        <f t="shared" si="46"/>
        <v>Mist/Cloudy</v>
      </c>
      <c r="S342" t="str">
        <f t="shared" si="47"/>
        <v>Afternoon</v>
      </c>
      <c r="T342" t="str">
        <f t="shared" si="48"/>
        <v>January</v>
      </c>
      <c r="U342" t="str">
        <f t="shared" si="49"/>
        <v>Spring</v>
      </c>
      <c r="V342">
        <f t="shared" si="50"/>
        <v>0.22929155386993369</v>
      </c>
      <c r="W342">
        <f t="shared" si="51"/>
        <v>-0.25435329828790432</v>
      </c>
      <c r="X342">
        <f t="shared" si="52"/>
        <v>0.10399668008577614</v>
      </c>
      <c r="Y342">
        <f t="shared" si="53"/>
        <v>0.36604748519325236</v>
      </c>
    </row>
    <row r="343" spans="1:25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  <c r="Q343" t="str">
        <f t="shared" si="45"/>
        <v>Weekend</v>
      </c>
      <c r="R343" t="str">
        <f t="shared" si="46"/>
        <v>Mist/Cloudy</v>
      </c>
      <c r="S343" t="str">
        <f t="shared" si="47"/>
        <v>Evening</v>
      </c>
      <c r="T343" t="str">
        <f t="shared" si="48"/>
        <v>January</v>
      </c>
      <c r="U343" t="str">
        <f t="shared" si="49"/>
        <v>Spring</v>
      </c>
      <c r="V343">
        <f t="shared" si="50"/>
        <v>0.22929155386993369</v>
      </c>
      <c r="W343">
        <f t="shared" si="51"/>
        <v>-0.25435329828790432</v>
      </c>
      <c r="X343">
        <f t="shared" si="52"/>
        <v>0.10399668008577614</v>
      </c>
      <c r="Y343">
        <f t="shared" si="53"/>
        <v>0.36604748519325236</v>
      </c>
    </row>
    <row r="344" spans="1:25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  <c r="Q344" t="str">
        <f t="shared" si="45"/>
        <v>Weekend</v>
      </c>
      <c r="R344" t="str">
        <f t="shared" si="46"/>
        <v>Mist/Cloudy</v>
      </c>
      <c r="S344" t="str">
        <f t="shared" si="47"/>
        <v>Evening</v>
      </c>
      <c r="T344" t="str">
        <f t="shared" si="48"/>
        <v>January</v>
      </c>
      <c r="U344" t="str">
        <f t="shared" si="49"/>
        <v>Spring</v>
      </c>
      <c r="V344">
        <f t="shared" si="50"/>
        <v>0.22929155386993369</v>
      </c>
      <c r="W344">
        <f t="shared" si="51"/>
        <v>-0.25435329828790432</v>
      </c>
      <c r="X344">
        <f t="shared" si="52"/>
        <v>0.10399668008577614</v>
      </c>
      <c r="Y344">
        <f t="shared" si="53"/>
        <v>0.36604748519325236</v>
      </c>
    </row>
    <row r="345" spans="1:25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  <c r="Q345" t="str">
        <f t="shared" si="45"/>
        <v>Weekend</v>
      </c>
      <c r="R345" t="str">
        <f t="shared" si="46"/>
        <v>Mist/Cloudy</v>
      </c>
      <c r="S345" t="str">
        <f t="shared" si="47"/>
        <v>Evening</v>
      </c>
      <c r="T345" t="str">
        <f t="shared" si="48"/>
        <v>January</v>
      </c>
      <c r="U345" t="str">
        <f t="shared" si="49"/>
        <v>Spring</v>
      </c>
      <c r="V345">
        <f t="shared" si="50"/>
        <v>0.22929155386993369</v>
      </c>
      <c r="W345">
        <f t="shared" si="51"/>
        <v>-0.25435329828790432</v>
      </c>
      <c r="X345">
        <f t="shared" si="52"/>
        <v>0.10399668008577614</v>
      </c>
      <c r="Y345">
        <f t="shared" si="53"/>
        <v>0.36604748519325236</v>
      </c>
    </row>
    <row r="346" spans="1:25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  <c r="Q346" t="str">
        <f t="shared" si="45"/>
        <v>Weekend</v>
      </c>
      <c r="R346" t="str">
        <f t="shared" si="46"/>
        <v>Mist/Cloudy</v>
      </c>
      <c r="S346" t="str">
        <f t="shared" si="47"/>
        <v>Evening</v>
      </c>
      <c r="T346" t="str">
        <f t="shared" si="48"/>
        <v>January</v>
      </c>
      <c r="U346" t="str">
        <f t="shared" si="49"/>
        <v>Spring</v>
      </c>
      <c r="V346">
        <f t="shared" si="50"/>
        <v>0.22929155386993369</v>
      </c>
      <c r="W346">
        <f t="shared" si="51"/>
        <v>-0.25435329828790432</v>
      </c>
      <c r="X346">
        <f t="shared" si="52"/>
        <v>0.10399668008577614</v>
      </c>
      <c r="Y346">
        <f t="shared" si="53"/>
        <v>0.36604748519325236</v>
      </c>
    </row>
    <row r="347" spans="1:25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  <c r="Q347" t="str">
        <f t="shared" si="45"/>
        <v>Weekend</v>
      </c>
      <c r="R347" t="str">
        <f t="shared" si="46"/>
        <v>Mist/Cloudy</v>
      </c>
      <c r="S347" t="str">
        <f t="shared" si="47"/>
        <v>Night</v>
      </c>
      <c r="T347" t="str">
        <f t="shared" si="48"/>
        <v>January</v>
      </c>
      <c r="U347" t="str">
        <f t="shared" si="49"/>
        <v>Spring</v>
      </c>
      <c r="V347">
        <f t="shared" si="50"/>
        <v>0.22929155386993369</v>
      </c>
      <c r="W347">
        <f t="shared" si="51"/>
        <v>-0.25435329828790432</v>
      </c>
      <c r="X347">
        <f t="shared" si="52"/>
        <v>0.10399668008577614</v>
      </c>
      <c r="Y347">
        <f t="shared" si="53"/>
        <v>0.36604748519325236</v>
      </c>
    </row>
    <row r="348" spans="1:25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  <c r="Q348" t="str">
        <f t="shared" si="45"/>
        <v>Weekend</v>
      </c>
      <c r="R348" t="str">
        <f t="shared" si="46"/>
        <v>Mist/Cloudy</v>
      </c>
      <c r="S348" t="str">
        <f t="shared" si="47"/>
        <v>Night</v>
      </c>
      <c r="T348" t="str">
        <f t="shared" si="48"/>
        <v>January</v>
      </c>
      <c r="U348" t="str">
        <f t="shared" si="49"/>
        <v>Spring</v>
      </c>
      <c r="V348">
        <f t="shared" si="50"/>
        <v>0.22929155386993369</v>
      </c>
      <c r="W348">
        <f t="shared" si="51"/>
        <v>-0.25435329828790432</v>
      </c>
      <c r="X348">
        <f t="shared" si="52"/>
        <v>0.10399668008577614</v>
      </c>
      <c r="Y348">
        <f t="shared" si="53"/>
        <v>0.36604748519325236</v>
      </c>
    </row>
    <row r="349" spans="1:25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  <c r="Q349" t="str">
        <f t="shared" si="45"/>
        <v>Weekend</v>
      </c>
      <c r="R349" t="str">
        <f t="shared" si="46"/>
        <v>Clear</v>
      </c>
      <c r="S349" t="str">
        <f t="shared" si="47"/>
        <v>Night</v>
      </c>
      <c r="T349" t="str">
        <f t="shared" si="48"/>
        <v>January</v>
      </c>
      <c r="U349" t="str">
        <f t="shared" si="49"/>
        <v>Spring</v>
      </c>
      <c r="V349">
        <f t="shared" si="50"/>
        <v>0.22929155386993369</v>
      </c>
      <c r="W349">
        <f t="shared" si="51"/>
        <v>-0.25435329828790432</v>
      </c>
      <c r="X349">
        <f t="shared" si="52"/>
        <v>0.10399668008577614</v>
      </c>
      <c r="Y349">
        <f t="shared" si="53"/>
        <v>0.36604748519325236</v>
      </c>
    </row>
    <row r="350" spans="1:25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  <c r="Q350" t="str">
        <f t="shared" si="45"/>
        <v>Weekend</v>
      </c>
      <c r="R350" t="str">
        <f t="shared" si="46"/>
        <v>Clear</v>
      </c>
      <c r="S350" t="str">
        <f t="shared" si="47"/>
        <v>Night</v>
      </c>
      <c r="T350" t="str">
        <f t="shared" si="48"/>
        <v>January</v>
      </c>
      <c r="U350" t="str">
        <f t="shared" si="49"/>
        <v>Spring</v>
      </c>
      <c r="V350">
        <f t="shared" si="50"/>
        <v>0.22929155386993369</v>
      </c>
      <c r="W350">
        <f t="shared" si="51"/>
        <v>-0.25435329828790432</v>
      </c>
      <c r="X350">
        <f t="shared" si="52"/>
        <v>0.10399668008577614</v>
      </c>
      <c r="Y350">
        <f t="shared" si="53"/>
        <v>0.36604748519325236</v>
      </c>
    </row>
    <row r="351" spans="1:25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  <c r="Q351" t="str">
        <f t="shared" si="45"/>
        <v>Weekend</v>
      </c>
      <c r="R351" t="str">
        <f t="shared" si="46"/>
        <v>Clear</v>
      </c>
      <c r="S351" t="str">
        <f t="shared" si="47"/>
        <v>Night</v>
      </c>
      <c r="T351" t="str">
        <f t="shared" si="48"/>
        <v>January</v>
      </c>
      <c r="U351" t="str">
        <f t="shared" si="49"/>
        <v>Spring</v>
      </c>
      <c r="V351">
        <f t="shared" si="50"/>
        <v>0.22929155386993369</v>
      </c>
      <c r="W351">
        <f t="shared" si="51"/>
        <v>-0.25435329828790432</v>
      </c>
      <c r="X351">
        <f t="shared" si="52"/>
        <v>0.10399668008577614</v>
      </c>
      <c r="Y351">
        <f t="shared" si="53"/>
        <v>0.36604748519325236</v>
      </c>
    </row>
    <row r="352" spans="1:25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  <c r="Q352" t="str">
        <f t="shared" si="45"/>
        <v>Weekend</v>
      </c>
      <c r="R352" t="str">
        <f t="shared" si="46"/>
        <v>Clear</v>
      </c>
      <c r="S352" t="str">
        <f t="shared" si="47"/>
        <v>Night</v>
      </c>
      <c r="T352" t="str">
        <f t="shared" si="48"/>
        <v>January</v>
      </c>
      <c r="U352" t="str">
        <f t="shared" si="49"/>
        <v>Spring</v>
      </c>
      <c r="V352">
        <f t="shared" si="50"/>
        <v>0.22929155386993369</v>
      </c>
      <c r="W352">
        <f t="shared" si="51"/>
        <v>-0.25435329828790432</v>
      </c>
      <c r="X352">
        <f t="shared" si="52"/>
        <v>0.10399668008577614</v>
      </c>
      <c r="Y352">
        <f t="shared" si="53"/>
        <v>0.36604748519325236</v>
      </c>
    </row>
    <row r="353" spans="1:25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  <c r="Q353" t="str">
        <f t="shared" si="45"/>
        <v>Weekend</v>
      </c>
      <c r="R353" t="str">
        <f t="shared" si="46"/>
        <v>Clear</v>
      </c>
      <c r="S353" t="str">
        <f t="shared" si="47"/>
        <v>Night</v>
      </c>
      <c r="T353" t="str">
        <f t="shared" si="48"/>
        <v>January</v>
      </c>
      <c r="U353" t="str">
        <f t="shared" si="49"/>
        <v>Spring</v>
      </c>
      <c r="V353">
        <f t="shared" si="50"/>
        <v>0.22929155386993369</v>
      </c>
      <c r="W353">
        <f t="shared" si="51"/>
        <v>-0.25435329828790432</v>
      </c>
      <c r="X353">
        <f t="shared" si="52"/>
        <v>0.10399668008577614</v>
      </c>
      <c r="Y353">
        <f t="shared" si="53"/>
        <v>0.36604748519325236</v>
      </c>
    </row>
    <row r="354" spans="1:25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  <c r="Q354" t="str">
        <f t="shared" si="45"/>
        <v>Weekend</v>
      </c>
      <c r="R354" t="str">
        <f t="shared" si="46"/>
        <v>Clear</v>
      </c>
      <c r="S354" t="str">
        <f t="shared" si="47"/>
        <v>Night</v>
      </c>
      <c r="T354" t="str">
        <f t="shared" si="48"/>
        <v>January</v>
      </c>
      <c r="U354" t="str">
        <f t="shared" si="49"/>
        <v>Spring</v>
      </c>
      <c r="V354">
        <f t="shared" si="50"/>
        <v>0.22929155386993369</v>
      </c>
      <c r="W354">
        <f t="shared" si="51"/>
        <v>-0.25435329828790432</v>
      </c>
      <c r="X354">
        <f t="shared" si="52"/>
        <v>0.10399668008577614</v>
      </c>
      <c r="Y354">
        <f t="shared" si="53"/>
        <v>0.36604748519325236</v>
      </c>
    </row>
    <row r="355" spans="1:25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  <c r="Q355" t="str">
        <f t="shared" si="45"/>
        <v>Weekend</v>
      </c>
      <c r="R355" t="str">
        <f t="shared" si="46"/>
        <v>Mist/Cloudy</v>
      </c>
      <c r="S355" t="str">
        <f t="shared" si="47"/>
        <v>Night</v>
      </c>
      <c r="T355" t="str">
        <f t="shared" si="48"/>
        <v>January</v>
      </c>
      <c r="U355" t="str">
        <f t="shared" si="49"/>
        <v>Spring</v>
      </c>
      <c r="V355">
        <f t="shared" si="50"/>
        <v>0.22929155386993369</v>
      </c>
      <c r="W355">
        <f t="shared" si="51"/>
        <v>-0.25435329828790432</v>
      </c>
      <c r="X355">
        <f t="shared" si="52"/>
        <v>0.10399668008577614</v>
      </c>
      <c r="Y355">
        <f t="shared" si="53"/>
        <v>0.36604748519325236</v>
      </c>
    </row>
    <row r="356" spans="1:25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  <c r="Q356" t="str">
        <f t="shared" si="45"/>
        <v>Weekend</v>
      </c>
      <c r="R356" t="str">
        <f t="shared" si="46"/>
        <v>Mist/Cloudy</v>
      </c>
      <c r="S356" t="str">
        <f t="shared" si="47"/>
        <v>Morning</v>
      </c>
      <c r="T356" t="str">
        <f t="shared" si="48"/>
        <v>January</v>
      </c>
      <c r="U356" t="str">
        <f t="shared" si="49"/>
        <v>Spring</v>
      </c>
      <c r="V356">
        <f t="shared" si="50"/>
        <v>0.22929155386993369</v>
      </c>
      <c r="W356">
        <f t="shared" si="51"/>
        <v>-0.25435329828790432</v>
      </c>
      <c r="X356">
        <f t="shared" si="52"/>
        <v>0.10399668008577614</v>
      </c>
      <c r="Y356">
        <f t="shared" si="53"/>
        <v>0.36604748519325236</v>
      </c>
    </row>
    <row r="357" spans="1:25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  <c r="Q357" t="str">
        <f t="shared" si="45"/>
        <v>Weekend</v>
      </c>
      <c r="R357" t="str">
        <f t="shared" si="46"/>
        <v>Mist/Cloudy</v>
      </c>
      <c r="S357" t="str">
        <f t="shared" si="47"/>
        <v>Morning</v>
      </c>
      <c r="T357" t="str">
        <f t="shared" si="48"/>
        <v>January</v>
      </c>
      <c r="U357" t="str">
        <f t="shared" si="49"/>
        <v>Spring</v>
      </c>
      <c r="V357">
        <f t="shared" si="50"/>
        <v>0.22929155386993369</v>
      </c>
      <c r="W357">
        <f t="shared" si="51"/>
        <v>-0.25435329828790432</v>
      </c>
      <c r="X357">
        <f t="shared" si="52"/>
        <v>0.10399668008577614</v>
      </c>
      <c r="Y357">
        <f t="shared" si="53"/>
        <v>0.36604748519325236</v>
      </c>
    </row>
    <row r="358" spans="1:25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  <c r="Q358" t="str">
        <f t="shared" si="45"/>
        <v>Weekend</v>
      </c>
      <c r="R358" t="str">
        <f t="shared" si="46"/>
        <v>Clear</v>
      </c>
      <c r="S358" t="str">
        <f t="shared" si="47"/>
        <v>Morning</v>
      </c>
      <c r="T358" t="str">
        <f t="shared" si="48"/>
        <v>January</v>
      </c>
      <c r="U358" t="str">
        <f t="shared" si="49"/>
        <v>Spring</v>
      </c>
      <c r="V358">
        <f t="shared" si="50"/>
        <v>0.22929155386993369</v>
      </c>
      <c r="W358">
        <f t="shared" si="51"/>
        <v>-0.25435329828790432</v>
      </c>
      <c r="X358">
        <f t="shared" si="52"/>
        <v>0.10399668008577614</v>
      </c>
      <c r="Y358">
        <f t="shared" si="53"/>
        <v>0.36604748519325236</v>
      </c>
    </row>
    <row r="359" spans="1:25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  <c r="Q359" t="str">
        <f t="shared" si="45"/>
        <v>Weekend</v>
      </c>
      <c r="R359" t="str">
        <f t="shared" si="46"/>
        <v>Clear</v>
      </c>
      <c r="S359" t="str">
        <f t="shared" si="47"/>
        <v>Morning</v>
      </c>
      <c r="T359" t="str">
        <f t="shared" si="48"/>
        <v>January</v>
      </c>
      <c r="U359" t="str">
        <f t="shared" si="49"/>
        <v>Spring</v>
      </c>
      <c r="V359">
        <f t="shared" si="50"/>
        <v>0.22929155386993369</v>
      </c>
      <c r="W359">
        <f t="shared" si="51"/>
        <v>-0.25435329828790432</v>
      </c>
      <c r="X359">
        <f t="shared" si="52"/>
        <v>0.10399668008577614</v>
      </c>
      <c r="Y359">
        <f t="shared" si="53"/>
        <v>0.36604748519325236</v>
      </c>
    </row>
    <row r="360" spans="1:25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  <c r="Q360" t="str">
        <f t="shared" si="45"/>
        <v>Weekend</v>
      </c>
      <c r="R360" t="str">
        <f t="shared" si="46"/>
        <v>Clear</v>
      </c>
      <c r="S360" t="str">
        <f t="shared" si="47"/>
        <v>Morning</v>
      </c>
      <c r="T360" t="str">
        <f t="shared" si="48"/>
        <v>January</v>
      </c>
      <c r="U360" t="str">
        <f t="shared" si="49"/>
        <v>Spring</v>
      </c>
      <c r="V360">
        <f t="shared" si="50"/>
        <v>0.22929155386993369</v>
      </c>
      <c r="W360">
        <f t="shared" si="51"/>
        <v>-0.25435329828790432</v>
      </c>
      <c r="X360">
        <f t="shared" si="52"/>
        <v>0.10399668008577614</v>
      </c>
      <c r="Y360">
        <f t="shared" si="53"/>
        <v>0.36604748519325236</v>
      </c>
    </row>
    <row r="361" spans="1:25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  <c r="Q361" t="str">
        <f t="shared" si="45"/>
        <v>Weekend</v>
      </c>
      <c r="R361" t="str">
        <f t="shared" si="46"/>
        <v>Clear</v>
      </c>
      <c r="S361" t="str">
        <f t="shared" si="47"/>
        <v>Morning</v>
      </c>
      <c r="T361" t="str">
        <f t="shared" si="48"/>
        <v>January</v>
      </c>
      <c r="U361" t="str">
        <f t="shared" si="49"/>
        <v>Spring</v>
      </c>
      <c r="V361">
        <f t="shared" si="50"/>
        <v>0.22929155386993369</v>
      </c>
      <c r="W361">
        <f t="shared" si="51"/>
        <v>-0.25435329828790432</v>
      </c>
      <c r="X361">
        <f t="shared" si="52"/>
        <v>0.10399668008577614</v>
      </c>
      <c r="Y361">
        <f t="shared" si="53"/>
        <v>0.36604748519325236</v>
      </c>
    </row>
    <row r="362" spans="1:25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  <c r="Q362" t="str">
        <f t="shared" si="45"/>
        <v>Weekend</v>
      </c>
      <c r="R362" t="str">
        <f t="shared" si="46"/>
        <v>Clear</v>
      </c>
      <c r="S362" t="str">
        <f t="shared" si="47"/>
        <v>Afternoon</v>
      </c>
      <c r="T362" t="str">
        <f t="shared" si="48"/>
        <v>January</v>
      </c>
      <c r="U362" t="str">
        <f t="shared" si="49"/>
        <v>Spring</v>
      </c>
      <c r="V362">
        <f t="shared" si="50"/>
        <v>0.22929155386993369</v>
      </c>
      <c r="W362">
        <f t="shared" si="51"/>
        <v>-0.25435329828790432</v>
      </c>
      <c r="X362">
        <f t="shared" si="52"/>
        <v>0.10399668008577614</v>
      </c>
      <c r="Y362">
        <f t="shared" si="53"/>
        <v>0.36604748519325236</v>
      </c>
    </row>
    <row r="363" spans="1:25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  <c r="Q363" t="str">
        <f t="shared" si="45"/>
        <v>Weekend</v>
      </c>
      <c r="R363" t="str">
        <f t="shared" si="46"/>
        <v>Clear</v>
      </c>
      <c r="S363" t="str">
        <f t="shared" si="47"/>
        <v>Afternoon</v>
      </c>
      <c r="T363" t="str">
        <f t="shared" si="48"/>
        <v>January</v>
      </c>
      <c r="U363" t="str">
        <f t="shared" si="49"/>
        <v>Spring</v>
      </c>
      <c r="V363">
        <f t="shared" si="50"/>
        <v>0.22929155386993369</v>
      </c>
      <c r="W363">
        <f t="shared" si="51"/>
        <v>-0.25435329828790432</v>
      </c>
      <c r="X363">
        <f t="shared" si="52"/>
        <v>0.10399668008577614</v>
      </c>
      <c r="Y363">
        <f t="shared" si="53"/>
        <v>0.36604748519325236</v>
      </c>
    </row>
    <row r="364" spans="1:25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  <c r="Q364" t="str">
        <f t="shared" si="45"/>
        <v>Weekend</v>
      </c>
      <c r="R364" t="str">
        <f t="shared" si="46"/>
        <v>Clear</v>
      </c>
      <c r="S364" t="str">
        <f t="shared" si="47"/>
        <v>Afternoon</v>
      </c>
      <c r="T364" t="str">
        <f t="shared" si="48"/>
        <v>January</v>
      </c>
      <c r="U364" t="str">
        <f t="shared" si="49"/>
        <v>Spring</v>
      </c>
      <c r="V364">
        <f t="shared" si="50"/>
        <v>0.22929155386993369</v>
      </c>
      <c r="W364">
        <f t="shared" si="51"/>
        <v>-0.25435329828790432</v>
      </c>
      <c r="X364">
        <f t="shared" si="52"/>
        <v>0.10399668008577614</v>
      </c>
      <c r="Y364">
        <f t="shared" si="53"/>
        <v>0.36604748519325236</v>
      </c>
    </row>
    <row r="365" spans="1:25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  <c r="Q365" t="str">
        <f t="shared" si="45"/>
        <v>Weekend</v>
      </c>
      <c r="R365" t="str">
        <f t="shared" si="46"/>
        <v>Clear</v>
      </c>
      <c r="S365" t="str">
        <f t="shared" si="47"/>
        <v>Afternoon</v>
      </c>
      <c r="T365" t="str">
        <f t="shared" si="48"/>
        <v>January</v>
      </c>
      <c r="U365" t="str">
        <f t="shared" si="49"/>
        <v>Spring</v>
      </c>
      <c r="V365">
        <f t="shared" si="50"/>
        <v>0.22929155386993369</v>
      </c>
      <c r="W365">
        <f t="shared" si="51"/>
        <v>-0.25435329828790432</v>
      </c>
      <c r="X365">
        <f t="shared" si="52"/>
        <v>0.10399668008577614</v>
      </c>
      <c r="Y365">
        <f t="shared" si="53"/>
        <v>0.36604748519325236</v>
      </c>
    </row>
    <row r="366" spans="1:25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  <c r="Q366" t="str">
        <f t="shared" si="45"/>
        <v>Weekend</v>
      </c>
      <c r="R366" t="str">
        <f t="shared" si="46"/>
        <v>Clear</v>
      </c>
      <c r="S366" t="str">
        <f t="shared" si="47"/>
        <v>Afternoon</v>
      </c>
      <c r="T366" t="str">
        <f t="shared" si="48"/>
        <v>January</v>
      </c>
      <c r="U366" t="str">
        <f t="shared" si="49"/>
        <v>Spring</v>
      </c>
      <c r="V366">
        <f t="shared" si="50"/>
        <v>0.22929155386993369</v>
      </c>
      <c r="W366">
        <f t="shared" si="51"/>
        <v>-0.25435329828790432</v>
      </c>
      <c r="X366">
        <f t="shared" si="52"/>
        <v>0.10399668008577614</v>
      </c>
      <c r="Y366">
        <f t="shared" si="53"/>
        <v>0.36604748519325236</v>
      </c>
    </row>
    <row r="367" spans="1:25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  <c r="Q367" t="str">
        <f t="shared" si="45"/>
        <v>Weekend</v>
      </c>
      <c r="R367" t="str">
        <f t="shared" si="46"/>
        <v>Clear</v>
      </c>
      <c r="S367" t="str">
        <f t="shared" si="47"/>
        <v>Evening</v>
      </c>
      <c r="T367" t="str">
        <f t="shared" si="48"/>
        <v>January</v>
      </c>
      <c r="U367" t="str">
        <f t="shared" si="49"/>
        <v>Spring</v>
      </c>
      <c r="V367">
        <f t="shared" si="50"/>
        <v>0.22929155386993369</v>
      </c>
      <c r="W367">
        <f t="shared" si="51"/>
        <v>-0.25435329828790432</v>
      </c>
      <c r="X367">
        <f t="shared" si="52"/>
        <v>0.10399668008577614</v>
      </c>
      <c r="Y367">
        <f t="shared" si="53"/>
        <v>0.36604748519325236</v>
      </c>
    </row>
    <row r="368" spans="1:25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  <c r="Q368" t="str">
        <f t="shared" si="45"/>
        <v>Weekend</v>
      </c>
      <c r="R368" t="str">
        <f t="shared" si="46"/>
        <v>Clear</v>
      </c>
      <c r="S368" t="str">
        <f t="shared" si="47"/>
        <v>Evening</v>
      </c>
      <c r="T368" t="str">
        <f t="shared" si="48"/>
        <v>January</v>
      </c>
      <c r="U368" t="str">
        <f t="shared" si="49"/>
        <v>Spring</v>
      </c>
      <c r="V368">
        <f t="shared" si="50"/>
        <v>0.22929155386993369</v>
      </c>
      <c r="W368">
        <f t="shared" si="51"/>
        <v>-0.25435329828790432</v>
      </c>
      <c r="X368">
        <f t="shared" si="52"/>
        <v>0.10399668008577614</v>
      </c>
      <c r="Y368">
        <f t="shared" si="53"/>
        <v>0.36604748519325236</v>
      </c>
    </row>
    <row r="369" spans="1:25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  <c r="Q369" t="str">
        <f t="shared" si="45"/>
        <v>Weekend</v>
      </c>
      <c r="R369" t="str">
        <f t="shared" si="46"/>
        <v>Clear</v>
      </c>
      <c r="S369" t="str">
        <f t="shared" si="47"/>
        <v>Evening</v>
      </c>
      <c r="T369" t="str">
        <f t="shared" si="48"/>
        <v>January</v>
      </c>
      <c r="U369" t="str">
        <f t="shared" si="49"/>
        <v>Spring</v>
      </c>
      <c r="V369">
        <f t="shared" si="50"/>
        <v>0.22929155386993369</v>
      </c>
      <c r="W369">
        <f t="shared" si="51"/>
        <v>-0.25435329828790432</v>
      </c>
      <c r="X369">
        <f t="shared" si="52"/>
        <v>0.10399668008577614</v>
      </c>
      <c r="Y369">
        <f t="shared" si="53"/>
        <v>0.36604748519325236</v>
      </c>
    </row>
    <row r="370" spans="1:25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  <c r="Q370" t="str">
        <f t="shared" si="45"/>
        <v>Weekend</v>
      </c>
      <c r="R370" t="str">
        <f t="shared" si="46"/>
        <v>Clear</v>
      </c>
      <c r="S370" t="str">
        <f t="shared" si="47"/>
        <v>Evening</v>
      </c>
      <c r="T370" t="str">
        <f t="shared" si="48"/>
        <v>January</v>
      </c>
      <c r="U370" t="str">
        <f t="shared" si="49"/>
        <v>Spring</v>
      </c>
      <c r="V370">
        <f t="shared" si="50"/>
        <v>0.22929155386993369</v>
      </c>
      <c r="W370">
        <f t="shared" si="51"/>
        <v>-0.25435329828790432</v>
      </c>
      <c r="X370">
        <f t="shared" si="52"/>
        <v>0.10399668008577614</v>
      </c>
      <c r="Y370">
        <f t="shared" si="53"/>
        <v>0.36604748519325236</v>
      </c>
    </row>
    <row r="371" spans="1:25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  <c r="Q371" t="str">
        <f t="shared" si="45"/>
        <v>Weekend</v>
      </c>
      <c r="R371" t="str">
        <f t="shared" si="46"/>
        <v>Clear</v>
      </c>
      <c r="S371" t="str">
        <f t="shared" si="47"/>
        <v>Night</v>
      </c>
      <c r="T371" t="str">
        <f t="shared" si="48"/>
        <v>January</v>
      </c>
      <c r="U371" t="str">
        <f t="shared" si="49"/>
        <v>Spring</v>
      </c>
      <c r="V371">
        <f t="shared" si="50"/>
        <v>0.22929155386993369</v>
      </c>
      <c r="W371">
        <f t="shared" si="51"/>
        <v>-0.25435329828790432</v>
      </c>
      <c r="X371">
        <f t="shared" si="52"/>
        <v>0.10399668008577614</v>
      </c>
      <c r="Y371">
        <f t="shared" si="53"/>
        <v>0.36604748519325236</v>
      </c>
    </row>
    <row r="372" spans="1:25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  <c r="Q372" t="str">
        <f t="shared" si="45"/>
        <v>Weekend</v>
      </c>
      <c r="R372" t="str">
        <f t="shared" si="46"/>
        <v>Mist/Cloudy</v>
      </c>
      <c r="S372" t="str">
        <f t="shared" si="47"/>
        <v>Night</v>
      </c>
      <c r="T372" t="str">
        <f t="shared" si="48"/>
        <v>January</v>
      </c>
      <c r="U372" t="str">
        <f t="shared" si="49"/>
        <v>Spring</v>
      </c>
      <c r="V372">
        <f t="shared" si="50"/>
        <v>0.22929155386993369</v>
      </c>
      <c r="W372">
        <f t="shared" si="51"/>
        <v>-0.25435329828790432</v>
      </c>
      <c r="X372">
        <f t="shared" si="52"/>
        <v>0.10399668008577614</v>
      </c>
      <c r="Y372">
        <f t="shared" si="53"/>
        <v>0.36604748519325236</v>
      </c>
    </row>
    <row r="373" spans="1:25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  <c r="Q373" t="str">
        <f t="shared" si="45"/>
        <v>Weekend</v>
      </c>
      <c r="R373" t="str">
        <f t="shared" si="46"/>
        <v>Mist/Cloudy</v>
      </c>
      <c r="S373" t="str">
        <f t="shared" si="47"/>
        <v>Night</v>
      </c>
      <c r="T373" t="str">
        <f t="shared" si="48"/>
        <v>January</v>
      </c>
      <c r="U373" t="str">
        <f t="shared" si="49"/>
        <v>Spring</v>
      </c>
      <c r="V373">
        <f t="shared" si="50"/>
        <v>0.22929155386993369</v>
      </c>
      <c r="W373">
        <f t="shared" si="51"/>
        <v>-0.25435329828790432</v>
      </c>
      <c r="X373">
        <f t="shared" si="52"/>
        <v>0.10399668008577614</v>
      </c>
      <c r="Y373">
        <f t="shared" si="53"/>
        <v>0.36604748519325236</v>
      </c>
    </row>
    <row r="374" spans="1:25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  <c r="Q374" t="str">
        <f t="shared" si="45"/>
        <v>Weekday</v>
      </c>
      <c r="R374" t="str">
        <f t="shared" si="46"/>
        <v>Mist/Cloudy</v>
      </c>
      <c r="S374" t="str">
        <f t="shared" si="47"/>
        <v>Night</v>
      </c>
      <c r="T374" t="str">
        <f t="shared" si="48"/>
        <v>January</v>
      </c>
      <c r="U374" t="str">
        <f t="shared" si="49"/>
        <v>Spring</v>
      </c>
      <c r="V374">
        <f t="shared" si="50"/>
        <v>0.22929155386993369</v>
      </c>
      <c r="W374">
        <f t="shared" si="51"/>
        <v>-0.25435329828790432</v>
      </c>
      <c r="X374">
        <f t="shared" si="52"/>
        <v>0.10399668008577614</v>
      </c>
      <c r="Y374">
        <f t="shared" si="53"/>
        <v>0.36604748519325236</v>
      </c>
    </row>
    <row r="375" spans="1:25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  <c r="Q375" t="str">
        <f t="shared" si="45"/>
        <v>Weekday</v>
      </c>
      <c r="R375" t="str">
        <f t="shared" si="46"/>
        <v>Mist/Cloudy</v>
      </c>
      <c r="S375" t="str">
        <f t="shared" si="47"/>
        <v>Night</v>
      </c>
      <c r="T375" t="str">
        <f t="shared" si="48"/>
        <v>January</v>
      </c>
      <c r="U375" t="str">
        <f t="shared" si="49"/>
        <v>Spring</v>
      </c>
      <c r="V375">
        <f t="shared" si="50"/>
        <v>0.22929155386993369</v>
      </c>
      <c r="W375">
        <f t="shared" si="51"/>
        <v>-0.25435329828790432</v>
      </c>
      <c r="X375">
        <f t="shared" si="52"/>
        <v>0.10399668008577614</v>
      </c>
      <c r="Y375">
        <f t="shared" si="53"/>
        <v>0.36604748519325236</v>
      </c>
    </row>
    <row r="376" spans="1:25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  <c r="Q376" t="str">
        <f t="shared" si="45"/>
        <v>Weekday</v>
      </c>
      <c r="R376" t="str">
        <f t="shared" si="46"/>
        <v>Mist/Cloudy</v>
      </c>
      <c r="S376" t="str">
        <f t="shared" si="47"/>
        <v>Night</v>
      </c>
      <c r="T376" t="str">
        <f t="shared" si="48"/>
        <v>January</v>
      </c>
      <c r="U376" t="str">
        <f t="shared" si="49"/>
        <v>Spring</v>
      </c>
      <c r="V376">
        <f t="shared" si="50"/>
        <v>0.22929155386993369</v>
      </c>
      <c r="W376">
        <f t="shared" si="51"/>
        <v>-0.25435329828790432</v>
      </c>
      <c r="X376">
        <f t="shared" si="52"/>
        <v>0.10399668008577614</v>
      </c>
      <c r="Y376">
        <f t="shared" si="53"/>
        <v>0.36604748519325236</v>
      </c>
    </row>
    <row r="377" spans="1:25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  <c r="Q377" t="str">
        <f t="shared" si="45"/>
        <v>Weekday</v>
      </c>
      <c r="R377" t="str">
        <f t="shared" si="46"/>
        <v>Mist/Cloudy</v>
      </c>
      <c r="S377" t="str">
        <f t="shared" si="47"/>
        <v>Night</v>
      </c>
      <c r="T377" t="str">
        <f t="shared" si="48"/>
        <v>January</v>
      </c>
      <c r="U377" t="str">
        <f t="shared" si="49"/>
        <v>Spring</v>
      </c>
      <c r="V377">
        <f t="shared" si="50"/>
        <v>0.22929155386993369</v>
      </c>
      <c r="W377">
        <f t="shared" si="51"/>
        <v>-0.25435329828790432</v>
      </c>
      <c r="X377">
        <f t="shared" si="52"/>
        <v>0.10399668008577614</v>
      </c>
      <c r="Y377">
        <f t="shared" si="53"/>
        <v>0.36604748519325236</v>
      </c>
    </row>
    <row r="378" spans="1:25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  <c r="Q378" t="str">
        <f t="shared" si="45"/>
        <v>Weekday</v>
      </c>
      <c r="R378" t="str">
        <f t="shared" si="46"/>
        <v>Mist/Cloudy</v>
      </c>
      <c r="S378" t="str">
        <f t="shared" si="47"/>
        <v>Night</v>
      </c>
      <c r="T378" t="str">
        <f t="shared" si="48"/>
        <v>January</v>
      </c>
      <c r="U378" t="str">
        <f t="shared" si="49"/>
        <v>Spring</v>
      </c>
      <c r="V378">
        <f t="shared" si="50"/>
        <v>0.22929155386993369</v>
      </c>
      <c r="W378">
        <f t="shared" si="51"/>
        <v>-0.25435329828790432</v>
      </c>
      <c r="X378">
        <f t="shared" si="52"/>
        <v>0.10399668008577614</v>
      </c>
      <c r="Y378">
        <f t="shared" si="53"/>
        <v>0.36604748519325236</v>
      </c>
    </row>
    <row r="379" spans="1:25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  <c r="Q379" t="str">
        <f t="shared" si="45"/>
        <v>Weekday</v>
      </c>
      <c r="R379" t="str">
        <f t="shared" si="46"/>
        <v>Mist/Cloudy</v>
      </c>
      <c r="S379" t="str">
        <f t="shared" si="47"/>
        <v>Night</v>
      </c>
      <c r="T379" t="str">
        <f t="shared" si="48"/>
        <v>January</v>
      </c>
      <c r="U379" t="str">
        <f t="shared" si="49"/>
        <v>Spring</v>
      </c>
      <c r="V379">
        <f t="shared" si="50"/>
        <v>0.22929155386993369</v>
      </c>
      <c r="W379">
        <f t="shared" si="51"/>
        <v>-0.25435329828790432</v>
      </c>
      <c r="X379">
        <f t="shared" si="52"/>
        <v>0.10399668008577614</v>
      </c>
      <c r="Y379">
        <f t="shared" si="53"/>
        <v>0.36604748519325236</v>
      </c>
    </row>
    <row r="380" spans="1:25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  <c r="Q380" t="str">
        <f t="shared" si="45"/>
        <v>Weekday</v>
      </c>
      <c r="R380" t="str">
        <f t="shared" si="46"/>
        <v>Mist/Cloudy</v>
      </c>
      <c r="S380" t="str">
        <f t="shared" si="47"/>
        <v>Morning</v>
      </c>
      <c r="T380" t="str">
        <f t="shared" si="48"/>
        <v>January</v>
      </c>
      <c r="U380" t="str">
        <f t="shared" si="49"/>
        <v>Spring</v>
      </c>
      <c r="V380">
        <f t="shared" si="50"/>
        <v>0.22929155386993369</v>
      </c>
      <c r="W380">
        <f t="shared" si="51"/>
        <v>-0.25435329828790432</v>
      </c>
      <c r="X380">
        <f t="shared" si="52"/>
        <v>0.10399668008577614</v>
      </c>
      <c r="Y380">
        <f t="shared" si="53"/>
        <v>0.36604748519325236</v>
      </c>
    </row>
    <row r="381" spans="1:25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  <c r="Q381" t="str">
        <f t="shared" si="45"/>
        <v>Weekday</v>
      </c>
      <c r="R381" t="str">
        <f t="shared" si="46"/>
        <v>Mist/Cloudy</v>
      </c>
      <c r="S381" t="str">
        <f t="shared" si="47"/>
        <v>Morning</v>
      </c>
      <c r="T381" t="str">
        <f t="shared" si="48"/>
        <v>January</v>
      </c>
      <c r="U381" t="str">
        <f t="shared" si="49"/>
        <v>Spring</v>
      </c>
      <c r="V381">
        <f t="shared" si="50"/>
        <v>0.22929155386993369</v>
      </c>
      <c r="W381">
        <f t="shared" si="51"/>
        <v>-0.25435329828790432</v>
      </c>
      <c r="X381">
        <f t="shared" si="52"/>
        <v>0.10399668008577614</v>
      </c>
      <c r="Y381">
        <f t="shared" si="53"/>
        <v>0.36604748519325236</v>
      </c>
    </row>
    <row r="382" spans="1:25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  <c r="Q382" t="str">
        <f t="shared" si="45"/>
        <v>Weekday</v>
      </c>
      <c r="R382" t="str">
        <f t="shared" si="46"/>
        <v>Mist/Cloudy</v>
      </c>
      <c r="S382" t="str">
        <f t="shared" si="47"/>
        <v>Morning</v>
      </c>
      <c r="T382" t="str">
        <f t="shared" si="48"/>
        <v>January</v>
      </c>
      <c r="U382" t="str">
        <f t="shared" si="49"/>
        <v>Spring</v>
      </c>
      <c r="V382">
        <f t="shared" si="50"/>
        <v>0.22929155386993369</v>
      </c>
      <c r="W382">
        <f t="shared" si="51"/>
        <v>-0.25435329828790432</v>
      </c>
      <c r="X382">
        <f t="shared" si="52"/>
        <v>0.10399668008577614</v>
      </c>
      <c r="Y382">
        <f t="shared" si="53"/>
        <v>0.36604748519325236</v>
      </c>
    </row>
    <row r="383" spans="1:25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  <c r="Q383" t="str">
        <f t="shared" si="45"/>
        <v>Weekday</v>
      </c>
      <c r="R383" t="str">
        <f t="shared" si="46"/>
        <v>Mist/Cloudy</v>
      </c>
      <c r="S383" t="str">
        <f t="shared" si="47"/>
        <v>Morning</v>
      </c>
      <c r="T383" t="str">
        <f t="shared" si="48"/>
        <v>January</v>
      </c>
      <c r="U383" t="str">
        <f t="shared" si="49"/>
        <v>Spring</v>
      </c>
      <c r="V383">
        <f t="shared" si="50"/>
        <v>0.22929155386993369</v>
      </c>
      <c r="W383">
        <f t="shared" si="51"/>
        <v>-0.25435329828790432</v>
      </c>
      <c r="X383">
        <f t="shared" si="52"/>
        <v>0.10399668008577614</v>
      </c>
      <c r="Y383">
        <f t="shared" si="53"/>
        <v>0.36604748519325236</v>
      </c>
    </row>
    <row r="384" spans="1:25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  <c r="Q384" t="str">
        <f t="shared" si="45"/>
        <v>Weekday</v>
      </c>
      <c r="R384" t="str">
        <f t="shared" si="46"/>
        <v>Mist/Cloudy</v>
      </c>
      <c r="S384" t="str">
        <f t="shared" si="47"/>
        <v>Morning</v>
      </c>
      <c r="T384" t="str">
        <f t="shared" si="48"/>
        <v>January</v>
      </c>
      <c r="U384" t="str">
        <f t="shared" si="49"/>
        <v>Spring</v>
      </c>
      <c r="V384">
        <f t="shared" si="50"/>
        <v>0.22929155386993369</v>
      </c>
      <c r="W384">
        <f t="shared" si="51"/>
        <v>-0.25435329828790432</v>
      </c>
      <c r="X384">
        <f t="shared" si="52"/>
        <v>0.10399668008577614</v>
      </c>
      <c r="Y384">
        <f t="shared" si="53"/>
        <v>0.36604748519325236</v>
      </c>
    </row>
    <row r="385" spans="1:25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  <c r="Q385" t="str">
        <f t="shared" si="45"/>
        <v>Weekday</v>
      </c>
      <c r="R385" t="str">
        <f t="shared" si="46"/>
        <v>Mist/Cloudy</v>
      </c>
      <c r="S385" t="str">
        <f t="shared" si="47"/>
        <v>Morning</v>
      </c>
      <c r="T385" t="str">
        <f t="shared" si="48"/>
        <v>January</v>
      </c>
      <c r="U385" t="str">
        <f t="shared" si="49"/>
        <v>Spring</v>
      </c>
      <c r="V385">
        <f t="shared" si="50"/>
        <v>0.22929155386993369</v>
      </c>
      <c r="W385">
        <f t="shared" si="51"/>
        <v>-0.25435329828790432</v>
      </c>
      <c r="X385">
        <f t="shared" si="52"/>
        <v>0.10399668008577614</v>
      </c>
      <c r="Y385">
        <f t="shared" si="53"/>
        <v>0.36604748519325236</v>
      </c>
    </row>
    <row r="386" spans="1:25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  <c r="Q386" t="str">
        <f t="shared" ref="Q386:Q449" si="54">IF(OR(WEEKDAY(B386)=1, WEEKDAY(B386)=7), "Weekend", "Weekday")</f>
        <v>Weekday</v>
      </c>
      <c r="R386" t="str">
        <f t="shared" ref="R386:R449" si="55">IF(I386=1,"Clear",IF(I386=2,"Mist/Cloudy",IF(I386=3,"Light Rain/Snow","Heavy Rain/Snow")))</f>
        <v>Mist/Cloudy</v>
      </c>
      <c r="S386" t="str">
        <f t="shared" ref="S386:S449" si="56">IF(AND(F386&gt;=6, F386&lt;12), "Morning", IF(AND(F386&gt;=12, F386&lt;17), "Afternoon", IF(AND(F386&gt;=17, F386&lt;21), "Evening", "Night")))</f>
        <v>Afternoon</v>
      </c>
      <c r="T386" t="str">
        <f t="shared" ref="T386:T449" si="57">TEXT(B386, "mmmm")</f>
        <v>January</v>
      </c>
      <c r="U386" t="str">
        <f t="shared" ref="U386:U449" si="58">CHOOSE(C386, "Spring", "Summer", "Fall", "Winter")</f>
        <v>Spring</v>
      </c>
      <c r="V386">
        <f t="shared" ref="V386:V449" si="59">CORREL($J$2:$J$1001, $P$2:$P$1001)</f>
        <v>0.22929155386993369</v>
      </c>
      <c r="W386">
        <f t="shared" ref="W386:W449" si="60">CORREL($L$2:$L$1001, $P$2:$P$1001)</f>
        <v>-0.25435329828790432</v>
      </c>
      <c r="X386">
        <f t="shared" ref="X386:X449" si="61">CORREL($M$2:$M$1001, $P$2:$P$1001)</f>
        <v>0.10399668008577614</v>
      </c>
      <c r="Y386">
        <f t="shared" ref="Y386:Y449" si="62">CORREL($F$2:$F$1001, $P$2:$P$1001)</f>
        <v>0.36604748519325236</v>
      </c>
    </row>
    <row r="387" spans="1:25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  <c r="Q387" t="str">
        <f t="shared" si="54"/>
        <v>Weekday</v>
      </c>
      <c r="R387" t="str">
        <f t="shared" si="55"/>
        <v>Mist/Cloudy</v>
      </c>
      <c r="S387" t="str">
        <f t="shared" si="56"/>
        <v>Afternoon</v>
      </c>
      <c r="T387" t="str">
        <f t="shared" si="57"/>
        <v>January</v>
      </c>
      <c r="U387" t="str">
        <f t="shared" si="58"/>
        <v>Spring</v>
      </c>
      <c r="V387">
        <f t="shared" si="59"/>
        <v>0.22929155386993369</v>
      </c>
      <c r="W387">
        <f t="shared" si="60"/>
        <v>-0.25435329828790432</v>
      </c>
      <c r="X387">
        <f t="shared" si="61"/>
        <v>0.10399668008577614</v>
      </c>
      <c r="Y387">
        <f t="shared" si="62"/>
        <v>0.36604748519325236</v>
      </c>
    </row>
    <row r="388" spans="1:25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  <c r="Q388" t="str">
        <f t="shared" si="54"/>
        <v>Weekday</v>
      </c>
      <c r="R388" t="str">
        <f t="shared" si="55"/>
        <v>Mist/Cloudy</v>
      </c>
      <c r="S388" t="str">
        <f t="shared" si="56"/>
        <v>Afternoon</v>
      </c>
      <c r="T388" t="str">
        <f t="shared" si="57"/>
        <v>January</v>
      </c>
      <c r="U388" t="str">
        <f t="shared" si="58"/>
        <v>Spring</v>
      </c>
      <c r="V388">
        <f t="shared" si="59"/>
        <v>0.22929155386993369</v>
      </c>
      <c r="W388">
        <f t="shared" si="60"/>
        <v>-0.25435329828790432</v>
      </c>
      <c r="X388">
        <f t="shared" si="61"/>
        <v>0.10399668008577614</v>
      </c>
      <c r="Y388">
        <f t="shared" si="62"/>
        <v>0.36604748519325236</v>
      </c>
    </row>
    <row r="389" spans="1:25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  <c r="Q389" t="str">
        <f t="shared" si="54"/>
        <v>Weekday</v>
      </c>
      <c r="R389" t="str">
        <f t="shared" si="55"/>
        <v>Mist/Cloudy</v>
      </c>
      <c r="S389" t="str">
        <f t="shared" si="56"/>
        <v>Afternoon</v>
      </c>
      <c r="T389" t="str">
        <f t="shared" si="57"/>
        <v>January</v>
      </c>
      <c r="U389" t="str">
        <f t="shared" si="58"/>
        <v>Spring</v>
      </c>
      <c r="V389">
        <f t="shared" si="59"/>
        <v>0.22929155386993369</v>
      </c>
      <c r="W389">
        <f t="shared" si="60"/>
        <v>-0.25435329828790432</v>
      </c>
      <c r="X389">
        <f t="shared" si="61"/>
        <v>0.10399668008577614</v>
      </c>
      <c r="Y389">
        <f t="shared" si="62"/>
        <v>0.36604748519325236</v>
      </c>
    </row>
    <row r="390" spans="1:25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  <c r="Q390" t="str">
        <f t="shared" si="54"/>
        <v>Weekday</v>
      </c>
      <c r="R390" t="str">
        <f t="shared" si="55"/>
        <v>Mist/Cloudy</v>
      </c>
      <c r="S390" t="str">
        <f t="shared" si="56"/>
        <v>Afternoon</v>
      </c>
      <c r="T390" t="str">
        <f t="shared" si="57"/>
        <v>January</v>
      </c>
      <c r="U390" t="str">
        <f t="shared" si="58"/>
        <v>Spring</v>
      </c>
      <c r="V390">
        <f t="shared" si="59"/>
        <v>0.22929155386993369</v>
      </c>
      <c r="W390">
        <f t="shared" si="60"/>
        <v>-0.25435329828790432</v>
      </c>
      <c r="X390">
        <f t="shared" si="61"/>
        <v>0.10399668008577614</v>
      </c>
      <c r="Y390">
        <f t="shared" si="62"/>
        <v>0.36604748519325236</v>
      </c>
    </row>
    <row r="391" spans="1:25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  <c r="Q391" t="str">
        <f t="shared" si="54"/>
        <v>Weekday</v>
      </c>
      <c r="R391" t="str">
        <f t="shared" si="55"/>
        <v>Clear</v>
      </c>
      <c r="S391" t="str">
        <f t="shared" si="56"/>
        <v>Evening</v>
      </c>
      <c r="T391" t="str">
        <f t="shared" si="57"/>
        <v>January</v>
      </c>
      <c r="U391" t="str">
        <f t="shared" si="58"/>
        <v>Spring</v>
      </c>
      <c r="V391">
        <f t="shared" si="59"/>
        <v>0.22929155386993369</v>
      </c>
      <c r="W391">
        <f t="shared" si="60"/>
        <v>-0.25435329828790432</v>
      </c>
      <c r="X391">
        <f t="shared" si="61"/>
        <v>0.10399668008577614</v>
      </c>
      <c r="Y391">
        <f t="shared" si="62"/>
        <v>0.36604748519325236</v>
      </c>
    </row>
    <row r="392" spans="1:25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  <c r="Q392" t="str">
        <f t="shared" si="54"/>
        <v>Weekday</v>
      </c>
      <c r="R392" t="str">
        <f t="shared" si="55"/>
        <v>Mist/Cloudy</v>
      </c>
      <c r="S392" t="str">
        <f t="shared" si="56"/>
        <v>Evening</v>
      </c>
      <c r="T392" t="str">
        <f t="shared" si="57"/>
        <v>January</v>
      </c>
      <c r="U392" t="str">
        <f t="shared" si="58"/>
        <v>Spring</v>
      </c>
      <c r="V392">
        <f t="shared" si="59"/>
        <v>0.22929155386993369</v>
      </c>
      <c r="W392">
        <f t="shared" si="60"/>
        <v>-0.25435329828790432</v>
      </c>
      <c r="X392">
        <f t="shared" si="61"/>
        <v>0.10399668008577614</v>
      </c>
      <c r="Y392">
        <f t="shared" si="62"/>
        <v>0.36604748519325236</v>
      </c>
    </row>
    <row r="393" spans="1:25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  <c r="Q393" t="str">
        <f t="shared" si="54"/>
        <v>Weekday</v>
      </c>
      <c r="R393" t="str">
        <f t="shared" si="55"/>
        <v>Light Rain/Snow</v>
      </c>
      <c r="S393" t="str">
        <f t="shared" si="56"/>
        <v>Evening</v>
      </c>
      <c r="T393" t="str">
        <f t="shared" si="57"/>
        <v>January</v>
      </c>
      <c r="U393" t="str">
        <f t="shared" si="58"/>
        <v>Spring</v>
      </c>
      <c r="V393">
        <f t="shared" si="59"/>
        <v>0.22929155386993369</v>
      </c>
      <c r="W393">
        <f t="shared" si="60"/>
        <v>-0.25435329828790432</v>
      </c>
      <c r="X393">
        <f t="shared" si="61"/>
        <v>0.10399668008577614</v>
      </c>
      <c r="Y393">
        <f t="shared" si="62"/>
        <v>0.36604748519325236</v>
      </c>
    </row>
    <row r="394" spans="1:25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  <c r="Q394" t="str">
        <f t="shared" si="54"/>
        <v>Weekday</v>
      </c>
      <c r="R394" t="str">
        <f t="shared" si="55"/>
        <v>Light Rain/Snow</v>
      </c>
      <c r="S394" t="str">
        <f t="shared" si="56"/>
        <v>Evening</v>
      </c>
      <c r="T394" t="str">
        <f t="shared" si="57"/>
        <v>January</v>
      </c>
      <c r="U394" t="str">
        <f t="shared" si="58"/>
        <v>Spring</v>
      </c>
      <c r="V394">
        <f t="shared" si="59"/>
        <v>0.22929155386993369</v>
      </c>
      <c r="W394">
        <f t="shared" si="60"/>
        <v>-0.25435329828790432</v>
      </c>
      <c r="X394">
        <f t="shared" si="61"/>
        <v>0.10399668008577614</v>
      </c>
      <c r="Y394">
        <f t="shared" si="62"/>
        <v>0.36604748519325236</v>
      </c>
    </row>
    <row r="395" spans="1:25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  <c r="Q395" t="str">
        <f t="shared" si="54"/>
        <v>Weekday</v>
      </c>
      <c r="R395" t="str">
        <f t="shared" si="55"/>
        <v>Light Rain/Snow</v>
      </c>
      <c r="S395" t="str">
        <f t="shared" si="56"/>
        <v>Night</v>
      </c>
      <c r="T395" t="str">
        <f t="shared" si="57"/>
        <v>January</v>
      </c>
      <c r="U395" t="str">
        <f t="shared" si="58"/>
        <v>Spring</v>
      </c>
      <c r="V395">
        <f t="shared" si="59"/>
        <v>0.22929155386993369</v>
      </c>
      <c r="W395">
        <f t="shared" si="60"/>
        <v>-0.25435329828790432</v>
      </c>
      <c r="X395">
        <f t="shared" si="61"/>
        <v>0.10399668008577614</v>
      </c>
      <c r="Y395">
        <f t="shared" si="62"/>
        <v>0.36604748519325236</v>
      </c>
    </row>
    <row r="396" spans="1:25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  <c r="Q396" t="str">
        <f t="shared" si="54"/>
        <v>Weekday</v>
      </c>
      <c r="R396" t="str">
        <f t="shared" si="55"/>
        <v>Light Rain/Snow</v>
      </c>
      <c r="S396" t="str">
        <f t="shared" si="56"/>
        <v>Night</v>
      </c>
      <c r="T396" t="str">
        <f t="shared" si="57"/>
        <v>January</v>
      </c>
      <c r="U396" t="str">
        <f t="shared" si="58"/>
        <v>Spring</v>
      </c>
      <c r="V396">
        <f t="shared" si="59"/>
        <v>0.22929155386993369</v>
      </c>
      <c r="W396">
        <f t="shared" si="60"/>
        <v>-0.25435329828790432</v>
      </c>
      <c r="X396">
        <f t="shared" si="61"/>
        <v>0.10399668008577614</v>
      </c>
      <c r="Y396">
        <f t="shared" si="62"/>
        <v>0.36604748519325236</v>
      </c>
    </row>
    <row r="397" spans="1:25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  <c r="Q397" t="str">
        <f t="shared" si="54"/>
        <v>Weekday</v>
      </c>
      <c r="R397" t="str">
        <f t="shared" si="55"/>
        <v>Light Rain/Snow</v>
      </c>
      <c r="S397" t="str">
        <f t="shared" si="56"/>
        <v>Night</v>
      </c>
      <c r="T397" t="str">
        <f t="shared" si="57"/>
        <v>January</v>
      </c>
      <c r="U397" t="str">
        <f t="shared" si="58"/>
        <v>Spring</v>
      </c>
      <c r="V397">
        <f t="shared" si="59"/>
        <v>0.22929155386993369</v>
      </c>
      <c r="W397">
        <f t="shared" si="60"/>
        <v>-0.25435329828790432</v>
      </c>
      <c r="X397">
        <f t="shared" si="61"/>
        <v>0.10399668008577614</v>
      </c>
      <c r="Y397">
        <f t="shared" si="62"/>
        <v>0.36604748519325236</v>
      </c>
    </row>
    <row r="398" spans="1:25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  <c r="Q398" t="str">
        <f t="shared" si="54"/>
        <v>Weekday</v>
      </c>
      <c r="R398" t="str">
        <f t="shared" si="55"/>
        <v>Mist/Cloudy</v>
      </c>
      <c r="S398" t="str">
        <f t="shared" si="56"/>
        <v>Afternoon</v>
      </c>
      <c r="T398" t="str">
        <f t="shared" si="57"/>
        <v>January</v>
      </c>
      <c r="U398" t="str">
        <f t="shared" si="58"/>
        <v>Spring</v>
      </c>
      <c r="V398">
        <f t="shared" si="59"/>
        <v>0.22929155386993369</v>
      </c>
      <c r="W398">
        <f t="shared" si="60"/>
        <v>-0.25435329828790432</v>
      </c>
      <c r="X398">
        <f t="shared" si="61"/>
        <v>0.10399668008577614</v>
      </c>
      <c r="Y398">
        <f t="shared" si="62"/>
        <v>0.36604748519325236</v>
      </c>
    </row>
    <row r="399" spans="1:25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  <c r="Q399" t="str">
        <f t="shared" si="54"/>
        <v>Weekday</v>
      </c>
      <c r="R399" t="str">
        <f t="shared" si="55"/>
        <v>Mist/Cloudy</v>
      </c>
      <c r="S399" t="str">
        <f t="shared" si="56"/>
        <v>Afternoon</v>
      </c>
      <c r="T399" t="str">
        <f t="shared" si="57"/>
        <v>January</v>
      </c>
      <c r="U399" t="str">
        <f t="shared" si="58"/>
        <v>Spring</v>
      </c>
      <c r="V399">
        <f t="shared" si="59"/>
        <v>0.22929155386993369</v>
      </c>
      <c r="W399">
        <f t="shared" si="60"/>
        <v>-0.25435329828790432</v>
      </c>
      <c r="X399">
        <f t="shared" si="61"/>
        <v>0.10399668008577614</v>
      </c>
      <c r="Y399">
        <f t="shared" si="62"/>
        <v>0.36604748519325236</v>
      </c>
    </row>
    <row r="400" spans="1:25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  <c r="Q400" t="str">
        <f t="shared" si="54"/>
        <v>Weekday</v>
      </c>
      <c r="R400" t="str">
        <f t="shared" si="55"/>
        <v>Mist/Cloudy</v>
      </c>
      <c r="S400" t="str">
        <f t="shared" si="56"/>
        <v>Afternoon</v>
      </c>
      <c r="T400" t="str">
        <f t="shared" si="57"/>
        <v>January</v>
      </c>
      <c r="U400" t="str">
        <f t="shared" si="58"/>
        <v>Spring</v>
      </c>
      <c r="V400">
        <f t="shared" si="59"/>
        <v>0.22929155386993369</v>
      </c>
      <c r="W400">
        <f t="shared" si="60"/>
        <v>-0.25435329828790432</v>
      </c>
      <c r="X400">
        <f t="shared" si="61"/>
        <v>0.10399668008577614</v>
      </c>
      <c r="Y400">
        <f t="shared" si="62"/>
        <v>0.36604748519325236</v>
      </c>
    </row>
    <row r="401" spans="1:25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  <c r="Q401" t="str">
        <f t="shared" si="54"/>
        <v>Weekday</v>
      </c>
      <c r="R401" t="str">
        <f t="shared" si="55"/>
        <v>Mist/Cloudy</v>
      </c>
      <c r="S401" t="str">
        <f t="shared" si="56"/>
        <v>Afternoon</v>
      </c>
      <c r="T401" t="str">
        <f t="shared" si="57"/>
        <v>January</v>
      </c>
      <c r="U401" t="str">
        <f t="shared" si="58"/>
        <v>Spring</v>
      </c>
      <c r="V401">
        <f t="shared" si="59"/>
        <v>0.22929155386993369</v>
      </c>
      <c r="W401">
        <f t="shared" si="60"/>
        <v>-0.25435329828790432</v>
      </c>
      <c r="X401">
        <f t="shared" si="61"/>
        <v>0.10399668008577614</v>
      </c>
      <c r="Y401">
        <f t="shared" si="62"/>
        <v>0.36604748519325236</v>
      </c>
    </row>
    <row r="402" spans="1:25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  <c r="Q402" t="str">
        <f t="shared" si="54"/>
        <v>Weekday</v>
      </c>
      <c r="R402" t="str">
        <f t="shared" si="55"/>
        <v>Mist/Cloudy</v>
      </c>
      <c r="S402" t="str">
        <f t="shared" si="56"/>
        <v>Afternoon</v>
      </c>
      <c r="T402" t="str">
        <f t="shared" si="57"/>
        <v>January</v>
      </c>
      <c r="U402" t="str">
        <f t="shared" si="58"/>
        <v>Spring</v>
      </c>
      <c r="V402">
        <f t="shared" si="59"/>
        <v>0.22929155386993369</v>
      </c>
      <c r="W402">
        <f t="shared" si="60"/>
        <v>-0.25435329828790432</v>
      </c>
      <c r="X402">
        <f t="shared" si="61"/>
        <v>0.10399668008577614</v>
      </c>
      <c r="Y402">
        <f t="shared" si="62"/>
        <v>0.36604748519325236</v>
      </c>
    </row>
    <row r="403" spans="1:25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  <c r="Q403" t="str">
        <f t="shared" si="54"/>
        <v>Weekday</v>
      </c>
      <c r="R403" t="str">
        <f t="shared" si="55"/>
        <v>Mist/Cloudy</v>
      </c>
      <c r="S403" t="str">
        <f t="shared" si="56"/>
        <v>Evening</v>
      </c>
      <c r="T403" t="str">
        <f t="shared" si="57"/>
        <v>January</v>
      </c>
      <c r="U403" t="str">
        <f t="shared" si="58"/>
        <v>Spring</v>
      </c>
      <c r="V403">
        <f t="shared" si="59"/>
        <v>0.22929155386993369</v>
      </c>
      <c r="W403">
        <f t="shared" si="60"/>
        <v>-0.25435329828790432</v>
      </c>
      <c r="X403">
        <f t="shared" si="61"/>
        <v>0.10399668008577614</v>
      </c>
      <c r="Y403">
        <f t="shared" si="62"/>
        <v>0.36604748519325236</v>
      </c>
    </row>
    <row r="404" spans="1:25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  <c r="Q404" t="str">
        <f t="shared" si="54"/>
        <v>Weekday</v>
      </c>
      <c r="R404" t="str">
        <f t="shared" si="55"/>
        <v>Mist/Cloudy</v>
      </c>
      <c r="S404" t="str">
        <f t="shared" si="56"/>
        <v>Evening</v>
      </c>
      <c r="T404" t="str">
        <f t="shared" si="57"/>
        <v>January</v>
      </c>
      <c r="U404" t="str">
        <f t="shared" si="58"/>
        <v>Spring</v>
      </c>
      <c r="V404">
        <f t="shared" si="59"/>
        <v>0.22929155386993369</v>
      </c>
      <c r="W404">
        <f t="shared" si="60"/>
        <v>-0.25435329828790432</v>
      </c>
      <c r="X404">
        <f t="shared" si="61"/>
        <v>0.10399668008577614</v>
      </c>
      <c r="Y404">
        <f t="shared" si="62"/>
        <v>0.36604748519325236</v>
      </c>
    </row>
    <row r="405" spans="1:25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  <c r="Q405" t="str">
        <f t="shared" si="54"/>
        <v>Weekday</v>
      </c>
      <c r="R405" t="str">
        <f t="shared" si="55"/>
        <v>Mist/Cloudy</v>
      </c>
      <c r="S405" t="str">
        <f t="shared" si="56"/>
        <v>Evening</v>
      </c>
      <c r="T405" t="str">
        <f t="shared" si="57"/>
        <v>January</v>
      </c>
      <c r="U405" t="str">
        <f t="shared" si="58"/>
        <v>Spring</v>
      </c>
      <c r="V405">
        <f t="shared" si="59"/>
        <v>0.22929155386993369</v>
      </c>
      <c r="W405">
        <f t="shared" si="60"/>
        <v>-0.25435329828790432</v>
      </c>
      <c r="X405">
        <f t="shared" si="61"/>
        <v>0.10399668008577614</v>
      </c>
      <c r="Y405">
        <f t="shared" si="62"/>
        <v>0.36604748519325236</v>
      </c>
    </row>
    <row r="406" spans="1:25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  <c r="Q406" t="str">
        <f t="shared" si="54"/>
        <v>Weekday</v>
      </c>
      <c r="R406" t="str">
        <f t="shared" si="55"/>
        <v>Mist/Cloudy</v>
      </c>
      <c r="S406" t="str">
        <f t="shared" si="56"/>
        <v>Evening</v>
      </c>
      <c r="T406" t="str">
        <f t="shared" si="57"/>
        <v>January</v>
      </c>
      <c r="U406" t="str">
        <f t="shared" si="58"/>
        <v>Spring</v>
      </c>
      <c r="V406">
        <f t="shared" si="59"/>
        <v>0.22929155386993369</v>
      </c>
      <c r="W406">
        <f t="shared" si="60"/>
        <v>-0.25435329828790432</v>
      </c>
      <c r="X406">
        <f t="shared" si="61"/>
        <v>0.10399668008577614</v>
      </c>
      <c r="Y406">
        <f t="shared" si="62"/>
        <v>0.36604748519325236</v>
      </c>
    </row>
    <row r="407" spans="1:25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  <c r="Q407" t="str">
        <f t="shared" si="54"/>
        <v>Weekday</v>
      </c>
      <c r="R407" t="str">
        <f t="shared" si="55"/>
        <v>Mist/Cloudy</v>
      </c>
      <c r="S407" t="str">
        <f t="shared" si="56"/>
        <v>Night</v>
      </c>
      <c r="T407" t="str">
        <f t="shared" si="57"/>
        <v>January</v>
      </c>
      <c r="U407" t="str">
        <f t="shared" si="58"/>
        <v>Spring</v>
      </c>
      <c r="V407">
        <f t="shared" si="59"/>
        <v>0.22929155386993369</v>
      </c>
      <c r="W407">
        <f t="shared" si="60"/>
        <v>-0.25435329828790432</v>
      </c>
      <c r="X407">
        <f t="shared" si="61"/>
        <v>0.10399668008577614</v>
      </c>
      <c r="Y407">
        <f t="shared" si="62"/>
        <v>0.36604748519325236</v>
      </c>
    </row>
    <row r="408" spans="1:25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  <c r="Q408" t="str">
        <f t="shared" si="54"/>
        <v>Weekday</v>
      </c>
      <c r="R408" t="str">
        <f t="shared" si="55"/>
        <v>Mist/Cloudy</v>
      </c>
      <c r="S408" t="str">
        <f t="shared" si="56"/>
        <v>Night</v>
      </c>
      <c r="T408" t="str">
        <f t="shared" si="57"/>
        <v>January</v>
      </c>
      <c r="U408" t="str">
        <f t="shared" si="58"/>
        <v>Spring</v>
      </c>
      <c r="V408">
        <f t="shared" si="59"/>
        <v>0.22929155386993369</v>
      </c>
      <c r="W408">
        <f t="shared" si="60"/>
        <v>-0.25435329828790432</v>
      </c>
      <c r="X408">
        <f t="shared" si="61"/>
        <v>0.10399668008577614</v>
      </c>
      <c r="Y408">
        <f t="shared" si="62"/>
        <v>0.36604748519325236</v>
      </c>
    </row>
    <row r="409" spans="1:25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  <c r="Q409" t="str">
        <f t="shared" si="54"/>
        <v>Weekday</v>
      </c>
      <c r="R409" t="str">
        <f t="shared" si="55"/>
        <v>Mist/Cloudy</v>
      </c>
      <c r="S409" t="str">
        <f t="shared" si="56"/>
        <v>Night</v>
      </c>
      <c r="T409" t="str">
        <f t="shared" si="57"/>
        <v>January</v>
      </c>
      <c r="U409" t="str">
        <f t="shared" si="58"/>
        <v>Spring</v>
      </c>
      <c r="V409">
        <f t="shared" si="59"/>
        <v>0.22929155386993369</v>
      </c>
      <c r="W409">
        <f t="shared" si="60"/>
        <v>-0.25435329828790432</v>
      </c>
      <c r="X409">
        <f t="shared" si="61"/>
        <v>0.10399668008577614</v>
      </c>
      <c r="Y409">
        <f t="shared" si="62"/>
        <v>0.36604748519325236</v>
      </c>
    </row>
    <row r="410" spans="1:25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  <c r="Q410" t="str">
        <f t="shared" si="54"/>
        <v>Weekday</v>
      </c>
      <c r="R410" t="str">
        <f t="shared" si="55"/>
        <v>Mist/Cloudy</v>
      </c>
      <c r="S410" t="str">
        <f t="shared" si="56"/>
        <v>Night</v>
      </c>
      <c r="T410" t="str">
        <f t="shared" si="57"/>
        <v>January</v>
      </c>
      <c r="U410" t="str">
        <f t="shared" si="58"/>
        <v>Spring</v>
      </c>
      <c r="V410">
        <f t="shared" si="59"/>
        <v>0.22929155386993369</v>
      </c>
      <c r="W410">
        <f t="shared" si="60"/>
        <v>-0.25435329828790432</v>
      </c>
      <c r="X410">
        <f t="shared" si="61"/>
        <v>0.10399668008577614</v>
      </c>
      <c r="Y410">
        <f t="shared" si="62"/>
        <v>0.36604748519325236</v>
      </c>
    </row>
    <row r="411" spans="1:25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  <c r="Q411" t="str">
        <f t="shared" si="54"/>
        <v>Weekday</v>
      </c>
      <c r="R411" t="str">
        <f t="shared" si="55"/>
        <v>Light Rain/Snow</v>
      </c>
      <c r="S411" t="str">
        <f t="shared" si="56"/>
        <v>Night</v>
      </c>
      <c r="T411" t="str">
        <f t="shared" si="57"/>
        <v>January</v>
      </c>
      <c r="U411" t="str">
        <f t="shared" si="58"/>
        <v>Spring</v>
      </c>
      <c r="V411">
        <f t="shared" si="59"/>
        <v>0.22929155386993369</v>
      </c>
      <c r="W411">
        <f t="shared" si="60"/>
        <v>-0.25435329828790432</v>
      </c>
      <c r="X411">
        <f t="shared" si="61"/>
        <v>0.10399668008577614</v>
      </c>
      <c r="Y411">
        <f t="shared" si="62"/>
        <v>0.36604748519325236</v>
      </c>
    </row>
    <row r="412" spans="1:25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  <c r="Q412" t="str">
        <f t="shared" si="54"/>
        <v>Weekday</v>
      </c>
      <c r="R412" t="str">
        <f t="shared" si="55"/>
        <v>Light Rain/Snow</v>
      </c>
      <c r="S412" t="str">
        <f t="shared" si="56"/>
        <v>Night</v>
      </c>
      <c r="T412" t="str">
        <f t="shared" si="57"/>
        <v>January</v>
      </c>
      <c r="U412" t="str">
        <f t="shared" si="58"/>
        <v>Spring</v>
      </c>
      <c r="V412">
        <f t="shared" si="59"/>
        <v>0.22929155386993369</v>
      </c>
      <c r="W412">
        <f t="shared" si="60"/>
        <v>-0.25435329828790432</v>
      </c>
      <c r="X412">
        <f t="shared" si="61"/>
        <v>0.10399668008577614</v>
      </c>
      <c r="Y412">
        <f t="shared" si="62"/>
        <v>0.36604748519325236</v>
      </c>
    </row>
    <row r="413" spans="1:25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  <c r="Q413" t="str">
        <f t="shared" si="54"/>
        <v>Weekday</v>
      </c>
      <c r="R413" t="str">
        <f t="shared" si="55"/>
        <v>Light Rain/Snow</v>
      </c>
      <c r="S413" t="str">
        <f t="shared" si="56"/>
        <v>Night</v>
      </c>
      <c r="T413" t="str">
        <f t="shared" si="57"/>
        <v>January</v>
      </c>
      <c r="U413" t="str">
        <f t="shared" si="58"/>
        <v>Spring</v>
      </c>
      <c r="V413">
        <f t="shared" si="59"/>
        <v>0.22929155386993369</v>
      </c>
      <c r="W413">
        <f t="shared" si="60"/>
        <v>-0.25435329828790432</v>
      </c>
      <c r="X413">
        <f t="shared" si="61"/>
        <v>0.10399668008577614</v>
      </c>
      <c r="Y413">
        <f t="shared" si="62"/>
        <v>0.36604748519325236</v>
      </c>
    </row>
    <row r="414" spans="1:25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  <c r="Q414" t="str">
        <f t="shared" si="54"/>
        <v>Weekday</v>
      </c>
      <c r="R414" t="str">
        <f t="shared" si="55"/>
        <v>Mist/Cloudy</v>
      </c>
      <c r="S414" t="str">
        <f t="shared" si="56"/>
        <v>Night</v>
      </c>
      <c r="T414" t="str">
        <f t="shared" si="57"/>
        <v>January</v>
      </c>
      <c r="U414" t="str">
        <f t="shared" si="58"/>
        <v>Spring</v>
      </c>
      <c r="V414">
        <f t="shared" si="59"/>
        <v>0.22929155386993369</v>
      </c>
      <c r="W414">
        <f t="shared" si="60"/>
        <v>-0.25435329828790432</v>
      </c>
      <c r="X414">
        <f t="shared" si="61"/>
        <v>0.10399668008577614</v>
      </c>
      <c r="Y414">
        <f t="shared" si="62"/>
        <v>0.36604748519325236</v>
      </c>
    </row>
    <row r="415" spans="1:25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  <c r="Q415" t="str">
        <f t="shared" si="54"/>
        <v>Weekday</v>
      </c>
      <c r="R415" t="str">
        <f t="shared" si="55"/>
        <v>Mist/Cloudy</v>
      </c>
      <c r="S415" t="str">
        <f t="shared" si="56"/>
        <v>Morning</v>
      </c>
      <c r="T415" t="str">
        <f t="shared" si="57"/>
        <v>January</v>
      </c>
      <c r="U415" t="str">
        <f t="shared" si="58"/>
        <v>Spring</v>
      </c>
      <c r="V415">
        <f t="shared" si="59"/>
        <v>0.22929155386993369</v>
      </c>
      <c r="W415">
        <f t="shared" si="60"/>
        <v>-0.25435329828790432</v>
      </c>
      <c r="X415">
        <f t="shared" si="61"/>
        <v>0.10399668008577614</v>
      </c>
      <c r="Y415">
        <f t="shared" si="62"/>
        <v>0.36604748519325236</v>
      </c>
    </row>
    <row r="416" spans="1:25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  <c r="Q416" t="str">
        <f t="shared" si="54"/>
        <v>Weekday</v>
      </c>
      <c r="R416" t="str">
        <f t="shared" si="55"/>
        <v>Mist/Cloudy</v>
      </c>
      <c r="S416" t="str">
        <f t="shared" si="56"/>
        <v>Morning</v>
      </c>
      <c r="T416" t="str">
        <f t="shared" si="57"/>
        <v>January</v>
      </c>
      <c r="U416" t="str">
        <f t="shared" si="58"/>
        <v>Spring</v>
      </c>
      <c r="V416">
        <f t="shared" si="59"/>
        <v>0.22929155386993369</v>
      </c>
      <c r="W416">
        <f t="shared" si="60"/>
        <v>-0.25435329828790432</v>
      </c>
      <c r="X416">
        <f t="shared" si="61"/>
        <v>0.10399668008577614</v>
      </c>
      <c r="Y416">
        <f t="shared" si="62"/>
        <v>0.36604748519325236</v>
      </c>
    </row>
    <row r="417" spans="1:25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  <c r="Q417" t="str">
        <f t="shared" si="54"/>
        <v>Weekday</v>
      </c>
      <c r="R417" t="str">
        <f t="shared" si="55"/>
        <v>Mist/Cloudy</v>
      </c>
      <c r="S417" t="str">
        <f t="shared" si="56"/>
        <v>Morning</v>
      </c>
      <c r="T417" t="str">
        <f t="shared" si="57"/>
        <v>January</v>
      </c>
      <c r="U417" t="str">
        <f t="shared" si="58"/>
        <v>Spring</v>
      </c>
      <c r="V417">
        <f t="shared" si="59"/>
        <v>0.22929155386993369</v>
      </c>
      <c r="W417">
        <f t="shared" si="60"/>
        <v>-0.25435329828790432</v>
      </c>
      <c r="X417">
        <f t="shared" si="61"/>
        <v>0.10399668008577614</v>
      </c>
      <c r="Y417">
        <f t="shared" si="62"/>
        <v>0.36604748519325236</v>
      </c>
    </row>
    <row r="418" spans="1:25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  <c r="Q418" t="str">
        <f t="shared" si="54"/>
        <v>Weekday</v>
      </c>
      <c r="R418" t="str">
        <f t="shared" si="55"/>
        <v>Mist/Cloudy</v>
      </c>
      <c r="S418" t="str">
        <f t="shared" si="56"/>
        <v>Morning</v>
      </c>
      <c r="T418" t="str">
        <f t="shared" si="57"/>
        <v>January</v>
      </c>
      <c r="U418" t="str">
        <f t="shared" si="58"/>
        <v>Spring</v>
      </c>
      <c r="V418">
        <f t="shared" si="59"/>
        <v>0.22929155386993369</v>
      </c>
      <c r="W418">
        <f t="shared" si="60"/>
        <v>-0.25435329828790432</v>
      </c>
      <c r="X418">
        <f t="shared" si="61"/>
        <v>0.10399668008577614</v>
      </c>
      <c r="Y418">
        <f t="shared" si="62"/>
        <v>0.36604748519325236</v>
      </c>
    </row>
    <row r="419" spans="1:25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  <c r="Q419" t="str">
        <f t="shared" si="54"/>
        <v>Weekday</v>
      </c>
      <c r="R419" t="str">
        <f t="shared" si="55"/>
        <v>Mist/Cloudy</v>
      </c>
      <c r="S419" t="str">
        <f t="shared" si="56"/>
        <v>Morning</v>
      </c>
      <c r="T419" t="str">
        <f t="shared" si="57"/>
        <v>January</v>
      </c>
      <c r="U419" t="str">
        <f t="shared" si="58"/>
        <v>Spring</v>
      </c>
      <c r="V419">
        <f t="shared" si="59"/>
        <v>0.22929155386993369</v>
      </c>
      <c r="W419">
        <f t="shared" si="60"/>
        <v>-0.25435329828790432</v>
      </c>
      <c r="X419">
        <f t="shared" si="61"/>
        <v>0.10399668008577614</v>
      </c>
      <c r="Y419">
        <f t="shared" si="62"/>
        <v>0.36604748519325236</v>
      </c>
    </row>
    <row r="420" spans="1:25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  <c r="Q420" t="str">
        <f t="shared" si="54"/>
        <v>Weekday</v>
      </c>
      <c r="R420" t="str">
        <f t="shared" si="55"/>
        <v>Mist/Cloudy</v>
      </c>
      <c r="S420" t="str">
        <f t="shared" si="56"/>
        <v>Morning</v>
      </c>
      <c r="T420" t="str">
        <f t="shared" si="57"/>
        <v>January</v>
      </c>
      <c r="U420" t="str">
        <f t="shared" si="58"/>
        <v>Spring</v>
      </c>
      <c r="V420">
        <f t="shared" si="59"/>
        <v>0.22929155386993369</v>
      </c>
      <c r="W420">
        <f t="shared" si="60"/>
        <v>-0.25435329828790432</v>
      </c>
      <c r="X420">
        <f t="shared" si="61"/>
        <v>0.10399668008577614</v>
      </c>
      <c r="Y420">
        <f t="shared" si="62"/>
        <v>0.36604748519325236</v>
      </c>
    </row>
    <row r="421" spans="1:25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  <c r="Q421" t="str">
        <f t="shared" si="54"/>
        <v>Weekday</v>
      </c>
      <c r="R421" t="str">
        <f t="shared" si="55"/>
        <v>Mist/Cloudy</v>
      </c>
      <c r="S421" t="str">
        <f t="shared" si="56"/>
        <v>Afternoon</v>
      </c>
      <c r="T421" t="str">
        <f t="shared" si="57"/>
        <v>January</v>
      </c>
      <c r="U421" t="str">
        <f t="shared" si="58"/>
        <v>Spring</v>
      </c>
      <c r="V421">
        <f t="shared" si="59"/>
        <v>0.22929155386993369</v>
      </c>
      <c r="W421">
        <f t="shared" si="60"/>
        <v>-0.25435329828790432</v>
      </c>
      <c r="X421">
        <f t="shared" si="61"/>
        <v>0.10399668008577614</v>
      </c>
      <c r="Y421">
        <f t="shared" si="62"/>
        <v>0.36604748519325236</v>
      </c>
    </row>
    <row r="422" spans="1:25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  <c r="Q422" t="str">
        <f t="shared" si="54"/>
        <v>Weekday</v>
      </c>
      <c r="R422" t="str">
        <f t="shared" si="55"/>
        <v>Clear</v>
      </c>
      <c r="S422" t="str">
        <f t="shared" si="56"/>
        <v>Afternoon</v>
      </c>
      <c r="T422" t="str">
        <f t="shared" si="57"/>
        <v>January</v>
      </c>
      <c r="U422" t="str">
        <f t="shared" si="58"/>
        <v>Spring</v>
      </c>
      <c r="V422">
        <f t="shared" si="59"/>
        <v>0.22929155386993369</v>
      </c>
      <c r="W422">
        <f t="shared" si="60"/>
        <v>-0.25435329828790432</v>
      </c>
      <c r="X422">
        <f t="shared" si="61"/>
        <v>0.10399668008577614</v>
      </c>
      <c r="Y422">
        <f t="shared" si="62"/>
        <v>0.36604748519325236</v>
      </c>
    </row>
    <row r="423" spans="1:25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  <c r="Q423" t="str">
        <f t="shared" si="54"/>
        <v>Weekday</v>
      </c>
      <c r="R423" t="str">
        <f t="shared" si="55"/>
        <v>Clear</v>
      </c>
      <c r="S423" t="str">
        <f t="shared" si="56"/>
        <v>Afternoon</v>
      </c>
      <c r="T423" t="str">
        <f t="shared" si="57"/>
        <v>January</v>
      </c>
      <c r="U423" t="str">
        <f t="shared" si="58"/>
        <v>Spring</v>
      </c>
      <c r="V423">
        <f t="shared" si="59"/>
        <v>0.22929155386993369</v>
      </c>
      <c r="W423">
        <f t="shared" si="60"/>
        <v>-0.25435329828790432</v>
      </c>
      <c r="X423">
        <f t="shared" si="61"/>
        <v>0.10399668008577614</v>
      </c>
      <c r="Y423">
        <f t="shared" si="62"/>
        <v>0.36604748519325236</v>
      </c>
    </row>
    <row r="424" spans="1:25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  <c r="Q424" t="str">
        <f t="shared" si="54"/>
        <v>Weekday</v>
      </c>
      <c r="R424" t="str">
        <f t="shared" si="55"/>
        <v>Clear</v>
      </c>
      <c r="S424" t="str">
        <f t="shared" si="56"/>
        <v>Afternoon</v>
      </c>
      <c r="T424" t="str">
        <f t="shared" si="57"/>
        <v>January</v>
      </c>
      <c r="U424" t="str">
        <f t="shared" si="58"/>
        <v>Spring</v>
      </c>
      <c r="V424">
        <f t="shared" si="59"/>
        <v>0.22929155386993369</v>
      </c>
      <c r="W424">
        <f t="shared" si="60"/>
        <v>-0.25435329828790432</v>
      </c>
      <c r="X424">
        <f t="shared" si="61"/>
        <v>0.10399668008577614</v>
      </c>
      <c r="Y424">
        <f t="shared" si="62"/>
        <v>0.36604748519325236</v>
      </c>
    </row>
    <row r="425" spans="1:25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  <c r="Q425" t="str">
        <f t="shared" si="54"/>
        <v>Weekday</v>
      </c>
      <c r="R425" t="str">
        <f t="shared" si="55"/>
        <v>Clear</v>
      </c>
      <c r="S425" t="str">
        <f t="shared" si="56"/>
        <v>Afternoon</v>
      </c>
      <c r="T425" t="str">
        <f t="shared" si="57"/>
        <v>January</v>
      </c>
      <c r="U425" t="str">
        <f t="shared" si="58"/>
        <v>Spring</v>
      </c>
      <c r="V425">
        <f t="shared" si="59"/>
        <v>0.22929155386993369</v>
      </c>
      <c r="W425">
        <f t="shared" si="60"/>
        <v>-0.25435329828790432</v>
      </c>
      <c r="X425">
        <f t="shared" si="61"/>
        <v>0.10399668008577614</v>
      </c>
      <c r="Y425">
        <f t="shared" si="62"/>
        <v>0.36604748519325236</v>
      </c>
    </row>
    <row r="426" spans="1:25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  <c r="Q426" t="str">
        <f t="shared" si="54"/>
        <v>Weekday</v>
      </c>
      <c r="R426" t="str">
        <f t="shared" si="55"/>
        <v>Clear</v>
      </c>
      <c r="S426" t="str">
        <f t="shared" si="56"/>
        <v>Evening</v>
      </c>
      <c r="T426" t="str">
        <f t="shared" si="57"/>
        <v>January</v>
      </c>
      <c r="U426" t="str">
        <f t="shared" si="58"/>
        <v>Spring</v>
      </c>
      <c r="V426">
        <f t="shared" si="59"/>
        <v>0.22929155386993369</v>
      </c>
      <c r="W426">
        <f t="shared" si="60"/>
        <v>-0.25435329828790432</v>
      </c>
      <c r="X426">
        <f t="shared" si="61"/>
        <v>0.10399668008577614</v>
      </c>
      <c r="Y426">
        <f t="shared" si="62"/>
        <v>0.36604748519325236</v>
      </c>
    </row>
    <row r="427" spans="1:25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  <c r="Q427" t="str">
        <f t="shared" si="54"/>
        <v>Weekday</v>
      </c>
      <c r="R427" t="str">
        <f t="shared" si="55"/>
        <v>Clear</v>
      </c>
      <c r="S427" t="str">
        <f t="shared" si="56"/>
        <v>Evening</v>
      </c>
      <c r="T427" t="str">
        <f t="shared" si="57"/>
        <v>January</v>
      </c>
      <c r="U427" t="str">
        <f t="shared" si="58"/>
        <v>Spring</v>
      </c>
      <c r="V427">
        <f t="shared" si="59"/>
        <v>0.22929155386993369</v>
      </c>
      <c r="W427">
        <f t="shared" si="60"/>
        <v>-0.25435329828790432</v>
      </c>
      <c r="X427">
        <f t="shared" si="61"/>
        <v>0.10399668008577614</v>
      </c>
      <c r="Y427">
        <f t="shared" si="62"/>
        <v>0.36604748519325236</v>
      </c>
    </row>
    <row r="428" spans="1:25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  <c r="Q428" t="str">
        <f t="shared" si="54"/>
        <v>Weekday</v>
      </c>
      <c r="R428" t="str">
        <f t="shared" si="55"/>
        <v>Clear</v>
      </c>
      <c r="S428" t="str">
        <f t="shared" si="56"/>
        <v>Evening</v>
      </c>
      <c r="T428" t="str">
        <f t="shared" si="57"/>
        <v>January</v>
      </c>
      <c r="U428" t="str">
        <f t="shared" si="58"/>
        <v>Spring</v>
      </c>
      <c r="V428">
        <f t="shared" si="59"/>
        <v>0.22929155386993369</v>
      </c>
      <c r="W428">
        <f t="shared" si="60"/>
        <v>-0.25435329828790432</v>
      </c>
      <c r="X428">
        <f t="shared" si="61"/>
        <v>0.10399668008577614</v>
      </c>
      <c r="Y428">
        <f t="shared" si="62"/>
        <v>0.36604748519325236</v>
      </c>
    </row>
    <row r="429" spans="1:25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  <c r="Q429" t="str">
        <f t="shared" si="54"/>
        <v>Weekday</v>
      </c>
      <c r="R429" t="str">
        <f t="shared" si="55"/>
        <v>Clear</v>
      </c>
      <c r="S429" t="str">
        <f t="shared" si="56"/>
        <v>Evening</v>
      </c>
      <c r="T429" t="str">
        <f t="shared" si="57"/>
        <v>January</v>
      </c>
      <c r="U429" t="str">
        <f t="shared" si="58"/>
        <v>Spring</v>
      </c>
      <c r="V429">
        <f t="shared" si="59"/>
        <v>0.22929155386993369</v>
      </c>
      <c r="W429">
        <f t="shared" si="60"/>
        <v>-0.25435329828790432</v>
      </c>
      <c r="X429">
        <f t="shared" si="61"/>
        <v>0.10399668008577614</v>
      </c>
      <c r="Y429">
        <f t="shared" si="62"/>
        <v>0.36604748519325236</v>
      </c>
    </row>
    <row r="430" spans="1:25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  <c r="Q430" t="str">
        <f t="shared" si="54"/>
        <v>Weekday</v>
      </c>
      <c r="R430" t="str">
        <f t="shared" si="55"/>
        <v>Clear</v>
      </c>
      <c r="S430" t="str">
        <f t="shared" si="56"/>
        <v>Night</v>
      </c>
      <c r="T430" t="str">
        <f t="shared" si="57"/>
        <v>January</v>
      </c>
      <c r="U430" t="str">
        <f t="shared" si="58"/>
        <v>Spring</v>
      </c>
      <c r="V430">
        <f t="shared" si="59"/>
        <v>0.22929155386993369</v>
      </c>
      <c r="W430">
        <f t="shared" si="60"/>
        <v>-0.25435329828790432</v>
      </c>
      <c r="X430">
        <f t="shared" si="61"/>
        <v>0.10399668008577614</v>
      </c>
      <c r="Y430">
        <f t="shared" si="62"/>
        <v>0.36604748519325236</v>
      </c>
    </row>
    <row r="431" spans="1:25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  <c r="Q431" t="str">
        <f t="shared" si="54"/>
        <v>Weekday</v>
      </c>
      <c r="R431" t="str">
        <f t="shared" si="55"/>
        <v>Clear</v>
      </c>
      <c r="S431" t="str">
        <f t="shared" si="56"/>
        <v>Night</v>
      </c>
      <c r="T431" t="str">
        <f t="shared" si="57"/>
        <v>January</v>
      </c>
      <c r="U431" t="str">
        <f t="shared" si="58"/>
        <v>Spring</v>
      </c>
      <c r="V431">
        <f t="shared" si="59"/>
        <v>0.22929155386993369</v>
      </c>
      <c r="W431">
        <f t="shared" si="60"/>
        <v>-0.25435329828790432</v>
      </c>
      <c r="X431">
        <f t="shared" si="61"/>
        <v>0.10399668008577614</v>
      </c>
      <c r="Y431">
        <f t="shared" si="62"/>
        <v>0.36604748519325236</v>
      </c>
    </row>
    <row r="432" spans="1:25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  <c r="Q432" t="str">
        <f t="shared" si="54"/>
        <v>Weekday</v>
      </c>
      <c r="R432" t="str">
        <f t="shared" si="55"/>
        <v>Clear</v>
      </c>
      <c r="S432" t="str">
        <f t="shared" si="56"/>
        <v>Night</v>
      </c>
      <c r="T432" t="str">
        <f t="shared" si="57"/>
        <v>January</v>
      </c>
      <c r="U432" t="str">
        <f t="shared" si="58"/>
        <v>Spring</v>
      </c>
      <c r="V432">
        <f t="shared" si="59"/>
        <v>0.22929155386993369</v>
      </c>
      <c r="W432">
        <f t="shared" si="60"/>
        <v>-0.25435329828790432</v>
      </c>
      <c r="X432">
        <f t="shared" si="61"/>
        <v>0.10399668008577614</v>
      </c>
      <c r="Y432">
        <f t="shared" si="62"/>
        <v>0.36604748519325236</v>
      </c>
    </row>
    <row r="433" spans="1:25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  <c r="Q433" t="str">
        <f t="shared" si="54"/>
        <v>Weekday</v>
      </c>
      <c r="R433" t="str">
        <f t="shared" si="55"/>
        <v>Clear</v>
      </c>
      <c r="S433" t="str">
        <f t="shared" si="56"/>
        <v>Night</v>
      </c>
      <c r="T433" t="str">
        <f t="shared" si="57"/>
        <v>January</v>
      </c>
      <c r="U433" t="str">
        <f t="shared" si="58"/>
        <v>Spring</v>
      </c>
      <c r="V433">
        <f t="shared" si="59"/>
        <v>0.22929155386993369</v>
      </c>
      <c r="W433">
        <f t="shared" si="60"/>
        <v>-0.25435329828790432</v>
      </c>
      <c r="X433">
        <f t="shared" si="61"/>
        <v>0.10399668008577614</v>
      </c>
      <c r="Y433">
        <f t="shared" si="62"/>
        <v>0.36604748519325236</v>
      </c>
    </row>
    <row r="434" spans="1:25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  <c r="Q434" t="str">
        <f t="shared" si="54"/>
        <v>Weekday</v>
      </c>
      <c r="R434" t="str">
        <f t="shared" si="55"/>
        <v>Clear</v>
      </c>
      <c r="S434" t="str">
        <f t="shared" si="56"/>
        <v>Night</v>
      </c>
      <c r="T434" t="str">
        <f t="shared" si="57"/>
        <v>January</v>
      </c>
      <c r="U434" t="str">
        <f t="shared" si="58"/>
        <v>Spring</v>
      </c>
      <c r="V434">
        <f t="shared" si="59"/>
        <v>0.22929155386993369</v>
      </c>
      <c r="W434">
        <f t="shared" si="60"/>
        <v>-0.25435329828790432</v>
      </c>
      <c r="X434">
        <f t="shared" si="61"/>
        <v>0.10399668008577614</v>
      </c>
      <c r="Y434">
        <f t="shared" si="62"/>
        <v>0.36604748519325236</v>
      </c>
    </row>
    <row r="435" spans="1:25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  <c r="Q435" t="str">
        <f t="shared" si="54"/>
        <v>Weekday</v>
      </c>
      <c r="R435" t="str">
        <f t="shared" si="55"/>
        <v>Clear</v>
      </c>
      <c r="S435" t="str">
        <f t="shared" si="56"/>
        <v>Night</v>
      </c>
      <c r="T435" t="str">
        <f t="shared" si="57"/>
        <v>January</v>
      </c>
      <c r="U435" t="str">
        <f t="shared" si="58"/>
        <v>Spring</v>
      </c>
      <c r="V435">
        <f t="shared" si="59"/>
        <v>0.22929155386993369</v>
      </c>
      <c r="W435">
        <f t="shared" si="60"/>
        <v>-0.25435329828790432</v>
      </c>
      <c r="X435">
        <f t="shared" si="61"/>
        <v>0.10399668008577614</v>
      </c>
      <c r="Y435">
        <f t="shared" si="62"/>
        <v>0.36604748519325236</v>
      </c>
    </row>
    <row r="436" spans="1:25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  <c r="Q436" t="str">
        <f t="shared" si="54"/>
        <v>Weekday</v>
      </c>
      <c r="R436" t="str">
        <f t="shared" si="55"/>
        <v>Clear</v>
      </c>
      <c r="S436" t="str">
        <f t="shared" si="56"/>
        <v>Night</v>
      </c>
      <c r="T436" t="str">
        <f t="shared" si="57"/>
        <v>January</v>
      </c>
      <c r="U436" t="str">
        <f t="shared" si="58"/>
        <v>Spring</v>
      </c>
      <c r="V436">
        <f t="shared" si="59"/>
        <v>0.22929155386993369</v>
      </c>
      <c r="W436">
        <f t="shared" si="60"/>
        <v>-0.25435329828790432</v>
      </c>
      <c r="X436">
        <f t="shared" si="61"/>
        <v>0.10399668008577614</v>
      </c>
      <c r="Y436">
        <f t="shared" si="62"/>
        <v>0.36604748519325236</v>
      </c>
    </row>
    <row r="437" spans="1:25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  <c r="Q437" t="str">
        <f t="shared" si="54"/>
        <v>Weekday</v>
      </c>
      <c r="R437" t="str">
        <f t="shared" si="55"/>
        <v>Clear</v>
      </c>
      <c r="S437" t="str">
        <f t="shared" si="56"/>
        <v>Night</v>
      </c>
      <c r="T437" t="str">
        <f t="shared" si="57"/>
        <v>January</v>
      </c>
      <c r="U437" t="str">
        <f t="shared" si="58"/>
        <v>Spring</v>
      </c>
      <c r="V437">
        <f t="shared" si="59"/>
        <v>0.22929155386993369</v>
      </c>
      <c r="W437">
        <f t="shared" si="60"/>
        <v>-0.25435329828790432</v>
      </c>
      <c r="X437">
        <f t="shared" si="61"/>
        <v>0.10399668008577614</v>
      </c>
      <c r="Y437">
        <f t="shared" si="62"/>
        <v>0.36604748519325236</v>
      </c>
    </row>
    <row r="438" spans="1:25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  <c r="Q438" t="str">
        <f t="shared" si="54"/>
        <v>Weekday</v>
      </c>
      <c r="R438" t="str">
        <f t="shared" si="55"/>
        <v>Clear</v>
      </c>
      <c r="S438" t="str">
        <f t="shared" si="56"/>
        <v>Night</v>
      </c>
      <c r="T438" t="str">
        <f t="shared" si="57"/>
        <v>January</v>
      </c>
      <c r="U438" t="str">
        <f t="shared" si="58"/>
        <v>Spring</v>
      </c>
      <c r="V438">
        <f t="shared" si="59"/>
        <v>0.22929155386993369</v>
      </c>
      <c r="W438">
        <f t="shared" si="60"/>
        <v>-0.25435329828790432</v>
      </c>
      <c r="X438">
        <f t="shared" si="61"/>
        <v>0.10399668008577614</v>
      </c>
      <c r="Y438">
        <f t="shared" si="62"/>
        <v>0.36604748519325236</v>
      </c>
    </row>
    <row r="439" spans="1:25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  <c r="Q439" t="str">
        <f t="shared" si="54"/>
        <v>Weekday</v>
      </c>
      <c r="R439" t="str">
        <f t="shared" si="55"/>
        <v>Clear</v>
      </c>
      <c r="S439" t="str">
        <f t="shared" si="56"/>
        <v>Morning</v>
      </c>
      <c r="T439" t="str">
        <f t="shared" si="57"/>
        <v>January</v>
      </c>
      <c r="U439" t="str">
        <f t="shared" si="58"/>
        <v>Spring</v>
      </c>
      <c r="V439">
        <f t="shared" si="59"/>
        <v>0.22929155386993369</v>
      </c>
      <c r="W439">
        <f t="shared" si="60"/>
        <v>-0.25435329828790432</v>
      </c>
      <c r="X439">
        <f t="shared" si="61"/>
        <v>0.10399668008577614</v>
      </c>
      <c r="Y439">
        <f t="shared" si="62"/>
        <v>0.36604748519325236</v>
      </c>
    </row>
    <row r="440" spans="1:25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  <c r="Q440" t="str">
        <f t="shared" si="54"/>
        <v>Weekday</v>
      </c>
      <c r="R440" t="str">
        <f t="shared" si="55"/>
        <v>Clear</v>
      </c>
      <c r="S440" t="str">
        <f t="shared" si="56"/>
        <v>Morning</v>
      </c>
      <c r="T440" t="str">
        <f t="shared" si="57"/>
        <v>January</v>
      </c>
      <c r="U440" t="str">
        <f t="shared" si="58"/>
        <v>Spring</v>
      </c>
      <c r="V440">
        <f t="shared" si="59"/>
        <v>0.22929155386993369</v>
      </c>
      <c r="W440">
        <f t="shared" si="60"/>
        <v>-0.25435329828790432</v>
      </c>
      <c r="X440">
        <f t="shared" si="61"/>
        <v>0.10399668008577614</v>
      </c>
      <c r="Y440">
        <f t="shared" si="62"/>
        <v>0.36604748519325236</v>
      </c>
    </row>
    <row r="441" spans="1:25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  <c r="Q441" t="str">
        <f t="shared" si="54"/>
        <v>Weekday</v>
      </c>
      <c r="R441" t="str">
        <f t="shared" si="55"/>
        <v>Clear</v>
      </c>
      <c r="S441" t="str">
        <f t="shared" si="56"/>
        <v>Morning</v>
      </c>
      <c r="T441" t="str">
        <f t="shared" si="57"/>
        <v>January</v>
      </c>
      <c r="U441" t="str">
        <f t="shared" si="58"/>
        <v>Spring</v>
      </c>
      <c r="V441">
        <f t="shared" si="59"/>
        <v>0.22929155386993369</v>
      </c>
      <c r="W441">
        <f t="shared" si="60"/>
        <v>-0.25435329828790432</v>
      </c>
      <c r="X441">
        <f t="shared" si="61"/>
        <v>0.10399668008577614</v>
      </c>
      <c r="Y441">
        <f t="shared" si="62"/>
        <v>0.36604748519325236</v>
      </c>
    </row>
    <row r="442" spans="1:25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  <c r="Q442" t="str">
        <f t="shared" si="54"/>
        <v>Weekday</v>
      </c>
      <c r="R442" t="str">
        <f t="shared" si="55"/>
        <v>Mist/Cloudy</v>
      </c>
      <c r="S442" t="str">
        <f t="shared" si="56"/>
        <v>Morning</v>
      </c>
      <c r="T442" t="str">
        <f t="shared" si="57"/>
        <v>January</v>
      </c>
      <c r="U442" t="str">
        <f t="shared" si="58"/>
        <v>Spring</v>
      </c>
      <c r="V442">
        <f t="shared" si="59"/>
        <v>0.22929155386993369</v>
      </c>
      <c r="W442">
        <f t="shared" si="60"/>
        <v>-0.25435329828790432</v>
      </c>
      <c r="X442">
        <f t="shared" si="61"/>
        <v>0.10399668008577614</v>
      </c>
      <c r="Y442">
        <f t="shared" si="62"/>
        <v>0.36604748519325236</v>
      </c>
    </row>
    <row r="443" spans="1:25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  <c r="Q443" t="str">
        <f t="shared" si="54"/>
        <v>Weekday</v>
      </c>
      <c r="R443" t="str">
        <f t="shared" si="55"/>
        <v>Clear</v>
      </c>
      <c r="S443" t="str">
        <f t="shared" si="56"/>
        <v>Morning</v>
      </c>
      <c r="T443" t="str">
        <f t="shared" si="57"/>
        <v>January</v>
      </c>
      <c r="U443" t="str">
        <f t="shared" si="58"/>
        <v>Spring</v>
      </c>
      <c r="V443">
        <f t="shared" si="59"/>
        <v>0.22929155386993369</v>
      </c>
      <c r="W443">
        <f t="shared" si="60"/>
        <v>-0.25435329828790432</v>
      </c>
      <c r="X443">
        <f t="shared" si="61"/>
        <v>0.10399668008577614</v>
      </c>
      <c r="Y443">
        <f t="shared" si="62"/>
        <v>0.36604748519325236</v>
      </c>
    </row>
    <row r="444" spans="1:25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  <c r="Q444" t="str">
        <f t="shared" si="54"/>
        <v>Weekday</v>
      </c>
      <c r="R444" t="str">
        <f t="shared" si="55"/>
        <v>Mist/Cloudy</v>
      </c>
      <c r="S444" t="str">
        <f t="shared" si="56"/>
        <v>Morning</v>
      </c>
      <c r="T444" t="str">
        <f t="shared" si="57"/>
        <v>January</v>
      </c>
      <c r="U444" t="str">
        <f t="shared" si="58"/>
        <v>Spring</v>
      </c>
      <c r="V444">
        <f t="shared" si="59"/>
        <v>0.22929155386993369</v>
      </c>
      <c r="W444">
        <f t="shared" si="60"/>
        <v>-0.25435329828790432</v>
      </c>
      <c r="X444">
        <f t="shared" si="61"/>
        <v>0.10399668008577614</v>
      </c>
      <c r="Y444">
        <f t="shared" si="62"/>
        <v>0.36604748519325236</v>
      </c>
    </row>
    <row r="445" spans="1:25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  <c r="Q445" t="str">
        <f t="shared" si="54"/>
        <v>Weekday</v>
      </c>
      <c r="R445" t="str">
        <f t="shared" si="55"/>
        <v>Mist/Cloudy</v>
      </c>
      <c r="S445" t="str">
        <f t="shared" si="56"/>
        <v>Afternoon</v>
      </c>
      <c r="T445" t="str">
        <f t="shared" si="57"/>
        <v>January</v>
      </c>
      <c r="U445" t="str">
        <f t="shared" si="58"/>
        <v>Spring</v>
      </c>
      <c r="V445">
        <f t="shared" si="59"/>
        <v>0.22929155386993369</v>
      </c>
      <c r="W445">
        <f t="shared" si="60"/>
        <v>-0.25435329828790432</v>
      </c>
      <c r="X445">
        <f t="shared" si="61"/>
        <v>0.10399668008577614</v>
      </c>
      <c r="Y445">
        <f t="shared" si="62"/>
        <v>0.36604748519325236</v>
      </c>
    </row>
    <row r="446" spans="1:25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  <c r="Q446" t="str">
        <f t="shared" si="54"/>
        <v>Weekday</v>
      </c>
      <c r="R446" t="str">
        <f t="shared" si="55"/>
        <v>Mist/Cloudy</v>
      </c>
      <c r="S446" t="str">
        <f t="shared" si="56"/>
        <v>Afternoon</v>
      </c>
      <c r="T446" t="str">
        <f t="shared" si="57"/>
        <v>January</v>
      </c>
      <c r="U446" t="str">
        <f t="shared" si="58"/>
        <v>Spring</v>
      </c>
      <c r="V446">
        <f t="shared" si="59"/>
        <v>0.22929155386993369</v>
      </c>
      <c r="W446">
        <f t="shared" si="60"/>
        <v>-0.25435329828790432</v>
      </c>
      <c r="X446">
        <f t="shared" si="61"/>
        <v>0.10399668008577614</v>
      </c>
      <c r="Y446">
        <f t="shared" si="62"/>
        <v>0.36604748519325236</v>
      </c>
    </row>
    <row r="447" spans="1:25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  <c r="Q447" t="str">
        <f t="shared" si="54"/>
        <v>Weekday</v>
      </c>
      <c r="R447" t="str">
        <f t="shared" si="55"/>
        <v>Mist/Cloudy</v>
      </c>
      <c r="S447" t="str">
        <f t="shared" si="56"/>
        <v>Afternoon</v>
      </c>
      <c r="T447" t="str">
        <f t="shared" si="57"/>
        <v>January</v>
      </c>
      <c r="U447" t="str">
        <f t="shared" si="58"/>
        <v>Spring</v>
      </c>
      <c r="V447">
        <f t="shared" si="59"/>
        <v>0.22929155386993369</v>
      </c>
      <c r="W447">
        <f t="shared" si="60"/>
        <v>-0.25435329828790432</v>
      </c>
      <c r="X447">
        <f t="shared" si="61"/>
        <v>0.10399668008577614</v>
      </c>
      <c r="Y447">
        <f t="shared" si="62"/>
        <v>0.36604748519325236</v>
      </c>
    </row>
    <row r="448" spans="1:25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  <c r="Q448" t="str">
        <f t="shared" si="54"/>
        <v>Weekday</v>
      </c>
      <c r="R448" t="str">
        <f t="shared" si="55"/>
        <v>Mist/Cloudy</v>
      </c>
      <c r="S448" t="str">
        <f t="shared" si="56"/>
        <v>Afternoon</v>
      </c>
      <c r="T448" t="str">
        <f t="shared" si="57"/>
        <v>January</v>
      </c>
      <c r="U448" t="str">
        <f t="shared" si="58"/>
        <v>Spring</v>
      </c>
      <c r="V448">
        <f t="shared" si="59"/>
        <v>0.22929155386993369</v>
      </c>
      <c r="W448">
        <f t="shared" si="60"/>
        <v>-0.25435329828790432</v>
      </c>
      <c r="X448">
        <f t="shared" si="61"/>
        <v>0.10399668008577614</v>
      </c>
      <c r="Y448">
        <f t="shared" si="62"/>
        <v>0.36604748519325236</v>
      </c>
    </row>
    <row r="449" spans="1:25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  <c r="Q449" t="str">
        <f t="shared" si="54"/>
        <v>Weekday</v>
      </c>
      <c r="R449" t="str">
        <f t="shared" si="55"/>
        <v>Mist/Cloudy</v>
      </c>
      <c r="S449" t="str">
        <f t="shared" si="56"/>
        <v>Afternoon</v>
      </c>
      <c r="T449" t="str">
        <f t="shared" si="57"/>
        <v>January</v>
      </c>
      <c r="U449" t="str">
        <f t="shared" si="58"/>
        <v>Spring</v>
      </c>
      <c r="V449">
        <f t="shared" si="59"/>
        <v>0.22929155386993369</v>
      </c>
      <c r="W449">
        <f t="shared" si="60"/>
        <v>-0.25435329828790432</v>
      </c>
      <c r="X449">
        <f t="shared" si="61"/>
        <v>0.10399668008577614</v>
      </c>
      <c r="Y449">
        <f t="shared" si="62"/>
        <v>0.36604748519325236</v>
      </c>
    </row>
    <row r="450" spans="1:25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  <c r="Q450" t="str">
        <f t="shared" ref="Q450:Q513" si="63">IF(OR(WEEKDAY(B450)=1, WEEKDAY(B450)=7), "Weekend", "Weekday")</f>
        <v>Weekday</v>
      </c>
      <c r="R450" t="str">
        <f t="shared" ref="R450:R513" si="64">IF(I450=1,"Clear",IF(I450=2,"Mist/Cloudy",IF(I450=3,"Light Rain/Snow","Heavy Rain/Snow")))</f>
        <v>Mist/Cloudy</v>
      </c>
      <c r="S450" t="str">
        <f t="shared" ref="S450:S513" si="65">IF(AND(F450&gt;=6, F450&lt;12), "Morning", IF(AND(F450&gt;=12, F450&lt;17), "Afternoon", IF(AND(F450&gt;=17, F450&lt;21), "Evening", "Night")))</f>
        <v>Evening</v>
      </c>
      <c r="T450" t="str">
        <f t="shared" ref="T450:T513" si="66">TEXT(B450, "mmmm")</f>
        <v>January</v>
      </c>
      <c r="U450" t="str">
        <f t="shared" ref="U450:U513" si="67">CHOOSE(C450, "Spring", "Summer", "Fall", "Winter")</f>
        <v>Spring</v>
      </c>
      <c r="V450">
        <f t="shared" ref="V450:V513" si="68">CORREL($J$2:$J$1001, $P$2:$P$1001)</f>
        <v>0.22929155386993369</v>
      </c>
      <c r="W450">
        <f t="shared" ref="W450:W513" si="69">CORREL($L$2:$L$1001, $P$2:$P$1001)</f>
        <v>-0.25435329828790432</v>
      </c>
      <c r="X450">
        <f t="shared" ref="X450:X513" si="70">CORREL($M$2:$M$1001, $P$2:$P$1001)</f>
        <v>0.10399668008577614</v>
      </c>
      <c r="Y450">
        <f t="shared" ref="Y450:Y513" si="71">CORREL($F$2:$F$1001, $P$2:$P$1001)</f>
        <v>0.36604748519325236</v>
      </c>
    </row>
    <row r="451" spans="1:25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  <c r="Q451" t="str">
        <f t="shared" si="63"/>
        <v>Weekday</v>
      </c>
      <c r="R451" t="str">
        <f t="shared" si="64"/>
        <v>Mist/Cloudy</v>
      </c>
      <c r="S451" t="str">
        <f t="shared" si="65"/>
        <v>Evening</v>
      </c>
      <c r="T451" t="str">
        <f t="shared" si="66"/>
        <v>January</v>
      </c>
      <c r="U451" t="str">
        <f t="shared" si="67"/>
        <v>Spring</v>
      </c>
      <c r="V451">
        <f t="shared" si="68"/>
        <v>0.22929155386993369</v>
      </c>
      <c r="W451">
        <f t="shared" si="69"/>
        <v>-0.25435329828790432</v>
      </c>
      <c r="X451">
        <f t="shared" si="70"/>
        <v>0.10399668008577614</v>
      </c>
      <c r="Y451">
        <f t="shared" si="71"/>
        <v>0.36604748519325236</v>
      </c>
    </row>
    <row r="452" spans="1:25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  <c r="Q452" t="str">
        <f t="shared" si="63"/>
        <v>Weekday</v>
      </c>
      <c r="R452" t="str">
        <f t="shared" si="64"/>
        <v>Clear</v>
      </c>
      <c r="S452" t="str">
        <f t="shared" si="65"/>
        <v>Evening</v>
      </c>
      <c r="T452" t="str">
        <f t="shared" si="66"/>
        <v>January</v>
      </c>
      <c r="U452" t="str">
        <f t="shared" si="67"/>
        <v>Spring</v>
      </c>
      <c r="V452">
        <f t="shared" si="68"/>
        <v>0.22929155386993369</v>
      </c>
      <c r="W452">
        <f t="shared" si="69"/>
        <v>-0.25435329828790432</v>
      </c>
      <c r="X452">
        <f t="shared" si="70"/>
        <v>0.10399668008577614</v>
      </c>
      <c r="Y452">
        <f t="shared" si="71"/>
        <v>0.36604748519325236</v>
      </c>
    </row>
    <row r="453" spans="1:25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  <c r="Q453" t="str">
        <f t="shared" si="63"/>
        <v>Weekday</v>
      </c>
      <c r="R453" t="str">
        <f t="shared" si="64"/>
        <v>Mist/Cloudy</v>
      </c>
      <c r="S453" t="str">
        <f t="shared" si="65"/>
        <v>Evening</v>
      </c>
      <c r="T453" t="str">
        <f t="shared" si="66"/>
        <v>January</v>
      </c>
      <c r="U453" t="str">
        <f t="shared" si="67"/>
        <v>Spring</v>
      </c>
      <c r="V453">
        <f t="shared" si="68"/>
        <v>0.22929155386993369</v>
      </c>
      <c r="W453">
        <f t="shared" si="69"/>
        <v>-0.25435329828790432</v>
      </c>
      <c r="X453">
        <f t="shared" si="70"/>
        <v>0.10399668008577614</v>
      </c>
      <c r="Y453">
        <f t="shared" si="71"/>
        <v>0.36604748519325236</v>
      </c>
    </row>
    <row r="454" spans="1:25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  <c r="Q454" t="str">
        <f t="shared" si="63"/>
        <v>Weekday</v>
      </c>
      <c r="R454" t="str">
        <f t="shared" si="64"/>
        <v>Mist/Cloudy</v>
      </c>
      <c r="S454" t="str">
        <f t="shared" si="65"/>
        <v>Night</v>
      </c>
      <c r="T454" t="str">
        <f t="shared" si="66"/>
        <v>January</v>
      </c>
      <c r="U454" t="str">
        <f t="shared" si="67"/>
        <v>Spring</v>
      </c>
      <c r="V454">
        <f t="shared" si="68"/>
        <v>0.22929155386993369</v>
      </c>
      <c r="W454">
        <f t="shared" si="69"/>
        <v>-0.25435329828790432</v>
      </c>
      <c r="X454">
        <f t="shared" si="70"/>
        <v>0.10399668008577614</v>
      </c>
      <c r="Y454">
        <f t="shared" si="71"/>
        <v>0.36604748519325236</v>
      </c>
    </row>
    <row r="455" spans="1:25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  <c r="Q455" t="str">
        <f t="shared" si="63"/>
        <v>Weekday</v>
      </c>
      <c r="R455" t="str">
        <f t="shared" si="64"/>
        <v>Mist/Cloudy</v>
      </c>
      <c r="S455" t="str">
        <f t="shared" si="65"/>
        <v>Night</v>
      </c>
      <c r="T455" t="str">
        <f t="shared" si="66"/>
        <v>January</v>
      </c>
      <c r="U455" t="str">
        <f t="shared" si="67"/>
        <v>Spring</v>
      </c>
      <c r="V455">
        <f t="shared" si="68"/>
        <v>0.22929155386993369</v>
      </c>
      <c r="W455">
        <f t="shared" si="69"/>
        <v>-0.25435329828790432</v>
      </c>
      <c r="X455">
        <f t="shared" si="70"/>
        <v>0.10399668008577614</v>
      </c>
      <c r="Y455">
        <f t="shared" si="71"/>
        <v>0.36604748519325236</v>
      </c>
    </row>
    <row r="456" spans="1:25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  <c r="Q456" t="str">
        <f t="shared" si="63"/>
        <v>Weekday</v>
      </c>
      <c r="R456" t="str">
        <f t="shared" si="64"/>
        <v>Mist/Cloudy</v>
      </c>
      <c r="S456" t="str">
        <f t="shared" si="65"/>
        <v>Night</v>
      </c>
      <c r="T456" t="str">
        <f t="shared" si="66"/>
        <v>January</v>
      </c>
      <c r="U456" t="str">
        <f t="shared" si="67"/>
        <v>Spring</v>
      </c>
      <c r="V456">
        <f t="shared" si="68"/>
        <v>0.22929155386993369</v>
      </c>
      <c r="W456">
        <f t="shared" si="69"/>
        <v>-0.25435329828790432</v>
      </c>
      <c r="X456">
        <f t="shared" si="70"/>
        <v>0.10399668008577614</v>
      </c>
      <c r="Y456">
        <f t="shared" si="71"/>
        <v>0.36604748519325236</v>
      </c>
    </row>
    <row r="457" spans="1:25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  <c r="Q457" t="str">
        <f t="shared" si="63"/>
        <v>Weekday</v>
      </c>
      <c r="R457" t="str">
        <f t="shared" si="64"/>
        <v>Mist/Cloudy</v>
      </c>
      <c r="S457" t="str">
        <f t="shared" si="65"/>
        <v>Night</v>
      </c>
      <c r="T457" t="str">
        <f t="shared" si="66"/>
        <v>January</v>
      </c>
      <c r="U457" t="str">
        <f t="shared" si="67"/>
        <v>Spring</v>
      </c>
      <c r="V457">
        <f t="shared" si="68"/>
        <v>0.22929155386993369</v>
      </c>
      <c r="W457">
        <f t="shared" si="69"/>
        <v>-0.25435329828790432</v>
      </c>
      <c r="X457">
        <f t="shared" si="70"/>
        <v>0.10399668008577614</v>
      </c>
      <c r="Y457">
        <f t="shared" si="71"/>
        <v>0.36604748519325236</v>
      </c>
    </row>
    <row r="458" spans="1:25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  <c r="Q458" t="str">
        <f t="shared" si="63"/>
        <v>Weekday</v>
      </c>
      <c r="R458" t="str">
        <f t="shared" si="64"/>
        <v>Mist/Cloudy</v>
      </c>
      <c r="S458" t="str">
        <f t="shared" si="65"/>
        <v>Night</v>
      </c>
      <c r="T458" t="str">
        <f t="shared" si="66"/>
        <v>January</v>
      </c>
      <c r="U458" t="str">
        <f t="shared" si="67"/>
        <v>Spring</v>
      </c>
      <c r="V458">
        <f t="shared" si="68"/>
        <v>0.22929155386993369</v>
      </c>
      <c r="W458">
        <f t="shared" si="69"/>
        <v>-0.25435329828790432</v>
      </c>
      <c r="X458">
        <f t="shared" si="70"/>
        <v>0.10399668008577614</v>
      </c>
      <c r="Y458">
        <f t="shared" si="71"/>
        <v>0.36604748519325236</v>
      </c>
    </row>
    <row r="459" spans="1:25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  <c r="Q459" t="str">
        <f t="shared" si="63"/>
        <v>Weekday</v>
      </c>
      <c r="R459" t="str">
        <f t="shared" si="64"/>
        <v>Light Rain/Snow</v>
      </c>
      <c r="S459" t="str">
        <f t="shared" si="65"/>
        <v>Night</v>
      </c>
      <c r="T459" t="str">
        <f t="shared" si="66"/>
        <v>January</v>
      </c>
      <c r="U459" t="str">
        <f t="shared" si="67"/>
        <v>Spring</v>
      </c>
      <c r="V459">
        <f t="shared" si="68"/>
        <v>0.22929155386993369</v>
      </c>
      <c r="W459">
        <f t="shared" si="69"/>
        <v>-0.25435329828790432</v>
      </c>
      <c r="X459">
        <f t="shared" si="70"/>
        <v>0.10399668008577614</v>
      </c>
      <c r="Y459">
        <f t="shared" si="71"/>
        <v>0.36604748519325236</v>
      </c>
    </row>
    <row r="460" spans="1:25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  <c r="Q460" t="str">
        <f t="shared" si="63"/>
        <v>Weekday</v>
      </c>
      <c r="R460" t="str">
        <f t="shared" si="64"/>
        <v>Light Rain/Snow</v>
      </c>
      <c r="S460" t="str">
        <f t="shared" si="65"/>
        <v>Night</v>
      </c>
      <c r="T460" t="str">
        <f t="shared" si="66"/>
        <v>January</v>
      </c>
      <c r="U460" t="str">
        <f t="shared" si="67"/>
        <v>Spring</v>
      </c>
      <c r="V460">
        <f t="shared" si="68"/>
        <v>0.22929155386993369</v>
      </c>
      <c r="W460">
        <f t="shared" si="69"/>
        <v>-0.25435329828790432</v>
      </c>
      <c r="X460">
        <f t="shared" si="70"/>
        <v>0.10399668008577614</v>
      </c>
      <c r="Y460">
        <f t="shared" si="71"/>
        <v>0.36604748519325236</v>
      </c>
    </row>
    <row r="461" spans="1:25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  <c r="Q461" t="str">
        <f t="shared" si="63"/>
        <v>Weekday</v>
      </c>
      <c r="R461" t="str">
        <f t="shared" si="64"/>
        <v>Mist/Cloudy</v>
      </c>
      <c r="S461" t="str">
        <f t="shared" si="65"/>
        <v>Night</v>
      </c>
      <c r="T461" t="str">
        <f t="shared" si="66"/>
        <v>January</v>
      </c>
      <c r="U461" t="str">
        <f t="shared" si="67"/>
        <v>Spring</v>
      </c>
      <c r="V461">
        <f t="shared" si="68"/>
        <v>0.22929155386993369</v>
      </c>
      <c r="W461">
        <f t="shared" si="69"/>
        <v>-0.25435329828790432</v>
      </c>
      <c r="X461">
        <f t="shared" si="70"/>
        <v>0.10399668008577614</v>
      </c>
      <c r="Y461">
        <f t="shared" si="71"/>
        <v>0.36604748519325236</v>
      </c>
    </row>
    <row r="462" spans="1:25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  <c r="Q462" t="str">
        <f t="shared" si="63"/>
        <v>Weekday</v>
      </c>
      <c r="R462" t="str">
        <f t="shared" si="64"/>
        <v>Clear</v>
      </c>
      <c r="S462" t="str">
        <f t="shared" si="65"/>
        <v>Night</v>
      </c>
      <c r="T462" t="str">
        <f t="shared" si="66"/>
        <v>January</v>
      </c>
      <c r="U462" t="str">
        <f t="shared" si="67"/>
        <v>Spring</v>
      </c>
      <c r="V462">
        <f t="shared" si="68"/>
        <v>0.22929155386993369</v>
      </c>
      <c r="W462">
        <f t="shared" si="69"/>
        <v>-0.25435329828790432</v>
      </c>
      <c r="X462">
        <f t="shared" si="70"/>
        <v>0.10399668008577614</v>
      </c>
      <c r="Y462">
        <f t="shared" si="71"/>
        <v>0.36604748519325236</v>
      </c>
    </row>
    <row r="463" spans="1:25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  <c r="Q463" t="str">
        <f t="shared" si="63"/>
        <v>Weekday</v>
      </c>
      <c r="R463" t="str">
        <f t="shared" si="64"/>
        <v>Clear</v>
      </c>
      <c r="S463" t="str">
        <f t="shared" si="65"/>
        <v>Morning</v>
      </c>
      <c r="T463" t="str">
        <f t="shared" si="66"/>
        <v>January</v>
      </c>
      <c r="U463" t="str">
        <f t="shared" si="67"/>
        <v>Spring</v>
      </c>
      <c r="V463">
        <f t="shared" si="68"/>
        <v>0.22929155386993369</v>
      </c>
      <c r="W463">
        <f t="shared" si="69"/>
        <v>-0.25435329828790432</v>
      </c>
      <c r="X463">
        <f t="shared" si="70"/>
        <v>0.10399668008577614</v>
      </c>
      <c r="Y463">
        <f t="shared" si="71"/>
        <v>0.36604748519325236</v>
      </c>
    </row>
    <row r="464" spans="1:25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  <c r="Q464" t="str">
        <f t="shared" si="63"/>
        <v>Weekday</v>
      </c>
      <c r="R464" t="str">
        <f t="shared" si="64"/>
        <v>Clear</v>
      </c>
      <c r="S464" t="str">
        <f t="shared" si="65"/>
        <v>Morning</v>
      </c>
      <c r="T464" t="str">
        <f t="shared" si="66"/>
        <v>January</v>
      </c>
      <c r="U464" t="str">
        <f t="shared" si="67"/>
        <v>Spring</v>
      </c>
      <c r="V464">
        <f t="shared" si="68"/>
        <v>0.22929155386993369</v>
      </c>
      <c r="W464">
        <f t="shared" si="69"/>
        <v>-0.25435329828790432</v>
      </c>
      <c r="X464">
        <f t="shared" si="70"/>
        <v>0.10399668008577614</v>
      </c>
      <c r="Y464">
        <f t="shared" si="71"/>
        <v>0.36604748519325236</v>
      </c>
    </row>
    <row r="465" spans="1:25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  <c r="Q465" t="str">
        <f t="shared" si="63"/>
        <v>Weekday</v>
      </c>
      <c r="R465" t="str">
        <f t="shared" si="64"/>
        <v>Clear</v>
      </c>
      <c r="S465" t="str">
        <f t="shared" si="65"/>
        <v>Morning</v>
      </c>
      <c r="T465" t="str">
        <f t="shared" si="66"/>
        <v>January</v>
      </c>
      <c r="U465" t="str">
        <f t="shared" si="67"/>
        <v>Spring</v>
      </c>
      <c r="V465">
        <f t="shared" si="68"/>
        <v>0.22929155386993369</v>
      </c>
      <c r="W465">
        <f t="shared" si="69"/>
        <v>-0.25435329828790432</v>
      </c>
      <c r="X465">
        <f t="shared" si="70"/>
        <v>0.10399668008577614</v>
      </c>
      <c r="Y465">
        <f t="shared" si="71"/>
        <v>0.36604748519325236</v>
      </c>
    </row>
    <row r="466" spans="1:25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  <c r="Q466" t="str">
        <f t="shared" si="63"/>
        <v>Weekday</v>
      </c>
      <c r="R466" t="str">
        <f t="shared" si="64"/>
        <v>Clear</v>
      </c>
      <c r="S466" t="str">
        <f t="shared" si="65"/>
        <v>Morning</v>
      </c>
      <c r="T466" t="str">
        <f t="shared" si="66"/>
        <v>January</v>
      </c>
      <c r="U466" t="str">
        <f t="shared" si="67"/>
        <v>Spring</v>
      </c>
      <c r="V466">
        <f t="shared" si="68"/>
        <v>0.22929155386993369</v>
      </c>
      <c r="W466">
        <f t="shared" si="69"/>
        <v>-0.25435329828790432</v>
      </c>
      <c r="X466">
        <f t="shared" si="70"/>
        <v>0.10399668008577614</v>
      </c>
      <c r="Y466">
        <f t="shared" si="71"/>
        <v>0.36604748519325236</v>
      </c>
    </row>
    <row r="467" spans="1:25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  <c r="Q467" t="str">
        <f t="shared" si="63"/>
        <v>Weekday</v>
      </c>
      <c r="R467" t="str">
        <f t="shared" si="64"/>
        <v>Clear</v>
      </c>
      <c r="S467" t="str">
        <f t="shared" si="65"/>
        <v>Morning</v>
      </c>
      <c r="T467" t="str">
        <f t="shared" si="66"/>
        <v>January</v>
      </c>
      <c r="U467" t="str">
        <f t="shared" si="67"/>
        <v>Spring</v>
      </c>
      <c r="V467">
        <f t="shared" si="68"/>
        <v>0.22929155386993369</v>
      </c>
      <c r="W467">
        <f t="shared" si="69"/>
        <v>-0.25435329828790432</v>
      </c>
      <c r="X467">
        <f t="shared" si="70"/>
        <v>0.10399668008577614</v>
      </c>
      <c r="Y467">
        <f t="shared" si="71"/>
        <v>0.36604748519325236</v>
      </c>
    </row>
    <row r="468" spans="1:25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  <c r="Q468" t="str">
        <f t="shared" si="63"/>
        <v>Weekday</v>
      </c>
      <c r="R468" t="str">
        <f t="shared" si="64"/>
        <v>Clear</v>
      </c>
      <c r="S468" t="str">
        <f t="shared" si="65"/>
        <v>Morning</v>
      </c>
      <c r="T468" t="str">
        <f t="shared" si="66"/>
        <v>January</v>
      </c>
      <c r="U468" t="str">
        <f t="shared" si="67"/>
        <v>Spring</v>
      </c>
      <c r="V468">
        <f t="shared" si="68"/>
        <v>0.22929155386993369</v>
      </c>
      <c r="W468">
        <f t="shared" si="69"/>
        <v>-0.25435329828790432</v>
      </c>
      <c r="X468">
        <f t="shared" si="70"/>
        <v>0.10399668008577614</v>
      </c>
      <c r="Y468">
        <f t="shared" si="71"/>
        <v>0.36604748519325236</v>
      </c>
    </row>
    <row r="469" spans="1:25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  <c r="Q469" t="str">
        <f t="shared" si="63"/>
        <v>Weekday</v>
      </c>
      <c r="R469" t="str">
        <f t="shared" si="64"/>
        <v>Clear</v>
      </c>
      <c r="S469" t="str">
        <f t="shared" si="65"/>
        <v>Afternoon</v>
      </c>
      <c r="T469" t="str">
        <f t="shared" si="66"/>
        <v>January</v>
      </c>
      <c r="U469" t="str">
        <f t="shared" si="67"/>
        <v>Spring</v>
      </c>
      <c r="V469">
        <f t="shared" si="68"/>
        <v>0.22929155386993369</v>
      </c>
      <c r="W469">
        <f t="shared" si="69"/>
        <v>-0.25435329828790432</v>
      </c>
      <c r="X469">
        <f t="shared" si="70"/>
        <v>0.10399668008577614</v>
      </c>
      <c r="Y469">
        <f t="shared" si="71"/>
        <v>0.36604748519325236</v>
      </c>
    </row>
    <row r="470" spans="1:25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  <c r="Q470" t="str">
        <f t="shared" si="63"/>
        <v>Weekday</v>
      </c>
      <c r="R470" t="str">
        <f t="shared" si="64"/>
        <v>Clear</v>
      </c>
      <c r="S470" t="str">
        <f t="shared" si="65"/>
        <v>Afternoon</v>
      </c>
      <c r="T470" t="str">
        <f t="shared" si="66"/>
        <v>January</v>
      </c>
      <c r="U470" t="str">
        <f t="shared" si="67"/>
        <v>Spring</v>
      </c>
      <c r="V470">
        <f t="shared" si="68"/>
        <v>0.22929155386993369</v>
      </c>
      <c r="W470">
        <f t="shared" si="69"/>
        <v>-0.25435329828790432</v>
      </c>
      <c r="X470">
        <f t="shared" si="70"/>
        <v>0.10399668008577614</v>
      </c>
      <c r="Y470">
        <f t="shared" si="71"/>
        <v>0.36604748519325236</v>
      </c>
    </row>
    <row r="471" spans="1:25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  <c r="Q471" t="str">
        <f t="shared" si="63"/>
        <v>Weekday</v>
      </c>
      <c r="R471" t="str">
        <f t="shared" si="64"/>
        <v>Clear</v>
      </c>
      <c r="S471" t="str">
        <f t="shared" si="65"/>
        <v>Afternoon</v>
      </c>
      <c r="T471" t="str">
        <f t="shared" si="66"/>
        <v>January</v>
      </c>
      <c r="U471" t="str">
        <f t="shared" si="67"/>
        <v>Spring</v>
      </c>
      <c r="V471">
        <f t="shared" si="68"/>
        <v>0.22929155386993369</v>
      </c>
      <c r="W471">
        <f t="shared" si="69"/>
        <v>-0.25435329828790432</v>
      </c>
      <c r="X471">
        <f t="shared" si="70"/>
        <v>0.10399668008577614</v>
      </c>
      <c r="Y471">
        <f t="shared" si="71"/>
        <v>0.36604748519325236</v>
      </c>
    </row>
    <row r="472" spans="1:25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  <c r="Q472" t="str">
        <f t="shared" si="63"/>
        <v>Weekday</v>
      </c>
      <c r="R472" t="str">
        <f t="shared" si="64"/>
        <v>Clear</v>
      </c>
      <c r="S472" t="str">
        <f t="shared" si="65"/>
        <v>Afternoon</v>
      </c>
      <c r="T472" t="str">
        <f t="shared" si="66"/>
        <v>January</v>
      </c>
      <c r="U472" t="str">
        <f t="shared" si="67"/>
        <v>Spring</v>
      </c>
      <c r="V472">
        <f t="shared" si="68"/>
        <v>0.22929155386993369</v>
      </c>
      <c r="W472">
        <f t="shared" si="69"/>
        <v>-0.25435329828790432</v>
      </c>
      <c r="X472">
        <f t="shared" si="70"/>
        <v>0.10399668008577614</v>
      </c>
      <c r="Y472">
        <f t="shared" si="71"/>
        <v>0.36604748519325236</v>
      </c>
    </row>
    <row r="473" spans="1:25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  <c r="Q473" t="str">
        <f t="shared" si="63"/>
        <v>Weekday</v>
      </c>
      <c r="R473" t="str">
        <f t="shared" si="64"/>
        <v>Clear</v>
      </c>
      <c r="S473" t="str">
        <f t="shared" si="65"/>
        <v>Afternoon</v>
      </c>
      <c r="T473" t="str">
        <f t="shared" si="66"/>
        <v>January</v>
      </c>
      <c r="U473" t="str">
        <f t="shared" si="67"/>
        <v>Spring</v>
      </c>
      <c r="V473">
        <f t="shared" si="68"/>
        <v>0.22929155386993369</v>
      </c>
      <c r="W473">
        <f t="shared" si="69"/>
        <v>-0.25435329828790432</v>
      </c>
      <c r="X473">
        <f t="shared" si="70"/>
        <v>0.10399668008577614</v>
      </c>
      <c r="Y473">
        <f t="shared" si="71"/>
        <v>0.36604748519325236</v>
      </c>
    </row>
    <row r="474" spans="1:25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  <c r="Q474" t="str">
        <f t="shared" si="63"/>
        <v>Weekday</v>
      </c>
      <c r="R474" t="str">
        <f t="shared" si="64"/>
        <v>Clear</v>
      </c>
      <c r="S474" t="str">
        <f t="shared" si="65"/>
        <v>Evening</v>
      </c>
      <c r="T474" t="str">
        <f t="shared" si="66"/>
        <v>January</v>
      </c>
      <c r="U474" t="str">
        <f t="shared" si="67"/>
        <v>Spring</v>
      </c>
      <c r="V474">
        <f t="shared" si="68"/>
        <v>0.22929155386993369</v>
      </c>
      <c r="W474">
        <f t="shared" si="69"/>
        <v>-0.25435329828790432</v>
      </c>
      <c r="X474">
        <f t="shared" si="70"/>
        <v>0.10399668008577614</v>
      </c>
      <c r="Y474">
        <f t="shared" si="71"/>
        <v>0.36604748519325236</v>
      </c>
    </row>
    <row r="475" spans="1:25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  <c r="Q475" t="str">
        <f t="shared" si="63"/>
        <v>Weekday</v>
      </c>
      <c r="R475" t="str">
        <f t="shared" si="64"/>
        <v>Clear</v>
      </c>
      <c r="S475" t="str">
        <f t="shared" si="65"/>
        <v>Evening</v>
      </c>
      <c r="T475" t="str">
        <f t="shared" si="66"/>
        <v>January</v>
      </c>
      <c r="U475" t="str">
        <f t="shared" si="67"/>
        <v>Spring</v>
      </c>
      <c r="V475">
        <f t="shared" si="68"/>
        <v>0.22929155386993369</v>
      </c>
      <c r="W475">
        <f t="shared" si="69"/>
        <v>-0.25435329828790432</v>
      </c>
      <c r="X475">
        <f t="shared" si="70"/>
        <v>0.10399668008577614</v>
      </c>
      <c r="Y475">
        <f t="shared" si="71"/>
        <v>0.36604748519325236</v>
      </c>
    </row>
    <row r="476" spans="1:25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  <c r="Q476" t="str">
        <f t="shared" si="63"/>
        <v>Weekday</v>
      </c>
      <c r="R476" t="str">
        <f t="shared" si="64"/>
        <v>Clear</v>
      </c>
      <c r="S476" t="str">
        <f t="shared" si="65"/>
        <v>Evening</v>
      </c>
      <c r="T476" t="str">
        <f t="shared" si="66"/>
        <v>January</v>
      </c>
      <c r="U476" t="str">
        <f t="shared" si="67"/>
        <v>Spring</v>
      </c>
      <c r="V476">
        <f t="shared" si="68"/>
        <v>0.22929155386993369</v>
      </c>
      <c r="W476">
        <f t="shared" si="69"/>
        <v>-0.25435329828790432</v>
      </c>
      <c r="X476">
        <f t="shared" si="70"/>
        <v>0.10399668008577614</v>
      </c>
      <c r="Y476">
        <f t="shared" si="71"/>
        <v>0.36604748519325236</v>
      </c>
    </row>
    <row r="477" spans="1:25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  <c r="Q477" t="str">
        <f t="shared" si="63"/>
        <v>Weekday</v>
      </c>
      <c r="R477" t="str">
        <f t="shared" si="64"/>
        <v>Clear</v>
      </c>
      <c r="S477" t="str">
        <f t="shared" si="65"/>
        <v>Evening</v>
      </c>
      <c r="T477" t="str">
        <f t="shared" si="66"/>
        <v>January</v>
      </c>
      <c r="U477" t="str">
        <f t="shared" si="67"/>
        <v>Spring</v>
      </c>
      <c r="V477">
        <f t="shared" si="68"/>
        <v>0.22929155386993369</v>
      </c>
      <c r="W477">
        <f t="shared" si="69"/>
        <v>-0.25435329828790432</v>
      </c>
      <c r="X477">
        <f t="shared" si="70"/>
        <v>0.10399668008577614</v>
      </c>
      <c r="Y477">
        <f t="shared" si="71"/>
        <v>0.36604748519325236</v>
      </c>
    </row>
    <row r="478" spans="1:25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  <c r="Q478" t="str">
        <f t="shared" si="63"/>
        <v>Weekday</v>
      </c>
      <c r="R478" t="str">
        <f t="shared" si="64"/>
        <v>Clear</v>
      </c>
      <c r="S478" t="str">
        <f t="shared" si="65"/>
        <v>Night</v>
      </c>
      <c r="T478" t="str">
        <f t="shared" si="66"/>
        <v>January</v>
      </c>
      <c r="U478" t="str">
        <f t="shared" si="67"/>
        <v>Spring</v>
      </c>
      <c r="V478">
        <f t="shared" si="68"/>
        <v>0.22929155386993369</v>
      </c>
      <c r="W478">
        <f t="shared" si="69"/>
        <v>-0.25435329828790432</v>
      </c>
      <c r="X478">
        <f t="shared" si="70"/>
        <v>0.10399668008577614</v>
      </c>
      <c r="Y478">
        <f t="shared" si="71"/>
        <v>0.36604748519325236</v>
      </c>
    </row>
    <row r="479" spans="1:25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  <c r="Q479" t="str">
        <f t="shared" si="63"/>
        <v>Weekday</v>
      </c>
      <c r="R479" t="str">
        <f t="shared" si="64"/>
        <v>Clear</v>
      </c>
      <c r="S479" t="str">
        <f t="shared" si="65"/>
        <v>Night</v>
      </c>
      <c r="T479" t="str">
        <f t="shared" si="66"/>
        <v>January</v>
      </c>
      <c r="U479" t="str">
        <f t="shared" si="67"/>
        <v>Spring</v>
      </c>
      <c r="V479">
        <f t="shared" si="68"/>
        <v>0.22929155386993369</v>
      </c>
      <c r="W479">
        <f t="shared" si="69"/>
        <v>-0.25435329828790432</v>
      </c>
      <c r="X479">
        <f t="shared" si="70"/>
        <v>0.10399668008577614</v>
      </c>
      <c r="Y479">
        <f t="shared" si="71"/>
        <v>0.36604748519325236</v>
      </c>
    </row>
    <row r="480" spans="1:25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  <c r="Q480" t="str">
        <f t="shared" si="63"/>
        <v>Weekday</v>
      </c>
      <c r="R480" t="str">
        <f t="shared" si="64"/>
        <v>Clear</v>
      </c>
      <c r="S480" t="str">
        <f t="shared" si="65"/>
        <v>Night</v>
      </c>
      <c r="T480" t="str">
        <f t="shared" si="66"/>
        <v>January</v>
      </c>
      <c r="U480" t="str">
        <f t="shared" si="67"/>
        <v>Spring</v>
      </c>
      <c r="V480">
        <f t="shared" si="68"/>
        <v>0.22929155386993369</v>
      </c>
      <c r="W480">
        <f t="shared" si="69"/>
        <v>-0.25435329828790432</v>
      </c>
      <c r="X480">
        <f t="shared" si="70"/>
        <v>0.10399668008577614</v>
      </c>
      <c r="Y480">
        <f t="shared" si="71"/>
        <v>0.36604748519325236</v>
      </c>
    </row>
    <row r="481" spans="1:25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  <c r="Q481" t="str">
        <f t="shared" si="63"/>
        <v>Weekend</v>
      </c>
      <c r="R481" t="str">
        <f t="shared" si="64"/>
        <v>Clear</v>
      </c>
      <c r="S481" t="str">
        <f t="shared" si="65"/>
        <v>Night</v>
      </c>
      <c r="T481" t="str">
        <f t="shared" si="66"/>
        <v>January</v>
      </c>
      <c r="U481" t="str">
        <f t="shared" si="67"/>
        <v>Spring</v>
      </c>
      <c r="V481">
        <f t="shared" si="68"/>
        <v>0.22929155386993369</v>
      </c>
      <c r="W481">
        <f t="shared" si="69"/>
        <v>-0.25435329828790432</v>
      </c>
      <c r="X481">
        <f t="shared" si="70"/>
        <v>0.10399668008577614</v>
      </c>
      <c r="Y481">
        <f t="shared" si="71"/>
        <v>0.36604748519325236</v>
      </c>
    </row>
    <row r="482" spans="1:25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  <c r="Q482" t="str">
        <f t="shared" si="63"/>
        <v>Weekend</v>
      </c>
      <c r="R482" t="str">
        <f t="shared" si="64"/>
        <v>Mist/Cloudy</v>
      </c>
      <c r="S482" t="str">
        <f t="shared" si="65"/>
        <v>Night</v>
      </c>
      <c r="T482" t="str">
        <f t="shared" si="66"/>
        <v>January</v>
      </c>
      <c r="U482" t="str">
        <f t="shared" si="67"/>
        <v>Spring</v>
      </c>
      <c r="V482">
        <f t="shared" si="68"/>
        <v>0.22929155386993369</v>
      </c>
      <c r="W482">
        <f t="shared" si="69"/>
        <v>-0.25435329828790432</v>
      </c>
      <c r="X482">
        <f t="shared" si="70"/>
        <v>0.10399668008577614</v>
      </c>
      <c r="Y482">
        <f t="shared" si="71"/>
        <v>0.36604748519325236</v>
      </c>
    </row>
    <row r="483" spans="1:25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  <c r="Q483" t="str">
        <f t="shared" si="63"/>
        <v>Weekend</v>
      </c>
      <c r="R483" t="str">
        <f t="shared" si="64"/>
        <v>Mist/Cloudy</v>
      </c>
      <c r="S483" t="str">
        <f t="shared" si="65"/>
        <v>Night</v>
      </c>
      <c r="T483" t="str">
        <f t="shared" si="66"/>
        <v>January</v>
      </c>
      <c r="U483" t="str">
        <f t="shared" si="67"/>
        <v>Spring</v>
      </c>
      <c r="V483">
        <f t="shared" si="68"/>
        <v>0.22929155386993369</v>
      </c>
      <c r="W483">
        <f t="shared" si="69"/>
        <v>-0.25435329828790432</v>
      </c>
      <c r="X483">
        <f t="shared" si="70"/>
        <v>0.10399668008577614</v>
      </c>
      <c r="Y483">
        <f t="shared" si="71"/>
        <v>0.36604748519325236</v>
      </c>
    </row>
    <row r="484" spans="1:25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  <c r="Q484" t="str">
        <f t="shared" si="63"/>
        <v>Weekend</v>
      </c>
      <c r="R484" t="str">
        <f t="shared" si="64"/>
        <v>Mist/Cloudy</v>
      </c>
      <c r="S484" t="str">
        <f t="shared" si="65"/>
        <v>Night</v>
      </c>
      <c r="T484" t="str">
        <f t="shared" si="66"/>
        <v>January</v>
      </c>
      <c r="U484" t="str">
        <f t="shared" si="67"/>
        <v>Spring</v>
      </c>
      <c r="V484">
        <f t="shared" si="68"/>
        <v>0.22929155386993369</v>
      </c>
      <c r="W484">
        <f t="shared" si="69"/>
        <v>-0.25435329828790432</v>
      </c>
      <c r="X484">
        <f t="shared" si="70"/>
        <v>0.10399668008577614</v>
      </c>
      <c r="Y484">
        <f t="shared" si="71"/>
        <v>0.36604748519325236</v>
      </c>
    </row>
    <row r="485" spans="1:25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  <c r="Q485" t="str">
        <f t="shared" si="63"/>
        <v>Weekend</v>
      </c>
      <c r="R485" t="str">
        <f t="shared" si="64"/>
        <v>Mist/Cloudy</v>
      </c>
      <c r="S485" t="str">
        <f t="shared" si="65"/>
        <v>Night</v>
      </c>
      <c r="T485" t="str">
        <f t="shared" si="66"/>
        <v>January</v>
      </c>
      <c r="U485" t="str">
        <f t="shared" si="67"/>
        <v>Spring</v>
      </c>
      <c r="V485">
        <f t="shared" si="68"/>
        <v>0.22929155386993369</v>
      </c>
      <c r="W485">
        <f t="shared" si="69"/>
        <v>-0.25435329828790432</v>
      </c>
      <c r="X485">
        <f t="shared" si="70"/>
        <v>0.10399668008577614</v>
      </c>
      <c r="Y485">
        <f t="shared" si="71"/>
        <v>0.36604748519325236</v>
      </c>
    </row>
    <row r="486" spans="1:25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  <c r="Q486" t="str">
        <f t="shared" si="63"/>
        <v>Weekend</v>
      </c>
      <c r="R486" t="str">
        <f t="shared" si="64"/>
        <v>Mist/Cloudy</v>
      </c>
      <c r="S486" t="str">
        <f t="shared" si="65"/>
        <v>Morning</v>
      </c>
      <c r="T486" t="str">
        <f t="shared" si="66"/>
        <v>January</v>
      </c>
      <c r="U486" t="str">
        <f t="shared" si="67"/>
        <v>Spring</v>
      </c>
      <c r="V486">
        <f t="shared" si="68"/>
        <v>0.22929155386993369</v>
      </c>
      <c r="W486">
        <f t="shared" si="69"/>
        <v>-0.25435329828790432</v>
      </c>
      <c r="X486">
        <f t="shared" si="70"/>
        <v>0.10399668008577614</v>
      </c>
      <c r="Y486">
        <f t="shared" si="71"/>
        <v>0.36604748519325236</v>
      </c>
    </row>
    <row r="487" spans="1:25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  <c r="Q487" t="str">
        <f t="shared" si="63"/>
        <v>Weekend</v>
      </c>
      <c r="R487" t="str">
        <f t="shared" si="64"/>
        <v>Clear</v>
      </c>
      <c r="S487" t="str">
        <f t="shared" si="65"/>
        <v>Morning</v>
      </c>
      <c r="T487" t="str">
        <f t="shared" si="66"/>
        <v>January</v>
      </c>
      <c r="U487" t="str">
        <f t="shared" si="67"/>
        <v>Spring</v>
      </c>
      <c r="V487">
        <f t="shared" si="68"/>
        <v>0.22929155386993369</v>
      </c>
      <c r="W487">
        <f t="shared" si="69"/>
        <v>-0.25435329828790432</v>
      </c>
      <c r="X487">
        <f t="shared" si="70"/>
        <v>0.10399668008577614</v>
      </c>
      <c r="Y487">
        <f t="shared" si="71"/>
        <v>0.36604748519325236</v>
      </c>
    </row>
    <row r="488" spans="1:25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  <c r="Q488" t="str">
        <f t="shared" si="63"/>
        <v>Weekend</v>
      </c>
      <c r="R488" t="str">
        <f t="shared" si="64"/>
        <v>Clear</v>
      </c>
      <c r="S488" t="str">
        <f t="shared" si="65"/>
        <v>Morning</v>
      </c>
      <c r="T488" t="str">
        <f t="shared" si="66"/>
        <v>January</v>
      </c>
      <c r="U488" t="str">
        <f t="shared" si="67"/>
        <v>Spring</v>
      </c>
      <c r="V488">
        <f t="shared" si="68"/>
        <v>0.22929155386993369</v>
      </c>
      <c r="W488">
        <f t="shared" si="69"/>
        <v>-0.25435329828790432</v>
      </c>
      <c r="X488">
        <f t="shared" si="70"/>
        <v>0.10399668008577614</v>
      </c>
      <c r="Y488">
        <f t="shared" si="71"/>
        <v>0.36604748519325236</v>
      </c>
    </row>
    <row r="489" spans="1:25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  <c r="Q489" t="str">
        <f t="shared" si="63"/>
        <v>Weekend</v>
      </c>
      <c r="R489" t="str">
        <f t="shared" si="64"/>
        <v>Clear</v>
      </c>
      <c r="S489" t="str">
        <f t="shared" si="65"/>
        <v>Morning</v>
      </c>
      <c r="T489" t="str">
        <f t="shared" si="66"/>
        <v>January</v>
      </c>
      <c r="U489" t="str">
        <f t="shared" si="67"/>
        <v>Spring</v>
      </c>
      <c r="V489">
        <f t="shared" si="68"/>
        <v>0.22929155386993369</v>
      </c>
      <c r="W489">
        <f t="shared" si="69"/>
        <v>-0.25435329828790432</v>
      </c>
      <c r="X489">
        <f t="shared" si="70"/>
        <v>0.10399668008577614</v>
      </c>
      <c r="Y489">
        <f t="shared" si="71"/>
        <v>0.36604748519325236</v>
      </c>
    </row>
    <row r="490" spans="1:25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  <c r="Q490" t="str">
        <f t="shared" si="63"/>
        <v>Weekend</v>
      </c>
      <c r="R490" t="str">
        <f t="shared" si="64"/>
        <v>Mist/Cloudy</v>
      </c>
      <c r="S490" t="str">
        <f t="shared" si="65"/>
        <v>Morning</v>
      </c>
      <c r="T490" t="str">
        <f t="shared" si="66"/>
        <v>January</v>
      </c>
      <c r="U490" t="str">
        <f t="shared" si="67"/>
        <v>Spring</v>
      </c>
      <c r="V490">
        <f t="shared" si="68"/>
        <v>0.22929155386993369</v>
      </c>
      <c r="W490">
        <f t="shared" si="69"/>
        <v>-0.25435329828790432</v>
      </c>
      <c r="X490">
        <f t="shared" si="70"/>
        <v>0.10399668008577614</v>
      </c>
      <c r="Y490">
        <f t="shared" si="71"/>
        <v>0.36604748519325236</v>
      </c>
    </row>
    <row r="491" spans="1:25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  <c r="Q491" t="str">
        <f t="shared" si="63"/>
        <v>Weekend</v>
      </c>
      <c r="R491" t="str">
        <f t="shared" si="64"/>
        <v>Mist/Cloudy</v>
      </c>
      <c r="S491" t="str">
        <f t="shared" si="65"/>
        <v>Morning</v>
      </c>
      <c r="T491" t="str">
        <f t="shared" si="66"/>
        <v>January</v>
      </c>
      <c r="U491" t="str">
        <f t="shared" si="67"/>
        <v>Spring</v>
      </c>
      <c r="V491">
        <f t="shared" si="68"/>
        <v>0.22929155386993369</v>
      </c>
      <c r="W491">
        <f t="shared" si="69"/>
        <v>-0.25435329828790432</v>
      </c>
      <c r="X491">
        <f t="shared" si="70"/>
        <v>0.10399668008577614</v>
      </c>
      <c r="Y491">
        <f t="shared" si="71"/>
        <v>0.36604748519325236</v>
      </c>
    </row>
    <row r="492" spans="1:25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  <c r="Q492" t="str">
        <f t="shared" si="63"/>
        <v>Weekend</v>
      </c>
      <c r="R492" t="str">
        <f t="shared" si="64"/>
        <v>Mist/Cloudy</v>
      </c>
      <c r="S492" t="str">
        <f t="shared" si="65"/>
        <v>Afternoon</v>
      </c>
      <c r="T492" t="str">
        <f t="shared" si="66"/>
        <v>January</v>
      </c>
      <c r="U492" t="str">
        <f t="shared" si="67"/>
        <v>Spring</v>
      </c>
      <c r="V492">
        <f t="shared" si="68"/>
        <v>0.22929155386993369</v>
      </c>
      <c r="W492">
        <f t="shared" si="69"/>
        <v>-0.25435329828790432</v>
      </c>
      <c r="X492">
        <f t="shared" si="70"/>
        <v>0.10399668008577614</v>
      </c>
      <c r="Y492">
        <f t="shared" si="71"/>
        <v>0.36604748519325236</v>
      </c>
    </row>
    <row r="493" spans="1:25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  <c r="Q493" t="str">
        <f t="shared" si="63"/>
        <v>Weekend</v>
      </c>
      <c r="R493" t="str">
        <f t="shared" si="64"/>
        <v>Clear</v>
      </c>
      <c r="S493" t="str">
        <f t="shared" si="65"/>
        <v>Afternoon</v>
      </c>
      <c r="T493" t="str">
        <f t="shared" si="66"/>
        <v>January</v>
      </c>
      <c r="U493" t="str">
        <f t="shared" si="67"/>
        <v>Spring</v>
      </c>
      <c r="V493">
        <f t="shared" si="68"/>
        <v>0.22929155386993369</v>
      </c>
      <c r="W493">
        <f t="shared" si="69"/>
        <v>-0.25435329828790432</v>
      </c>
      <c r="X493">
        <f t="shared" si="70"/>
        <v>0.10399668008577614</v>
      </c>
      <c r="Y493">
        <f t="shared" si="71"/>
        <v>0.36604748519325236</v>
      </c>
    </row>
    <row r="494" spans="1:25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  <c r="Q494" t="str">
        <f t="shared" si="63"/>
        <v>Weekend</v>
      </c>
      <c r="R494" t="str">
        <f t="shared" si="64"/>
        <v>Clear</v>
      </c>
      <c r="S494" t="str">
        <f t="shared" si="65"/>
        <v>Afternoon</v>
      </c>
      <c r="T494" t="str">
        <f t="shared" si="66"/>
        <v>January</v>
      </c>
      <c r="U494" t="str">
        <f t="shared" si="67"/>
        <v>Spring</v>
      </c>
      <c r="V494">
        <f t="shared" si="68"/>
        <v>0.22929155386993369</v>
      </c>
      <c r="W494">
        <f t="shared" si="69"/>
        <v>-0.25435329828790432</v>
      </c>
      <c r="X494">
        <f t="shared" si="70"/>
        <v>0.10399668008577614</v>
      </c>
      <c r="Y494">
        <f t="shared" si="71"/>
        <v>0.36604748519325236</v>
      </c>
    </row>
    <row r="495" spans="1:25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  <c r="Q495" t="str">
        <f t="shared" si="63"/>
        <v>Weekend</v>
      </c>
      <c r="R495" t="str">
        <f t="shared" si="64"/>
        <v>Clear</v>
      </c>
      <c r="S495" t="str">
        <f t="shared" si="65"/>
        <v>Afternoon</v>
      </c>
      <c r="T495" t="str">
        <f t="shared" si="66"/>
        <v>January</v>
      </c>
      <c r="U495" t="str">
        <f t="shared" si="67"/>
        <v>Spring</v>
      </c>
      <c r="V495">
        <f t="shared" si="68"/>
        <v>0.22929155386993369</v>
      </c>
      <c r="W495">
        <f t="shared" si="69"/>
        <v>-0.25435329828790432</v>
      </c>
      <c r="X495">
        <f t="shared" si="70"/>
        <v>0.10399668008577614</v>
      </c>
      <c r="Y495">
        <f t="shared" si="71"/>
        <v>0.36604748519325236</v>
      </c>
    </row>
    <row r="496" spans="1:25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  <c r="Q496" t="str">
        <f t="shared" si="63"/>
        <v>Weekend</v>
      </c>
      <c r="R496" t="str">
        <f t="shared" si="64"/>
        <v>Clear</v>
      </c>
      <c r="S496" t="str">
        <f t="shared" si="65"/>
        <v>Afternoon</v>
      </c>
      <c r="T496" t="str">
        <f t="shared" si="66"/>
        <v>January</v>
      </c>
      <c r="U496" t="str">
        <f t="shared" si="67"/>
        <v>Spring</v>
      </c>
      <c r="V496">
        <f t="shared" si="68"/>
        <v>0.22929155386993369</v>
      </c>
      <c r="W496">
        <f t="shared" si="69"/>
        <v>-0.25435329828790432</v>
      </c>
      <c r="X496">
        <f t="shared" si="70"/>
        <v>0.10399668008577614</v>
      </c>
      <c r="Y496">
        <f t="shared" si="71"/>
        <v>0.36604748519325236</v>
      </c>
    </row>
    <row r="497" spans="1:25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  <c r="Q497" t="str">
        <f t="shared" si="63"/>
        <v>Weekend</v>
      </c>
      <c r="R497" t="str">
        <f t="shared" si="64"/>
        <v>Clear</v>
      </c>
      <c r="S497" t="str">
        <f t="shared" si="65"/>
        <v>Evening</v>
      </c>
      <c r="T497" t="str">
        <f t="shared" si="66"/>
        <v>January</v>
      </c>
      <c r="U497" t="str">
        <f t="shared" si="67"/>
        <v>Spring</v>
      </c>
      <c r="V497">
        <f t="shared" si="68"/>
        <v>0.22929155386993369</v>
      </c>
      <c r="W497">
        <f t="shared" si="69"/>
        <v>-0.25435329828790432</v>
      </c>
      <c r="X497">
        <f t="shared" si="70"/>
        <v>0.10399668008577614</v>
      </c>
      <c r="Y497">
        <f t="shared" si="71"/>
        <v>0.36604748519325236</v>
      </c>
    </row>
    <row r="498" spans="1:25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  <c r="Q498" t="str">
        <f t="shared" si="63"/>
        <v>Weekend</v>
      </c>
      <c r="R498" t="str">
        <f t="shared" si="64"/>
        <v>Clear</v>
      </c>
      <c r="S498" t="str">
        <f t="shared" si="65"/>
        <v>Evening</v>
      </c>
      <c r="T498" t="str">
        <f t="shared" si="66"/>
        <v>January</v>
      </c>
      <c r="U498" t="str">
        <f t="shared" si="67"/>
        <v>Spring</v>
      </c>
      <c r="V498">
        <f t="shared" si="68"/>
        <v>0.22929155386993369</v>
      </c>
      <c r="W498">
        <f t="shared" si="69"/>
        <v>-0.25435329828790432</v>
      </c>
      <c r="X498">
        <f t="shared" si="70"/>
        <v>0.10399668008577614</v>
      </c>
      <c r="Y498">
        <f t="shared" si="71"/>
        <v>0.36604748519325236</v>
      </c>
    </row>
    <row r="499" spans="1:25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  <c r="Q499" t="str">
        <f t="shared" si="63"/>
        <v>Weekend</v>
      </c>
      <c r="R499" t="str">
        <f t="shared" si="64"/>
        <v>Clear</v>
      </c>
      <c r="S499" t="str">
        <f t="shared" si="65"/>
        <v>Evening</v>
      </c>
      <c r="T499" t="str">
        <f t="shared" si="66"/>
        <v>January</v>
      </c>
      <c r="U499" t="str">
        <f t="shared" si="67"/>
        <v>Spring</v>
      </c>
      <c r="V499">
        <f t="shared" si="68"/>
        <v>0.22929155386993369</v>
      </c>
      <c r="W499">
        <f t="shared" si="69"/>
        <v>-0.25435329828790432</v>
      </c>
      <c r="X499">
        <f t="shared" si="70"/>
        <v>0.10399668008577614</v>
      </c>
      <c r="Y499">
        <f t="shared" si="71"/>
        <v>0.36604748519325236</v>
      </c>
    </row>
    <row r="500" spans="1:25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  <c r="Q500" t="str">
        <f t="shared" si="63"/>
        <v>Weekend</v>
      </c>
      <c r="R500" t="str">
        <f t="shared" si="64"/>
        <v>Clear</v>
      </c>
      <c r="S500" t="str">
        <f t="shared" si="65"/>
        <v>Evening</v>
      </c>
      <c r="T500" t="str">
        <f t="shared" si="66"/>
        <v>January</v>
      </c>
      <c r="U500" t="str">
        <f t="shared" si="67"/>
        <v>Spring</v>
      </c>
      <c r="V500">
        <f t="shared" si="68"/>
        <v>0.22929155386993369</v>
      </c>
      <c r="W500">
        <f t="shared" si="69"/>
        <v>-0.25435329828790432</v>
      </c>
      <c r="X500">
        <f t="shared" si="70"/>
        <v>0.10399668008577614</v>
      </c>
      <c r="Y500">
        <f t="shared" si="71"/>
        <v>0.36604748519325236</v>
      </c>
    </row>
    <row r="501" spans="1:25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  <c r="Q501" t="str">
        <f t="shared" si="63"/>
        <v>Weekend</v>
      </c>
      <c r="R501" t="str">
        <f t="shared" si="64"/>
        <v>Clear</v>
      </c>
      <c r="S501" t="str">
        <f t="shared" si="65"/>
        <v>Night</v>
      </c>
      <c r="T501" t="str">
        <f t="shared" si="66"/>
        <v>January</v>
      </c>
      <c r="U501" t="str">
        <f t="shared" si="67"/>
        <v>Spring</v>
      </c>
      <c r="V501">
        <f t="shared" si="68"/>
        <v>0.22929155386993369</v>
      </c>
      <c r="W501">
        <f t="shared" si="69"/>
        <v>-0.25435329828790432</v>
      </c>
      <c r="X501">
        <f t="shared" si="70"/>
        <v>0.10399668008577614</v>
      </c>
      <c r="Y501">
        <f t="shared" si="71"/>
        <v>0.36604748519325236</v>
      </c>
    </row>
    <row r="502" spans="1:25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  <c r="Q502" t="str">
        <f t="shared" si="63"/>
        <v>Weekend</v>
      </c>
      <c r="R502" t="str">
        <f t="shared" si="64"/>
        <v>Clear</v>
      </c>
      <c r="S502" t="str">
        <f t="shared" si="65"/>
        <v>Night</v>
      </c>
      <c r="T502" t="str">
        <f t="shared" si="66"/>
        <v>January</v>
      </c>
      <c r="U502" t="str">
        <f t="shared" si="67"/>
        <v>Spring</v>
      </c>
      <c r="V502">
        <f t="shared" si="68"/>
        <v>0.22929155386993369</v>
      </c>
      <c r="W502">
        <f t="shared" si="69"/>
        <v>-0.25435329828790432</v>
      </c>
      <c r="X502">
        <f t="shared" si="70"/>
        <v>0.10399668008577614</v>
      </c>
      <c r="Y502">
        <f t="shared" si="71"/>
        <v>0.36604748519325236</v>
      </c>
    </row>
    <row r="503" spans="1:25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  <c r="Q503" t="str">
        <f t="shared" si="63"/>
        <v>Weekend</v>
      </c>
      <c r="R503" t="str">
        <f t="shared" si="64"/>
        <v>Clear</v>
      </c>
      <c r="S503" t="str">
        <f t="shared" si="65"/>
        <v>Night</v>
      </c>
      <c r="T503" t="str">
        <f t="shared" si="66"/>
        <v>January</v>
      </c>
      <c r="U503" t="str">
        <f t="shared" si="67"/>
        <v>Spring</v>
      </c>
      <c r="V503">
        <f t="shared" si="68"/>
        <v>0.22929155386993369</v>
      </c>
      <c r="W503">
        <f t="shared" si="69"/>
        <v>-0.25435329828790432</v>
      </c>
      <c r="X503">
        <f t="shared" si="70"/>
        <v>0.10399668008577614</v>
      </c>
      <c r="Y503">
        <f t="shared" si="71"/>
        <v>0.36604748519325236</v>
      </c>
    </row>
    <row r="504" spans="1:25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  <c r="Q504" t="str">
        <f t="shared" si="63"/>
        <v>Weekend</v>
      </c>
      <c r="R504" t="str">
        <f t="shared" si="64"/>
        <v>Clear</v>
      </c>
      <c r="S504" t="str">
        <f t="shared" si="65"/>
        <v>Night</v>
      </c>
      <c r="T504" t="str">
        <f t="shared" si="66"/>
        <v>January</v>
      </c>
      <c r="U504" t="str">
        <f t="shared" si="67"/>
        <v>Spring</v>
      </c>
      <c r="V504">
        <f t="shared" si="68"/>
        <v>0.22929155386993369</v>
      </c>
      <c r="W504">
        <f t="shared" si="69"/>
        <v>-0.25435329828790432</v>
      </c>
      <c r="X504">
        <f t="shared" si="70"/>
        <v>0.10399668008577614</v>
      </c>
      <c r="Y504">
        <f t="shared" si="71"/>
        <v>0.36604748519325236</v>
      </c>
    </row>
    <row r="505" spans="1:25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  <c r="Q505" t="str">
        <f t="shared" si="63"/>
        <v>Weekend</v>
      </c>
      <c r="R505" t="str">
        <f t="shared" si="64"/>
        <v>Clear</v>
      </c>
      <c r="S505" t="str">
        <f t="shared" si="65"/>
        <v>Night</v>
      </c>
      <c r="T505" t="str">
        <f t="shared" si="66"/>
        <v>January</v>
      </c>
      <c r="U505" t="str">
        <f t="shared" si="67"/>
        <v>Spring</v>
      </c>
      <c r="V505">
        <f t="shared" si="68"/>
        <v>0.22929155386993369</v>
      </c>
      <c r="W505">
        <f t="shared" si="69"/>
        <v>-0.25435329828790432</v>
      </c>
      <c r="X505">
        <f t="shared" si="70"/>
        <v>0.10399668008577614</v>
      </c>
      <c r="Y505">
        <f t="shared" si="71"/>
        <v>0.36604748519325236</v>
      </c>
    </row>
    <row r="506" spans="1:25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  <c r="Q506" t="str">
        <f t="shared" si="63"/>
        <v>Weekend</v>
      </c>
      <c r="R506" t="str">
        <f t="shared" si="64"/>
        <v>Clear</v>
      </c>
      <c r="S506" t="str">
        <f t="shared" si="65"/>
        <v>Night</v>
      </c>
      <c r="T506" t="str">
        <f t="shared" si="66"/>
        <v>January</v>
      </c>
      <c r="U506" t="str">
        <f t="shared" si="67"/>
        <v>Spring</v>
      </c>
      <c r="V506">
        <f t="shared" si="68"/>
        <v>0.22929155386993369</v>
      </c>
      <c r="W506">
        <f t="shared" si="69"/>
        <v>-0.25435329828790432</v>
      </c>
      <c r="X506">
        <f t="shared" si="70"/>
        <v>0.10399668008577614</v>
      </c>
      <c r="Y506">
        <f t="shared" si="71"/>
        <v>0.36604748519325236</v>
      </c>
    </row>
    <row r="507" spans="1:25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  <c r="Q507" t="str">
        <f t="shared" si="63"/>
        <v>Weekend</v>
      </c>
      <c r="R507" t="str">
        <f t="shared" si="64"/>
        <v>Clear</v>
      </c>
      <c r="S507" t="str">
        <f t="shared" si="65"/>
        <v>Night</v>
      </c>
      <c r="T507" t="str">
        <f t="shared" si="66"/>
        <v>January</v>
      </c>
      <c r="U507" t="str">
        <f t="shared" si="67"/>
        <v>Spring</v>
      </c>
      <c r="V507">
        <f t="shared" si="68"/>
        <v>0.22929155386993369</v>
      </c>
      <c r="W507">
        <f t="shared" si="69"/>
        <v>-0.25435329828790432</v>
      </c>
      <c r="X507">
        <f t="shared" si="70"/>
        <v>0.10399668008577614</v>
      </c>
      <c r="Y507">
        <f t="shared" si="71"/>
        <v>0.36604748519325236</v>
      </c>
    </row>
    <row r="508" spans="1:25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  <c r="Q508" t="str">
        <f t="shared" si="63"/>
        <v>Weekend</v>
      </c>
      <c r="R508" t="str">
        <f t="shared" si="64"/>
        <v>Mist/Cloudy</v>
      </c>
      <c r="S508" t="str">
        <f t="shared" si="65"/>
        <v>Night</v>
      </c>
      <c r="T508" t="str">
        <f t="shared" si="66"/>
        <v>January</v>
      </c>
      <c r="U508" t="str">
        <f t="shared" si="67"/>
        <v>Spring</v>
      </c>
      <c r="V508">
        <f t="shared" si="68"/>
        <v>0.22929155386993369</v>
      </c>
      <c r="W508">
        <f t="shared" si="69"/>
        <v>-0.25435329828790432</v>
      </c>
      <c r="X508">
        <f t="shared" si="70"/>
        <v>0.10399668008577614</v>
      </c>
      <c r="Y508">
        <f t="shared" si="71"/>
        <v>0.36604748519325236</v>
      </c>
    </row>
    <row r="509" spans="1:25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  <c r="Q509" t="str">
        <f t="shared" si="63"/>
        <v>Weekend</v>
      </c>
      <c r="R509" t="str">
        <f t="shared" si="64"/>
        <v>Mist/Cloudy</v>
      </c>
      <c r="S509" t="str">
        <f t="shared" si="65"/>
        <v>Morning</v>
      </c>
      <c r="T509" t="str">
        <f t="shared" si="66"/>
        <v>January</v>
      </c>
      <c r="U509" t="str">
        <f t="shared" si="67"/>
        <v>Spring</v>
      </c>
      <c r="V509">
        <f t="shared" si="68"/>
        <v>0.22929155386993369</v>
      </c>
      <c r="W509">
        <f t="shared" si="69"/>
        <v>-0.25435329828790432</v>
      </c>
      <c r="X509">
        <f t="shared" si="70"/>
        <v>0.10399668008577614</v>
      </c>
      <c r="Y509">
        <f t="shared" si="71"/>
        <v>0.36604748519325236</v>
      </c>
    </row>
    <row r="510" spans="1:25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  <c r="Q510" t="str">
        <f t="shared" si="63"/>
        <v>Weekend</v>
      </c>
      <c r="R510" t="str">
        <f t="shared" si="64"/>
        <v>Clear</v>
      </c>
      <c r="S510" t="str">
        <f t="shared" si="65"/>
        <v>Morning</v>
      </c>
      <c r="T510" t="str">
        <f t="shared" si="66"/>
        <v>January</v>
      </c>
      <c r="U510" t="str">
        <f t="shared" si="67"/>
        <v>Spring</v>
      </c>
      <c r="V510">
        <f t="shared" si="68"/>
        <v>0.22929155386993369</v>
      </c>
      <c r="W510">
        <f t="shared" si="69"/>
        <v>-0.25435329828790432</v>
      </c>
      <c r="X510">
        <f t="shared" si="70"/>
        <v>0.10399668008577614</v>
      </c>
      <c r="Y510">
        <f t="shared" si="71"/>
        <v>0.36604748519325236</v>
      </c>
    </row>
    <row r="511" spans="1:25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  <c r="Q511" t="str">
        <f t="shared" si="63"/>
        <v>Weekend</v>
      </c>
      <c r="R511" t="str">
        <f t="shared" si="64"/>
        <v>Clear</v>
      </c>
      <c r="S511" t="str">
        <f t="shared" si="65"/>
        <v>Morning</v>
      </c>
      <c r="T511" t="str">
        <f t="shared" si="66"/>
        <v>January</v>
      </c>
      <c r="U511" t="str">
        <f t="shared" si="67"/>
        <v>Spring</v>
      </c>
      <c r="V511">
        <f t="shared" si="68"/>
        <v>0.22929155386993369</v>
      </c>
      <c r="W511">
        <f t="shared" si="69"/>
        <v>-0.25435329828790432</v>
      </c>
      <c r="X511">
        <f t="shared" si="70"/>
        <v>0.10399668008577614</v>
      </c>
      <c r="Y511">
        <f t="shared" si="71"/>
        <v>0.36604748519325236</v>
      </c>
    </row>
    <row r="512" spans="1:25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  <c r="Q512" t="str">
        <f t="shared" si="63"/>
        <v>Weekend</v>
      </c>
      <c r="R512" t="str">
        <f t="shared" si="64"/>
        <v>Clear</v>
      </c>
      <c r="S512" t="str">
        <f t="shared" si="65"/>
        <v>Morning</v>
      </c>
      <c r="T512" t="str">
        <f t="shared" si="66"/>
        <v>January</v>
      </c>
      <c r="U512" t="str">
        <f t="shared" si="67"/>
        <v>Spring</v>
      </c>
      <c r="V512">
        <f t="shared" si="68"/>
        <v>0.22929155386993369</v>
      </c>
      <c r="W512">
        <f t="shared" si="69"/>
        <v>-0.25435329828790432</v>
      </c>
      <c r="X512">
        <f t="shared" si="70"/>
        <v>0.10399668008577614</v>
      </c>
      <c r="Y512">
        <f t="shared" si="71"/>
        <v>0.36604748519325236</v>
      </c>
    </row>
    <row r="513" spans="1:25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  <c r="Q513" t="str">
        <f t="shared" si="63"/>
        <v>Weekend</v>
      </c>
      <c r="R513" t="str">
        <f t="shared" si="64"/>
        <v>Clear</v>
      </c>
      <c r="S513" t="str">
        <f t="shared" si="65"/>
        <v>Morning</v>
      </c>
      <c r="T513" t="str">
        <f t="shared" si="66"/>
        <v>January</v>
      </c>
      <c r="U513" t="str">
        <f t="shared" si="67"/>
        <v>Spring</v>
      </c>
      <c r="V513">
        <f t="shared" si="68"/>
        <v>0.22929155386993369</v>
      </c>
      <c r="W513">
        <f t="shared" si="69"/>
        <v>-0.25435329828790432</v>
      </c>
      <c r="X513">
        <f t="shared" si="70"/>
        <v>0.10399668008577614</v>
      </c>
      <c r="Y513">
        <f t="shared" si="71"/>
        <v>0.36604748519325236</v>
      </c>
    </row>
    <row r="514" spans="1:25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  <c r="Q514" t="str">
        <f t="shared" ref="Q514:Q577" si="72">IF(OR(WEEKDAY(B514)=1, WEEKDAY(B514)=7), "Weekend", "Weekday")</f>
        <v>Weekend</v>
      </c>
      <c r="R514" t="str">
        <f t="shared" ref="R514:R577" si="73">IF(I514=1,"Clear",IF(I514=2,"Mist/Cloudy",IF(I514=3,"Light Rain/Snow","Heavy Rain/Snow")))</f>
        <v>Clear</v>
      </c>
      <c r="S514" t="str">
        <f t="shared" ref="S514:S577" si="74">IF(AND(F514&gt;=6, F514&lt;12), "Morning", IF(AND(F514&gt;=12, F514&lt;17), "Afternoon", IF(AND(F514&gt;=17, F514&lt;21), "Evening", "Night")))</f>
        <v>Morning</v>
      </c>
      <c r="T514" t="str">
        <f t="shared" ref="T514:T577" si="75">TEXT(B514, "mmmm")</f>
        <v>January</v>
      </c>
      <c r="U514" t="str">
        <f t="shared" ref="U514:U577" si="76">CHOOSE(C514, "Spring", "Summer", "Fall", "Winter")</f>
        <v>Spring</v>
      </c>
      <c r="V514">
        <f t="shared" ref="V514:V577" si="77">CORREL($J$2:$J$1001, $P$2:$P$1001)</f>
        <v>0.22929155386993369</v>
      </c>
      <c r="W514">
        <f t="shared" ref="W514:W577" si="78">CORREL($L$2:$L$1001, $P$2:$P$1001)</f>
        <v>-0.25435329828790432</v>
      </c>
      <c r="X514">
        <f t="shared" ref="X514:X577" si="79">CORREL($M$2:$M$1001, $P$2:$P$1001)</f>
        <v>0.10399668008577614</v>
      </c>
      <c r="Y514">
        <f t="shared" ref="Y514:Y577" si="80">CORREL($F$2:$F$1001, $P$2:$P$1001)</f>
        <v>0.36604748519325236</v>
      </c>
    </row>
    <row r="515" spans="1:25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  <c r="Q515" t="str">
        <f t="shared" si="72"/>
        <v>Weekend</v>
      </c>
      <c r="R515" t="str">
        <f t="shared" si="73"/>
        <v>Clear</v>
      </c>
      <c r="S515" t="str">
        <f t="shared" si="74"/>
        <v>Afternoon</v>
      </c>
      <c r="T515" t="str">
        <f t="shared" si="75"/>
        <v>January</v>
      </c>
      <c r="U515" t="str">
        <f t="shared" si="76"/>
        <v>Spring</v>
      </c>
      <c r="V515">
        <f t="shared" si="77"/>
        <v>0.22929155386993369</v>
      </c>
      <c r="W515">
        <f t="shared" si="78"/>
        <v>-0.25435329828790432</v>
      </c>
      <c r="X515">
        <f t="shared" si="79"/>
        <v>0.10399668008577614</v>
      </c>
      <c r="Y515">
        <f t="shared" si="80"/>
        <v>0.36604748519325236</v>
      </c>
    </row>
    <row r="516" spans="1:25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  <c r="Q516" t="str">
        <f t="shared" si="72"/>
        <v>Weekend</v>
      </c>
      <c r="R516" t="str">
        <f t="shared" si="73"/>
        <v>Clear</v>
      </c>
      <c r="S516" t="str">
        <f t="shared" si="74"/>
        <v>Afternoon</v>
      </c>
      <c r="T516" t="str">
        <f t="shared" si="75"/>
        <v>January</v>
      </c>
      <c r="U516" t="str">
        <f t="shared" si="76"/>
        <v>Spring</v>
      </c>
      <c r="V516">
        <f t="shared" si="77"/>
        <v>0.22929155386993369</v>
      </c>
      <c r="W516">
        <f t="shared" si="78"/>
        <v>-0.25435329828790432</v>
      </c>
      <c r="X516">
        <f t="shared" si="79"/>
        <v>0.10399668008577614</v>
      </c>
      <c r="Y516">
        <f t="shared" si="80"/>
        <v>0.36604748519325236</v>
      </c>
    </row>
    <row r="517" spans="1:25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  <c r="Q517" t="str">
        <f t="shared" si="72"/>
        <v>Weekend</v>
      </c>
      <c r="R517" t="str">
        <f t="shared" si="73"/>
        <v>Clear</v>
      </c>
      <c r="S517" t="str">
        <f t="shared" si="74"/>
        <v>Afternoon</v>
      </c>
      <c r="T517" t="str">
        <f t="shared" si="75"/>
        <v>January</v>
      </c>
      <c r="U517" t="str">
        <f t="shared" si="76"/>
        <v>Spring</v>
      </c>
      <c r="V517">
        <f t="shared" si="77"/>
        <v>0.22929155386993369</v>
      </c>
      <c r="W517">
        <f t="shared" si="78"/>
        <v>-0.25435329828790432</v>
      </c>
      <c r="X517">
        <f t="shared" si="79"/>
        <v>0.10399668008577614</v>
      </c>
      <c r="Y517">
        <f t="shared" si="80"/>
        <v>0.36604748519325236</v>
      </c>
    </row>
    <row r="518" spans="1:25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  <c r="Q518" t="str">
        <f t="shared" si="72"/>
        <v>Weekend</v>
      </c>
      <c r="R518" t="str">
        <f t="shared" si="73"/>
        <v>Clear</v>
      </c>
      <c r="S518" t="str">
        <f t="shared" si="74"/>
        <v>Afternoon</v>
      </c>
      <c r="T518" t="str">
        <f t="shared" si="75"/>
        <v>January</v>
      </c>
      <c r="U518" t="str">
        <f t="shared" si="76"/>
        <v>Spring</v>
      </c>
      <c r="V518">
        <f t="shared" si="77"/>
        <v>0.22929155386993369</v>
      </c>
      <c r="W518">
        <f t="shared" si="78"/>
        <v>-0.25435329828790432</v>
      </c>
      <c r="X518">
        <f t="shared" si="79"/>
        <v>0.10399668008577614</v>
      </c>
      <c r="Y518">
        <f t="shared" si="80"/>
        <v>0.36604748519325236</v>
      </c>
    </row>
    <row r="519" spans="1:25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  <c r="Q519" t="str">
        <f t="shared" si="72"/>
        <v>Weekend</v>
      </c>
      <c r="R519" t="str">
        <f t="shared" si="73"/>
        <v>Clear</v>
      </c>
      <c r="S519" t="str">
        <f t="shared" si="74"/>
        <v>Afternoon</v>
      </c>
      <c r="T519" t="str">
        <f t="shared" si="75"/>
        <v>January</v>
      </c>
      <c r="U519" t="str">
        <f t="shared" si="76"/>
        <v>Spring</v>
      </c>
      <c r="V519">
        <f t="shared" si="77"/>
        <v>0.22929155386993369</v>
      </c>
      <c r="W519">
        <f t="shared" si="78"/>
        <v>-0.25435329828790432</v>
      </c>
      <c r="X519">
        <f t="shared" si="79"/>
        <v>0.10399668008577614</v>
      </c>
      <c r="Y519">
        <f t="shared" si="80"/>
        <v>0.36604748519325236</v>
      </c>
    </row>
    <row r="520" spans="1:25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  <c r="Q520" t="str">
        <f t="shared" si="72"/>
        <v>Weekend</v>
      </c>
      <c r="R520" t="str">
        <f t="shared" si="73"/>
        <v>Clear</v>
      </c>
      <c r="S520" t="str">
        <f t="shared" si="74"/>
        <v>Evening</v>
      </c>
      <c r="T520" t="str">
        <f t="shared" si="75"/>
        <v>January</v>
      </c>
      <c r="U520" t="str">
        <f t="shared" si="76"/>
        <v>Spring</v>
      </c>
      <c r="V520">
        <f t="shared" si="77"/>
        <v>0.22929155386993369</v>
      </c>
      <c r="W520">
        <f t="shared" si="78"/>
        <v>-0.25435329828790432</v>
      </c>
      <c r="X520">
        <f t="shared" si="79"/>
        <v>0.10399668008577614</v>
      </c>
      <c r="Y520">
        <f t="shared" si="80"/>
        <v>0.36604748519325236</v>
      </c>
    </row>
    <row r="521" spans="1:25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  <c r="Q521" t="str">
        <f t="shared" si="72"/>
        <v>Weekend</v>
      </c>
      <c r="R521" t="str">
        <f t="shared" si="73"/>
        <v>Clear</v>
      </c>
      <c r="S521" t="str">
        <f t="shared" si="74"/>
        <v>Evening</v>
      </c>
      <c r="T521" t="str">
        <f t="shared" si="75"/>
        <v>January</v>
      </c>
      <c r="U521" t="str">
        <f t="shared" si="76"/>
        <v>Spring</v>
      </c>
      <c r="V521">
        <f t="shared" si="77"/>
        <v>0.22929155386993369</v>
      </c>
      <c r="W521">
        <f t="shared" si="78"/>
        <v>-0.25435329828790432</v>
      </c>
      <c r="X521">
        <f t="shared" si="79"/>
        <v>0.10399668008577614</v>
      </c>
      <c r="Y521">
        <f t="shared" si="80"/>
        <v>0.36604748519325236</v>
      </c>
    </row>
    <row r="522" spans="1:25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  <c r="Q522" t="str">
        <f t="shared" si="72"/>
        <v>Weekend</v>
      </c>
      <c r="R522" t="str">
        <f t="shared" si="73"/>
        <v>Clear</v>
      </c>
      <c r="S522" t="str">
        <f t="shared" si="74"/>
        <v>Evening</v>
      </c>
      <c r="T522" t="str">
        <f t="shared" si="75"/>
        <v>January</v>
      </c>
      <c r="U522" t="str">
        <f t="shared" si="76"/>
        <v>Spring</v>
      </c>
      <c r="V522">
        <f t="shared" si="77"/>
        <v>0.22929155386993369</v>
      </c>
      <c r="W522">
        <f t="shared" si="78"/>
        <v>-0.25435329828790432</v>
      </c>
      <c r="X522">
        <f t="shared" si="79"/>
        <v>0.10399668008577614</v>
      </c>
      <c r="Y522">
        <f t="shared" si="80"/>
        <v>0.36604748519325236</v>
      </c>
    </row>
    <row r="523" spans="1:25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  <c r="Q523" t="str">
        <f t="shared" si="72"/>
        <v>Weekend</v>
      </c>
      <c r="R523" t="str">
        <f t="shared" si="73"/>
        <v>Clear</v>
      </c>
      <c r="S523" t="str">
        <f t="shared" si="74"/>
        <v>Evening</v>
      </c>
      <c r="T523" t="str">
        <f t="shared" si="75"/>
        <v>January</v>
      </c>
      <c r="U523" t="str">
        <f t="shared" si="76"/>
        <v>Spring</v>
      </c>
      <c r="V523">
        <f t="shared" si="77"/>
        <v>0.22929155386993369</v>
      </c>
      <c r="W523">
        <f t="shared" si="78"/>
        <v>-0.25435329828790432</v>
      </c>
      <c r="X523">
        <f t="shared" si="79"/>
        <v>0.10399668008577614</v>
      </c>
      <c r="Y523">
        <f t="shared" si="80"/>
        <v>0.36604748519325236</v>
      </c>
    </row>
    <row r="524" spans="1:25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  <c r="Q524" t="str">
        <f t="shared" si="72"/>
        <v>Weekend</v>
      </c>
      <c r="R524" t="str">
        <f t="shared" si="73"/>
        <v>Clear</v>
      </c>
      <c r="S524" t="str">
        <f t="shared" si="74"/>
        <v>Night</v>
      </c>
      <c r="T524" t="str">
        <f t="shared" si="75"/>
        <v>January</v>
      </c>
      <c r="U524" t="str">
        <f t="shared" si="76"/>
        <v>Spring</v>
      </c>
      <c r="V524">
        <f t="shared" si="77"/>
        <v>0.22929155386993369</v>
      </c>
      <c r="W524">
        <f t="shared" si="78"/>
        <v>-0.25435329828790432</v>
      </c>
      <c r="X524">
        <f t="shared" si="79"/>
        <v>0.10399668008577614</v>
      </c>
      <c r="Y524">
        <f t="shared" si="80"/>
        <v>0.36604748519325236</v>
      </c>
    </row>
    <row r="525" spans="1:25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  <c r="Q525" t="str">
        <f t="shared" si="72"/>
        <v>Weekend</v>
      </c>
      <c r="R525" t="str">
        <f t="shared" si="73"/>
        <v>Clear</v>
      </c>
      <c r="S525" t="str">
        <f t="shared" si="74"/>
        <v>Night</v>
      </c>
      <c r="T525" t="str">
        <f t="shared" si="75"/>
        <v>January</v>
      </c>
      <c r="U525" t="str">
        <f t="shared" si="76"/>
        <v>Spring</v>
      </c>
      <c r="V525">
        <f t="shared" si="77"/>
        <v>0.22929155386993369</v>
      </c>
      <c r="W525">
        <f t="shared" si="78"/>
        <v>-0.25435329828790432</v>
      </c>
      <c r="X525">
        <f t="shared" si="79"/>
        <v>0.10399668008577614</v>
      </c>
      <c r="Y525">
        <f t="shared" si="80"/>
        <v>0.36604748519325236</v>
      </c>
    </row>
    <row r="526" spans="1:25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  <c r="Q526" t="str">
        <f t="shared" si="72"/>
        <v>Weekend</v>
      </c>
      <c r="R526" t="str">
        <f t="shared" si="73"/>
        <v>Clear</v>
      </c>
      <c r="S526" t="str">
        <f t="shared" si="74"/>
        <v>Night</v>
      </c>
      <c r="T526" t="str">
        <f t="shared" si="75"/>
        <v>January</v>
      </c>
      <c r="U526" t="str">
        <f t="shared" si="76"/>
        <v>Spring</v>
      </c>
      <c r="V526">
        <f t="shared" si="77"/>
        <v>0.22929155386993369</v>
      </c>
      <c r="W526">
        <f t="shared" si="78"/>
        <v>-0.25435329828790432</v>
      </c>
      <c r="X526">
        <f t="shared" si="79"/>
        <v>0.10399668008577614</v>
      </c>
      <c r="Y526">
        <f t="shared" si="80"/>
        <v>0.36604748519325236</v>
      </c>
    </row>
    <row r="527" spans="1:25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  <c r="Q527" t="str">
        <f t="shared" si="72"/>
        <v>Weekday</v>
      </c>
      <c r="R527" t="str">
        <f t="shared" si="73"/>
        <v>Clear</v>
      </c>
      <c r="S527" t="str">
        <f t="shared" si="74"/>
        <v>Night</v>
      </c>
      <c r="T527" t="str">
        <f t="shared" si="75"/>
        <v>January</v>
      </c>
      <c r="U527" t="str">
        <f t="shared" si="76"/>
        <v>Spring</v>
      </c>
      <c r="V527">
        <f t="shared" si="77"/>
        <v>0.22929155386993369</v>
      </c>
      <c r="W527">
        <f t="shared" si="78"/>
        <v>-0.25435329828790432</v>
      </c>
      <c r="X527">
        <f t="shared" si="79"/>
        <v>0.10399668008577614</v>
      </c>
      <c r="Y527">
        <f t="shared" si="80"/>
        <v>0.36604748519325236</v>
      </c>
    </row>
    <row r="528" spans="1:25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  <c r="Q528" t="str">
        <f t="shared" si="72"/>
        <v>Weekday</v>
      </c>
      <c r="R528" t="str">
        <f t="shared" si="73"/>
        <v>Clear</v>
      </c>
      <c r="S528" t="str">
        <f t="shared" si="74"/>
        <v>Night</v>
      </c>
      <c r="T528" t="str">
        <f t="shared" si="75"/>
        <v>January</v>
      </c>
      <c r="U528" t="str">
        <f t="shared" si="76"/>
        <v>Spring</v>
      </c>
      <c r="V528">
        <f t="shared" si="77"/>
        <v>0.22929155386993369</v>
      </c>
      <c r="W528">
        <f t="shared" si="78"/>
        <v>-0.25435329828790432</v>
      </c>
      <c r="X528">
        <f t="shared" si="79"/>
        <v>0.10399668008577614</v>
      </c>
      <c r="Y528">
        <f t="shared" si="80"/>
        <v>0.36604748519325236</v>
      </c>
    </row>
    <row r="529" spans="1:25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  <c r="Q529" t="str">
        <f t="shared" si="72"/>
        <v>Weekday</v>
      </c>
      <c r="R529" t="str">
        <f t="shared" si="73"/>
        <v>Clear</v>
      </c>
      <c r="S529" t="str">
        <f t="shared" si="74"/>
        <v>Night</v>
      </c>
      <c r="T529" t="str">
        <f t="shared" si="75"/>
        <v>January</v>
      </c>
      <c r="U529" t="str">
        <f t="shared" si="76"/>
        <v>Spring</v>
      </c>
      <c r="V529">
        <f t="shared" si="77"/>
        <v>0.22929155386993369</v>
      </c>
      <c r="W529">
        <f t="shared" si="78"/>
        <v>-0.25435329828790432</v>
      </c>
      <c r="X529">
        <f t="shared" si="79"/>
        <v>0.10399668008577614</v>
      </c>
      <c r="Y529">
        <f t="shared" si="80"/>
        <v>0.36604748519325236</v>
      </c>
    </row>
    <row r="530" spans="1:25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  <c r="Q530" t="str">
        <f t="shared" si="72"/>
        <v>Weekday</v>
      </c>
      <c r="R530" t="str">
        <f t="shared" si="73"/>
        <v>Clear</v>
      </c>
      <c r="S530" t="str">
        <f t="shared" si="74"/>
        <v>Night</v>
      </c>
      <c r="T530" t="str">
        <f t="shared" si="75"/>
        <v>January</v>
      </c>
      <c r="U530" t="str">
        <f t="shared" si="76"/>
        <v>Spring</v>
      </c>
      <c r="V530">
        <f t="shared" si="77"/>
        <v>0.22929155386993369</v>
      </c>
      <c r="W530">
        <f t="shared" si="78"/>
        <v>-0.25435329828790432</v>
      </c>
      <c r="X530">
        <f t="shared" si="79"/>
        <v>0.10399668008577614</v>
      </c>
      <c r="Y530">
        <f t="shared" si="80"/>
        <v>0.36604748519325236</v>
      </c>
    </row>
    <row r="531" spans="1:25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  <c r="Q531" t="str">
        <f t="shared" si="72"/>
        <v>Weekday</v>
      </c>
      <c r="R531" t="str">
        <f t="shared" si="73"/>
        <v>Clear</v>
      </c>
      <c r="S531" t="str">
        <f t="shared" si="74"/>
        <v>Night</v>
      </c>
      <c r="T531" t="str">
        <f t="shared" si="75"/>
        <v>January</v>
      </c>
      <c r="U531" t="str">
        <f t="shared" si="76"/>
        <v>Spring</v>
      </c>
      <c r="V531">
        <f t="shared" si="77"/>
        <v>0.22929155386993369</v>
      </c>
      <c r="W531">
        <f t="shared" si="78"/>
        <v>-0.25435329828790432</v>
      </c>
      <c r="X531">
        <f t="shared" si="79"/>
        <v>0.10399668008577614</v>
      </c>
      <c r="Y531">
        <f t="shared" si="80"/>
        <v>0.36604748519325236</v>
      </c>
    </row>
    <row r="532" spans="1:25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  <c r="Q532" t="str">
        <f t="shared" si="72"/>
        <v>Weekday</v>
      </c>
      <c r="R532" t="str">
        <f t="shared" si="73"/>
        <v>Clear</v>
      </c>
      <c r="S532" t="str">
        <f t="shared" si="74"/>
        <v>Morning</v>
      </c>
      <c r="T532" t="str">
        <f t="shared" si="75"/>
        <v>January</v>
      </c>
      <c r="U532" t="str">
        <f t="shared" si="76"/>
        <v>Spring</v>
      </c>
      <c r="V532">
        <f t="shared" si="77"/>
        <v>0.22929155386993369</v>
      </c>
      <c r="W532">
        <f t="shared" si="78"/>
        <v>-0.25435329828790432</v>
      </c>
      <c r="X532">
        <f t="shared" si="79"/>
        <v>0.10399668008577614</v>
      </c>
      <c r="Y532">
        <f t="shared" si="80"/>
        <v>0.36604748519325236</v>
      </c>
    </row>
    <row r="533" spans="1:25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  <c r="Q533" t="str">
        <f t="shared" si="72"/>
        <v>Weekday</v>
      </c>
      <c r="R533" t="str">
        <f t="shared" si="73"/>
        <v>Clear</v>
      </c>
      <c r="S533" t="str">
        <f t="shared" si="74"/>
        <v>Morning</v>
      </c>
      <c r="T533" t="str">
        <f t="shared" si="75"/>
        <v>January</v>
      </c>
      <c r="U533" t="str">
        <f t="shared" si="76"/>
        <v>Spring</v>
      </c>
      <c r="V533">
        <f t="shared" si="77"/>
        <v>0.22929155386993369</v>
      </c>
      <c r="W533">
        <f t="shared" si="78"/>
        <v>-0.25435329828790432</v>
      </c>
      <c r="X533">
        <f t="shared" si="79"/>
        <v>0.10399668008577614</v>
      </c>
      <c r="Y533">
        <f t="shared" si="80"/>
        <v>0.36604748519325236</v>
      </c>
    </row>
    <row r="534" spans="1:25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  <c r="Q534" t="str">
        <f t="shared" si="72"/>
        <v>Weekday</v>
      </c>
      <c r="R534" t="str">
        <f t="shared" si="73"/>
        <v>Clear</v>
      </c>
      <c r="S534" t="str">
        <f t="shared" si="74"/>
        <v>Morning</v>
      </c>
      <c r="T534" t="str">
        <f t="shared" si="75"/>
        <v>January</v>
      </c>
      <c r="U534" t="str">
        <f t="shared" si="76"/>
        <v>Spring</v>
      </c>
      <c r="V534">
        <f t="shared" si="77"/>
        <v>0.22929155386993369</v>
      </c>
      <c r="W534">
        <f t="shared" si="78"/>
        <v>-0.25435329828790432</v>
      </c>
      <c r="X534">
        <f t="shared" si="79"/>
        <v>0.10399668008577614</v>
      </c>
      <c r="Y534">
        <f t="shared" si="80"/>
        <v>0.36604748519325236</v>
      </c>
    </row>
    <row r="535" spans="1:25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  <c r="Q535" t="str">
        <f t="shared" si="72"/>
        <v>Weekday</v>
      </c>
      <c r="R535" t="str">
        <f t="shared" si="73"/>
        <v>Clear</v>
      </c>
      <c r="S535" t="str">
        <f t="shared" si="74"/>
        <v>Morning</v>
      </c>
      <c r="T535" t="str">
        <f t="shared" si="75"/>
        <v>January</v>
      </c>
      <c r="U535" t="str">
        <f t="shared" si="76"/>
        <v>Spring</v>
      </c>
      <c r="V535">
        <f t="shared" si="77"/>
        <v>0.22929155386993369</v>
      </c>
      <c r="W535">
        <f t="shared" si="78"/>
        <v>-0.25435329828790432</v>
      </c>
      <c r="X535">
        <f t="shared" si="79"/>
        <v>0.10399668008577614</v>
      </c>
      <c r="Y535">
        <f t="shared" si="80"/>
        <v>0.36604748519325236</v>
      </c>
    </row>
    <row r="536" spans="1:25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  <c r="Q536" t="str">
        <f t="shared" si="72"/>
        <v>Weekday</v>
      </c>
      <c r="R536" t="str">
        <f t="shared" si="73"/>
        <v>Clear</v>
      </c>
      <c r="S536" t="str">
        <f t="shared" si="74"/>
        <v>Morning</v>
      </c>
      <c r="T536" t="str">
        <f t="shared" si="75"/>
        <v>January</v>
      </c>
      <c r="U536" t="str">
        <f t="shared" si="76"/>
        <v>Spring</v>
      </c>
      <c r="V536">
        <f t="shared" si="77"/>
        <v>0.22929155386993369</v>
      </c>
      <c r="W536">
        <f t="shared" si="78"/>
        <v>-0.25435329828790432</v>
      </c>
      <c r="X536">
        <f t="shared" si="79"/>
        <v>0.10399668008577614</v>
      </c>
      <c r="Y536">
        <f t="shared" si="80"/>
        <v>0.36604748519325236</v>
      </c>
    </row>
    <row r="537" spans="1:25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  <c r="Q537" t="str">
        <f t="shared" si="72"/>
        <v>Weekday</v>
      </c>
      <c r="R537" t="str">
        <f t="shared" si="73"/>
        <v>Clear</v>
      </c>
      <c r="S537" t="str">
        <f t="shared" si="74"/>
        <v>Morning</v>
      </c>
      <c r="T537" t="str">
        <f t="shared" si="75"/>
        <v>January</v>
      </c>
      <c r="U537" t="str">
        <f t="shared" si="76"/>
        <v>Spring</v>
      </c>
      <c r="V537">
        <f t="shared" si="77"/>
        <v>0.22929155386993369</v>
      </c>
      <c r="W537">
        <f t="shared" si="78"/>
        <v>-0.25435329828790432</v>
      </c>
      <c r="X537">
        <f t="shared" si="79"/>
        <v>0.10399668008577614</v>
      </c>
      <c r="Y537">
        <f t="shared" si="80"/>
        <v>0.36604748519325236</v>
      </c>
    </row>
    <row r="538" spans="1:25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  <c r="Q538" t="str">
        <f t="shared" si="72"/>
        <v>Weekday</v>
      </c>
      <c r="R538" t="str">
        <f t="shared" si="73"/>
        <v>Mist/Cloudy</v>
      </c>
      <c r="S538" t="str">
        <f t="shared" si="74"/>
        <v>Afternoon</v>
      </c>
      <c r="T538" t="str">
        <f t="shared" si="75"/>
        <v>January</v>
      </c>
      <c r="U538" t="str">
        <f t="shared" si="76"/>
        <v>Spring</v>
      </c>
      <c r="V538">
        <f t="shared" si="77"/>
        <v>0.22929155386993369</v>
      </c>
      <c r="W538">
        <f t="shared" si="78"/>
        <v>-0.25435329828790432</v>
      </c>
      <c r="X538">
        <f t="shared" si="79"/>
        <v>0.10399668008577614</v>
      </c>
      <c r="Y538">
        <f t="shared" si="80"/>
        <v>0.36604748519325236</v>
      </c>
    </row>
    <row r="539" spans="1:25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  <c r="Q539" t="str">
        <f t="shared" si="72"/>
        <v>Weekday</v>
      </c>
      <c r="R539" t="str">
        <f t="shared" si="73"/>
        <v>Mist/Cloudy</v>
      </c>
      <c r="S539" t="str">
        <f t="shared" si="74"/>
        <v>Afternoon</v>
      </c>
      <c r="T539" t="str">
        <f t="shared" si="75"/>
        <v>January</v>
      </c>
      <c r="U539" t="str">
        <f t="shared" si="76"/>
        <v>Spring</v>
      </c>
      <c r="V539">
        <f t="shared" si="77"/>
        <v>0.22929155386993369</v>
      </c>
      <c r="W539">
        <f t="shared" si="78"/>
        <v>-0.25435329828790432</v>
      </c>
      <c r="X539">
        <f t="shared" si="79"/>
        <v>0.10399668008577614</v>
      </c>
      <c r="Y539">
        <f t="shared" si="80"/>
        <v>0.36604748519325236</v>
      </c>
    </row>
    <row r="540" spans="1:25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  <c r="Q540" t="str">
        <f t="shared" si="72"/>
        <v>Weekday</v>
      </c>
      <c r="R540" t="str">
        <f t="shared" si="73"/>
        <v>Mist/Cloudy</v>
      </c>
      <c r="S540" t="str">
        <f t="shared" si="74"/>
        <v>Afternoon</v>
      </c>
      <c r="T540" t="str">
        <f t="shared" si="75"/>
        <v>January</v>
      </c>
      <c r="U540" t="str">
        <f t="shared" si="76"/>
        <v>Spring</v>
      </c>
      <c r="V540">
        <f t="shared" si="77"/>
        <v>0.22929155386993369</v>
      </c>
      <c r="W540">
        <f t="shared" si="78"/>
        <v>-0.25435329828790432</v>
      </c>
      <c r="X540">
        <f t="shared" si="79"/>
        <v>0.10399668008577614</v>
      </c>
      <c r="Y540">
        <f t="shared" si="80"/>
        <v>0.36604748519325236</v>
      </c>
    </row>
    <row r="541" spans="1:25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  <c r="Q541" t="str">
        <f t="shared" si="72"/>
        <v>Weekday</v>
      </c>
      <c r="R541" t="str">
        <f t="shared" si="73"/>
        <v>Clear</v>
      </c>
      <c r="S541" t="str">
        <f t="shared" si="74"/>
        <v>Afternoon</v>
      </c>
      <c r="T541" t="str">
        <f t="shared" si="75"/>
        <v>January</v>
      </c>
      <c r="U541" t="str">
        <f t="shared" si="76"/>
        <v>Spring</v>
      </c>
      <c r="V541">
        <f t="shared" si="77"/>
        <v>0.22929155386993369</v>
      </c>
      <c r="W541">
        <f t="shared" si="78"/>
        <v>-0.25435329828790432</v>
      </c>
      <c r="X541">
        <f t="shared" si="79"/>
        <v>0.10399668008577614</v>
      </c>
      <c r="Y541">
        <f t="shared" si="80"/>
        <v>0.36604748519325236</v>
      </c>
    </row>
    <row r="542" spans="1:25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  <c r="Q542" t="str">
        <f t="shared" si="72"/>
        <v>Weekday</v>
      </c>
      <c r="R542" t="str">
        <f t="shared" si="73"/>
        <v>Clear</v>
      </c>
      <c r="S542" t="str">
        <f t="shared" si="74"/>
        <v>Afternoon</v>
      </c>
      <c r="T542" t="str">
        <f t="shared" si="75"/>
        <v>January</v>
      </c>
      <c r="U542" t="str">
        <f t="shared" si="76"/>
        <v>Spring</v>
      </c>
      <c r="V542">
        <f t="shared" si="77"/>
        <v>0.22929155386993369</v>
      </c>
      <c r="W542">
        <f t="shared" si="78"/>
        <v>-0.25435329828790432</v>
      </c>
      <c r="X542">
        <f t="shared" si="79"/>
        <v>0.10399668008577614</v>
      </c>
      <c r="Y542">
        <f t="shared" si="80"/>
        <v>0.36604748519325236</v>
      </c>
    </row>
    <row r="543" spans="1:25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  <c r="Q543" t="str">
        <f t="shared" si="72"/>
        <v>Weekday</v>
      </c>
      <c r="R543" t="str">
        <f t="shared" si="73"/>
        <v>Clear</v>
      </c>
      <c r="S543" t="str">
        <f t="shared" si="74"/>
        <v>Evening</v>
      </c>
      <c r="T543" t="str">
        <f t="shared" si="75"/>
        <v>January</v>
      </c>
      <c r="U543" t="str">
        <f t="shared" si="76"/>
        <v>Spring</v>
      </c>
      <c r="V543">
        <f t="shared" si="77"/>
        <v>0.22929155386993369</v>
      </c>
      <c r="W543">
        <f t="shared" si="78"/>
        <v>-0.25435329828790432</v>
      </c>
      <c r="X543">
        <f t="shared" si="79"/>
        <v>0.10399668008577614</v>
      </c>
      <c r="Y543">
        <f t="shared" si="80"/>
        <v>0.36604748519325236</v>
      </c>
    </row>
    <row r="544" spans="1:25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  <c r="Q544" t="str">
        <f t="shared" si="72"/>
        <v>Weekday</v>
      </c>
      <c r="R544" t="str">
        <f t="shared" si="73"/>
        <v>Clear</v>
      </c>
      <c r="S544" t="str">
        <f t="shared" si="74"/>
        <v>Evening</v>
      </c>
      <c r="T544" t="str">
        <f t="shared" si="75"/>
        <v>January</v>
      </c>
      <c r="U544" t="str">
        <f t="shared" si="76"/>
        <v>Spring</v>
      </c>
      <c r="V544">
        <f t="shared" si="77"/>
        <v>0.22929155386993369</v>
      </c>
      <c r="W544">
        <f t="shared" si="78"/>
        <v>-0.25435329828790432</v>
      </c>
      <c r="X544">
        <f t="shared" si="79"/>
        <v>0.10399668008577614</v>
      </c>
      <c r="Y544">
        <f t="shared" si="80"/>
        <v>0.36604748519325236</v>
      </c>
    </row>
    <row r="545" spans="1:25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  <c r="Q545" t="str">
        <f t="shared" si="72"/>
        <v>Weekday</v>
      </c>
      <c r="R545" t="str">
        <f t="shared" si="73"/>
        <v>Clear</v>
      </c>
      <c r="S545" t="str">
        <f t="shared" si="74"/>
        <v>Evening</v>
      </c>
      <c r="T545" t="str">
        <f t="shared" si="75"/>
        <v>January</v>
      </c>
      <c r="U545" t="str">
        <f t="shared" si="76"/>
        <v>Spring</v>
      </c>
      <c r="V545">
        <f t="shared" si="77"/>
        <v>0.22929155386993369</v>
      </c>
      <c r="W545">
        <f t="shared" si="78"/>
        <v>-0.25435329828790432</v>
      </c>
      <c r="X545">
        <f t="shared" si="79"/>
        <v>0.10399668008577614</v>
      </c>
      <c r="Y545">
        <f t="shared" si="80"/>
        <v>0.36604748519325236</v>
      </c>
    </row>
    <row r="546" spans="1:25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  <c r="Q546" t="str">
        <f t="shared" si="72"/>
        <v>Weekday</v>
      </c>
      <c r="R546" t="str">
        <f t="shared" si="73"/>
        <v>Clear</v>
      </c>
      <c r="S546" t="str">
        <f t="shared" si="74"/>
        <v>Evening</v>
      </c>
      <c r="T546" t="str">
        <f t="shared" si="75"/>
        <v>January</v>
      </c>
      <c r="U546" t="str">
        <f t="shared" si="76"/>
        <v>Spring</v>
      </c>
      <c r="V546">
        <f t="shared" si="77"/>
        <v>0.22929155386993369</v>
      </c>
      <c r="W546">
        <f t="shared" si="78"/>
        <v>-0.25435329828790432</v>
      </c>
      <c r="X546">
        <f t="shared" si="79"/>
        <v>0.10399668008577614</v>
      </c>
      <c r="Y546">
        <f t="shared" si="80"/>
        <v>0.36604748519325236</v>
      </c>
    </row>
    <row r="547" spans="1:25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  <c r="Q547" t="str">
        <f t="shared" si="72"/>
        <v>Weekday</v>
      </c>
      <c r="R547" t="str">
        <f t="shared" si="73"/>
        <v>Clear</v>
      </c>
      <c r="S547" t="str">
        <f t="shared" si="74"/>
        <v>Night</v>
      </c>
      <c r="T547" t="str">
        <f t="shared" si="75"/>
        <v>January</v>
      </c>
      <c r="U547" t="str">
        <f t="shared" si="76"/>
        <v>Spring</v>
      </c>
      <c r="V547">
        <f t="shared" si="77"/>
        <v>0.22929155386993369</v>
      </c>
      <c r="W547">
        <f t="shared" si="78"/>
        <v>-0.25435329828790432</v>
      </c>
      <c r="X547">
        <f t="shared" si="79"/>
        <v>0.10399668008577614</v>
      </c>
      <c r="Y547">
        <f t="shared" si="80"/>
        <v>0.36604748519325236</v>
      </c>
    </row>
    <row r="548" spans="1:25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  <c r="Q548" t="str">
        <f t="shared" si="72"/>
        <v>Weekday</v>
      </c>
      <c r="R548" t="str">
        <f t="shared" si="73"/>
        <v>Mist/Cloudy</v>
      </c>
      <c r="S548" t="str">
        <f t="shared" si="74"/>
        <v>Night</v>
      </c>
      <c r="T548" t="str">
        <f t="shared" si="75"/>
        <v>January</v>
      </c>
      <c r="U548" t="str">
        <f t="shared" si="76"/>
        <v>Spring</v>
      </c>
      <c r="V548">
        <f t="shared" si="77"/>
        <v>0.22929155386993369</v>
      </c>
      <c r="W548">
        <f t="shared" si="78"/>
        <v>-0.25435329828790432</v>
      </c>
      <c r="X548">
        <f t="shared" si="79"/>
        <v>0.10399668008577614</v>
      </c>
      <c r="Y548">
        <f t="shared" si="80"/>
        <v>0.36604748519325236</v>
      </c>
    </row>
    <row r="549" spans="1:25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  <c r="Q549" t="str">
        <f t="shared" si="72"/>
        <v>Weekday</v>
      </c>
      <c r="R549" t="str">
        <f t="shared" si="73"/>
        <v>Mist/Cloudy</v>
      </c>
      <c r="S549" t="str">
        <f t="shared" si="74"/>
        <v>Night</v>
      </c>
      <c r="T549" t="str">
        <f t="shared" si="75"/>
        <v>January</v>
      </c>
      <c r="U549" t="str">
        <f t="shared" si="76"/>
        <v>Spring</v>
      </c>
      <c r="V549">
        <f t="shared" si="77"/>
        <v>0.22929155386993369</v>
      </c>
      <c r="W549">
        <f t="shared" si="78"/>
        <v>-0.25435329828790432</v>
      </c>
      <c r="X549">
        <f t="shared" si="79"/>
        <v>0.10399668008577614</v>
      </c>
      <c r="Y549">
        <f t="shared" si="80"/>
        <v>0.36604748519325236</v>
      </c>
    </row>
    <row r="550" spans="1:25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  <c r="Q550" t="str">
        <f t="shared" si="72"/>
        <v>Weekday</v>
      </c>
      <c r="R550" t="str">
        <f t="shared" si="73"/>
        <v>Mist/Cloudy</v>
      </c>
      <c r="S550" t="str">
        <f t="shared" si="74"/>
        <v>Night</v>
      </c>
      <c r="T550" t="str">
        <f t="shared" si="75"/>
        <v>January</v>
      </c>
      <c r="U550" t="str">
        <f t="shared" si="76"/>
        <v>Spring</v>
      </c>
      <c r="V550">
        <f t="shared" si="77"/>
        <v>0.22929155386993369</v>
      </c>
      <c r="W550">
        <f t="shared" si="78"/>
        <v>-0.25435329828790432</v>
      </c>
      <c r="X550">
        <f t="shared" si="79"/>
        <v>0.10399668008577614</v>
      </c>
      <c r="Y550">
        <f t="shared" si="80"/>
        <v>0.36604748519325236</v>
      </c>
    </row>
    <row r="551" spans="1:25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  <c r="Q551" t="str">
        <f t="shared" si="72"/>
        <v>Weekday</v>
      </c>
      <c r="R551" t="str">
        <f t="shared" si="73"/>
        <v>Mist/Cloudy</v>
      </c>
      <c r="S551" t="str">
        <f t="shared" si="74"/>
        <v>Night</v>
      </c>
      <c r="T551" t="str">
        <f t="shared" si="75"/>
        <v>January</v>
      </c>
      <c r="U551" t="str">
        <f t="shared" si="76"/>
        <v>Spring</v>
      </c>
      <c r="V551">
        <f t="shared" si="77"/>
        <v>0.22929155386993369</v>
      </c>
      <c r="W551">
        <f t="shared" si="78"/>
        <v>-0.25435329828790432</v>
      </c>
      <c r="X551">
        <f t="shared" si="79"/>
        <v>0.10399668008577614</v>
      </c>
      <c r="Y551">
        <f t="shared" si="80"/>
        <v>0.36604748519325236</v>
      </c>
    </row>
    <row r="552" spans="1:25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  <c r="Q552" t="str">
        <f t="shared" si="72"/>
        <v>Weekday</v>
      </c>
      <c r="R552" t="str">
        <f t="shared" si="73"/>
        <v>Clear</v>
      </c>
      <c r="S552" t="str">
        <f t="shared" si="74"/>
        <v>Night</v>
      </c>
      <c r="T552" t="str">
        <f t="shared" si="75"/>
        <v>January</v>
      </c>
      <c r="U552" t="str">
        <f t="shared" si="76"/>
        <v>Spring</v>
      </c>
      <c r="V552">
        <f t="shared" si="77"/>
        <v>0.22929155386993369</v>
      </c>
      <c r="W552">
        <f t="shared" si="78"/>
        <v>-0.25435329828790432</v>
      </c>
      <c r="X552">
        <f t="shared" si="79"/>
        <v>0.10399668008577614</v>
      </c>
      <c r="Y552">
        <f t="shared" si="80"/>
        <v>0.36604748519325236</v>
      </c>
    </row>
    <row r="553" spans="1:25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  <c r="Q553" t="str">
        <f t="shared" si="72"/>
        <v>Weekday</v>
      </c>
      <c r="R553" t="str">
        <f t="shared" si="73"/>
        <v>Clear</v>
      </c>
      <c r="S553" t="str">
        <f t="shared" si="74"/>
        <v>Night</v>
      </c>
      <c r="T553" t="str">
        <f t="shared" si="75"/>
        <v>January</v>
      </c>
      <c r="U553" t="str">
        <f t="shared" si="76"/>
        <v>Spring</v>
      </c>
      <c r="V553">
        <f t="shared" si="77"/>
        <v>0.22929155386993369</v>
      </c>
      <c r="W553">
        <f t="shared" si="78"/>
        <v>-0.25435329828790432</v>
      </c>
      <c r="X553">
        <f t="shared" si="79"/>
        <v>0.10399668008577614</v>
      </c>
      <c r="Y553">
        <f t="shared" si="80"/>
        <v>0.36604748519325236</v>
      </c>
    </row>
    <row r="554" spans="1:25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  <c r="Q554" t="str">
        <f t="shared" si="72"/>
        <v>Weekday</v>
      </c>
      <c r="R554" t="str">
        <f t="shared" si="73"/>
        <v>Clear</v>
      </c>
      <c r="S554" t="str">
        <f t="shared" si="74"/>
        <v>Night</v>
      </c>
      <c r="T554" t="str">
        <f t="shared" si="75"/>
        <v>January</v>
      </c>
      <c r="U554" t="str">
        <f t="shared" si="76"/>
        <v>Spring</v>
      </c>
      <c r="V554">
        <f t="shared" si="77"/>
        <v>0.22929155386993369</v>
      </c>
      <c r="W554">
        <f t="shared" si="78"/>
        <v>-0.25435329828790432</v>
      </c>
      <c r="X554">
        <f t="shared" si="79"/>
        <v>0.10399668008577614</v>
      </c>
      <c r="Y554">
        <f t="shared" si="80"/>
        <v>0.36604748519325236</v>
      </c>
    </row>
    <row r="555" spans="1:25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  <c r="Q555" t="str">
        <f t="shared" si="72"/>
        <v>Weekday</v>
      </c>
      <c r="R555" t="str">
        <f t="shared" si="73"/>
        <v>Clear</v>
      </c>
      <c r="S555" t="str">
        <f t="shared" si="74"/>
        <v>Morning</v>
      </c>
      <c r="T555" t="str">
        <f t="shared" si="75"/>
        <v>January</v>
      </c>
      <c r="U555" t="str">
        <f t="shared" si="76"/>
        <v>Spring</v>
      </c>
      <c r="V555">
        <f t="shared" si="77"/>
        <v>0.22929155386993369</v>
      </c>
      <c r="W555">
        <f t="shared" si="78"/>
        <v>-0.25435329828790432</v>
      </c>
      <c r="X555">
        <f t="shared" si="79"/>
        <v>0.10399668008577614</v>
      </c>
      <c r="Y555">
        <f t="shared" si="80"/>
        <v>0.36604748519325236</v>
      </c>
    </row>
    <row r="556" spans="1:25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  <c r="Q556" t="str">
        <f t="shared" si="72"/>
        <v>Weekday</v>
      </c>
      <c r="R556" t="str">
        <f t="shared" si="73"/>
        <v>Clear</v>
      </c>
      <c r="S556" t="str">
        <f t="shared" si="74"/>
        <v>Morning</v>
      </c>
      <c r="T556" t="str">
        <f t="shared" si="75"/>
        <v>January</v>
      </c>
      <c r="U556" t="str">
        <f t="shared" si="76"/>
        <v>Spring</v>
      </c>
      <c r="V556">
        <f t="shared" si="77"/>
        <v>0.22929155386993369</v>
      </c>
      <c r="W556">
        <f t="shared" si="78"/>
        <v>-0.25435329828790432</v>
      </c>
      <c r="X556">
        <f t="shared" si="79"/>
        <v>0.10399668008577614</v>
      </c>
      <c r="Y556">
        <f t="shared" si="80"/>
        <v>0.36604748519325236</v>
      </c>
    </row>
    <row r="557" spans="1:25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  <c r="Q557" t="str">
        <f t="shared" si="72"/>
        <v>Weekday</v>
      </c>
      <c r="R557" t="str">
        <f t="shared" si="73"/>
        <v>Mist/Cloudy</v>
      </c>
      <c r="S557" t="str">
        <f t="shared" si="74"/>
        <v>Morning</v>
      </c>
      <c r="T557" t="str">
        <f t="shared" si="75"/>
        <v>January</v>
      </c>
      <c r="U557" t="str">
        <f t="shared" si="76"/>
        <v>Spring</v>
      </c>
      <c r="V557">
        <f t="shared" si="77"/>
        <v>0.22929155386993369</v>
      </c>
      <c r="W557">
        <f t="shared" si="78"/>
        <v>-0.25435329828790432</v>
      </c>
      <c r="X557">
        <f t="shared" si="79"/>
        <v>0.10399668008577614</v>
      </c>
      <c r="Y557">
        <f t="shared" si="80"/>
        <v>0.36604748519325236</v>
      </c>
    </row>
    <row r="558" spans="1:25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  <c r="Q558" t="str">
        <f t="shared" si="72"/>
        <v>Weekday</v>
      </c>
      <c r="R558" t="str">
        <f t="shared" si="73"/>
        <v>Mist/Cloudy</v>
      </c>
      <c r="S558" t="str">
        <f t="shared" si="74"/>
        <v>Morning</v>
      </c>
      <c r="T558" t="str">
        <f t="shared" si="75"/>
        <v>January</v>
      </c>
      <c r="U558" t="str">
        <f t="shared" si="76"/>
        <v>Spring</v>
      </c>
      <c r="V558">
        <f t="shared" si="77"/>
        <v>0.22929155386993369</v>
      </c>
      <c r="W558">
        <f t="shared" si="78"/>
        <v>-0.25435329828790432</v>
      </c>
      <c r="X558">
        <f t="shared" si="79"/>
        <v>0.10399668008577614</v>
      </c>
      <c r="Y558">
        <f t="shared" si="80"/>
        <v>0.36604748519325236</v>
      </c>
    </row>
    <row r="559" spans="1:25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  <c r="Q559" t="str">
        <f t="shared" si="72"/>
        <v>Weekday</v>
      </c>
      <c r="R559" t="str">
        <f t="shared" si="73"/>
        <v>Mist/Cloudy</v>
      </c>
      <c r="S559" t="str">
        <f t="shared" si="74"/>
        <v>Morning</v>
      </c>
      <c r="T559" t="str">
        <f t="shared" si="75"/>
        <v>January</v>
      </c>
      <c r="U559" t="str">
        <f t="shared" si="76"/>
        <v>Spring</v>
      </c>
      <c r="V559">
        <f t="shared" si="77"/>
        <v>0.22929155386993369</v>
      </c>
      <c r="W559">
        <f t="shared" si="78"/>
        <v>-0.25435329828790432</v>
      </c>
      <c r="X559">
        <f t="shared" si="79"/>
        <v>0.10399668008577614</v>
      </c>
      <c r="Y559">
        <f t="shared" si="80"/>
        <v>0.36604748519325236</v>
      </c>
    </row>
    <row r="560" spans="1:25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  <c r="Q560" t="str">
        <f t="shared" si="72"/>
        <v>Weekday</v>
      </c>
      <c r="R560" t="str">
        <f t="shared" si="73"/>
        <v>Mist/Cloudy</v>
      </c>
      <c r="S560" t="str">
        <f t="shared" si="74"/>
        <v>Morning</v>
      </c>
      <c r="T560" t="str">
        <f t="shared" si="75"/>
        <v>January</v>
      </c>
      <c r="U560" t="str">
        <f t="shared" si="76"/>
        <v>Spring</v>
      </c>
      <c r="V560">
        <f t="shared" si="77"/>
        <v>0.22929155386993369</v>
      </c>
      <c r="W560">
        <f t="shared" si="78"/>
        <v>-0.25435329828790432</v>
      </c>
      <c r="X560">
        <f t="shared" si="79"/>
        <v>0.10399668008577614</v>
      </c>
      <c r="Y560">
        <f t="shared" si="80"/>
        <v>0.36604748519325236</v>
      </c>
    </row>
    <row r="561" spans="1:25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  <c r="Q561" t="str">
        <f t="shared" si="72"/>
        <v>Weekday</v>
      </c>
      <c r="R561" t="str">
        <f t="shared" si="73"/>
        <v>Mist/Cloudy</v>
      </c>
      <c r="S561" t="str">
        <f t="shared" si="74"/>
        <v>Afternoon</v>
      </c>
      <c r="T561" t="str">
        <f t="shared" si="75"/>
        <v>January</v>
      </c>
      <c r="U561" t="str">
        <f t="shared" si="76"/>
        <v>Spring</v>
      </c>
      <c r="V561">
        <f t="shared" si="77"/>
        <v>0.22929155386993369</v>
      </c>
      <c r="W561">
        <f t="shared" si="78"/>
        <v>-0.25435329828790432</v>
      </c>
      <c r="X561">
        <f t="shared" si="79"/>
        <v>0.10399668008577614</v>
      </c>
      <c r="Y561">
        <f t="shared" si="80"/>
        <v>0.36604748519325236</v>
      </c>
    </row>
    <row r="562" spans="1:25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  <c r="Q562" t="str">
        <f t="shared" si="72"/>
        <v>Weekday</v>
      </c>
      <c r="R562" t="str">
        <f t="shared" si="73"/>
        <v>Mist/Cloudy</v>
      </c>
      <c r="S562" t="str">
        <f t="shared" si="74"/>
        <v>Afternoon</v>
      </c>
      <c r="T562" t="str">
        <f t="shared" si="75"/>
        <v>January</v>
      </c>
      <c r="U562" t="str">
        <f t="shared" si="76"/>
        <v>Spring</v>
      </c>
      <c r="V562">
        <f t="shared" si="77"/>
        <v>0.22929155386993369</v>
      </c>
      <c r="W562">
        <f t="shared" si="78"/>
        <v>-0.25435329828790432</v>
      </c>
      <c r="X562">
        <f t="shared" si="79"/>
        <v>0.10399668008577614</v>
      </c>
      <c r="Y562">
        <f t="shared" si="80"/>
        <v>0.36604748519325236</v>
      </c>
    </row>
    <row r="563" spans="1:25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  <c r="Q563" t="str">
        <f t="shared" si="72"/>
        <v>Weekday</v>
      </c>
      <c r="R563" t="str">
        <f t="shared" si="73"/>
        <v>Mist/Cloudy</v>
      </c>
      <c r="S563" t="str">
        <f t="shared" si="74"/>
        <v>Afternoon</v>
      </c>
      <c r="T563" t="str">
        <f t="shared" si="75"/>
        <v>January</v>
      </c>
      <c r="U563" t="str">
        <f t="shared" si="76"/>
        <v>Spring</v>
      </c>
      <c r="V563">
        <f t="shared" si="77"/>
        <v>0.22929155386993369</v>
      </c>
      <c r="W563">
        <f t="shared" si="78"/>
        <v>-0.25435329828790432</v>
      </c>
      <c r="X563">
        <f t="shared" si="79"/>
        <v>0.10399668008577614</v>
      </c>
      <c r="Y563">
        <f t="shared" si="80"/>
        <v>0.36604748519325236</v>
      </c>
    </row>
    <row r="564" spans="1:25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  <c r="Q564" t="str">
        <f t="shared" si="72"/>
        <v>Weekday</v>
      </c>
      <c r="R564" t="str">
        <f t="shared" si="73"/>
        <v>Mist/Cloudy</v>
      </c>
      <c r="S564" t="str">
        <f t="shared" si="74"/>
        <v>Afternoon</v>
      </c>
      <c r="T564" t="str">
        <f t="shared" si="75"/>
        <v>January</v>
      </c>
      <c r="U564" t="str">
        <f t="shared" si="76"/>
        <v>Spring</v>
      </c>
      <c r="V564">
        <f t="shared" si="77"/>
        <v>0.22929155386993369</v>
      </c>
      <c r="W564">
        <f t="shared" si="78"/>
        <v>-0.25435329828790432</v>
      </c>
      <c r="X564">
        <f t="shared" si="79"/>
        <v>0.10399668008577614</v>
      </c>
      <c r="Y564">
        <f t="shared" si="80"/>
        <v>0.36604748519325236</v>
      </c>
    </row>
    <row r="565" spans="1:25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  <c r="Q565" t="str">
        <f t="shared" si="72"/>
        <v>Weekday</v>
      </c>
      <c r="R565" t="str">
        <f t="shared" si="73"/>
        <v>Mist/Cloudy</v>
      </c>
      <c r="S565" t="str">
        <f t="shared" si="74"/>
        <v>Afternoon</v>
      </c>
      <c r="T565" t="str">
        <f t="shared" si="75"/>
        <v>January</v>
      </c>
      <c r="U565" t="str">
        <f t="shared" si="76"/>
        <v>Spring</v>
      </c>
      <c r="V565">
        <f t="shared" si="77"/>
        <v>0.22929155386993369</v>
      </c>
      <c r="W565">
        <f t="shared" si="78"/>
        <v>-0.25435329828790432</v>
      </c>
      <c r="X565">
        <f t="shared" si="79"/>
        <v>0.10399668008577614</v>
      </c>
      <c r="Y565">
        <f t="shared" si="80"/>
        <v>0.36604748519325236</v>
      </c>
    </row>
    <row r="566" spans="1:25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  <c r="Q566" t="str">
        <f t="shared" si="72"/>
        <v>Weekday</v>
      </c>
      <c r="R566" t="str">
        <f t="shared" si="73"/>
        <v>Clear</v>
      </c>
      <c r="S566" t="str">
        <f t="shared" si="74"/>
        <v>Evening</v>
      </c>
      <c r="T566" t="str">
        <f t="shared" si="75"/>
        <v>January</v>
      </c>
      <c r="U566" t="str">
        <f t="shared" si="76"/>
        <v>Spring</v>
      </c>
      <c r="V566">
        <f t="shared" si="77"/>
        <v>0.22929155386993369</v>
      </c>
      <c r="W566">
        <f t="shared" si="78"/>
        <v>-0.25435329828790432</v>
      </c>
      <c r="X566">
        <f t="shared" si="79"/>
        <v>0.10399668008577614</v>
      </c>
      <c r="Y566">
        <f t="shared" si="80"/>
        <v>0.36604748519325236</v>
      </c>
    </row>
    <row r="567" spans="1:25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  <c r="Q567" t="str">
        <f t="shared" si="72"/>
        <v>Weekday</v>
      </c>
      <c r="R567" t="str">
        <f t="shared" si="73"/>
        <v>Mist/Cloudy</v>
      </c>
      <c r="S567" t="str">
        <f t="shared" si="74"/>
        <v>Evening</v>
      </c>
      <c r="T567" t="str">
        <f t="shared" si="75"/>
        <v>January</v>
      </c>
      <c r="U567" t="str">
        <f t="shared" si="76"/>
        <v>Spring</v>
      </c>
      <c r="V567">
        <f t="shared" si="77"/>
        <v>0.22929155386993369</v>
      </c>
      <c r="W567">
        <f t="shared" si="78"/>
        <v>-0.25435329828790432</v>
      </c>
      <c r="X567">
        <f t="shared" si="79"/>
        <v>0.10399668008577614</v>
      </c>
      <c r="Y567">
        <f t="shared" si="80"/>
        <v>0.36604748519325236</v>
      </c>
    </row>
    <row r="568" spans="1:25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  <c r="Q568" t="str">
        <f t="shared" si="72"/>
        <v>Weekday</v>
      </c>
      <c r="R568" t="str">
        <f t="shared" si="73"/>
        <v>Mist/Cloudy</v>
      </c>
      <c r="S568" t="str">
        <f t="shared" si="74"/>
        <v>Evening</v>
      </c>
      <c r="T568" t="str">
        <f t="shared" si="75"/>
        <v>January</v>
      </c>
      <c r="U568" t="str">
        <f t="shared" si="76"/>
        <v>Spring</v>
      </c>
      <c r="V568">
        <f t="shared" si="77"/>
        <v>0.22929155386993369</v>
      </c>
      <c r="W568">
        <f t="shared" si="78"/>
        <v>-0.25435329828790432</v>
      </c>
      <c r="X568">
        <f t="shared" si="79"/>
        <v>0.10399668008577614</v>
      </c>
      <c r="Y568">
        <f t="shared" si="80"/>
        <v>0.36604748519325236</v>
      </c>
    </row>
    <row r="569" spans="1:25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  <c r="Q569" t="str">
        <f t="shared" si="72"/>
        <v>Weekday</v>
      </c>
      <c r="R569" t="str">
        <f t="shared" si="73"/>
        <v>Clear</v>
      </c>
      <c r="S569" t="str">
        <f t="shared" si="74"/>
        <v>Evening</v>
      </c>
      <c r="T569" t="str">
        <f t="shared" si="75"/>
        <v>January</v>
      </c>
      <c r="U569" t="str">
        <f t="shared" si="76"/>
        <v>Spring</v>
      </c>
      <c r="V569">
        <f t="shared" si="77"/>
        <v>0.22929155386993369</v>
      </c>
      <c r="W569">
        <f t="shared" si="78"/>
        <v>-0.25435329828790432</v>
      </c>
      <c r="X569">
        <f t="shared" si="79"/>
        <v>0.10399668008577614</v>
      </c>
      <c r="Y569">
        <f t="shared" si="80"/>
        <v>0.36604748519325236</v>
      </c>
    </row>
    <row r="570" spans="1:25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  <c r="Q570" t="str">
        <f t="shared" si="72"/>
        <v>Weekday</v>
      </c>
      <c r="R570" t="str">
        <f t="shared" si="73"/>
        <v>Clear</v>
      </c>
      <c r="S570" t="str">
        <f t="shared" si="74"/>
        <v>Night</v>
      </c>
      <c r="T570" t="str">
        <f t="shared" si="75"/>
        <v>January</v>
      </c>
      <c r="U570" t="str">
        <f t="shared" si="76"/>
        <v>Spring</v>
      </c>
      <c r="V570">
        <f t="shared" si="77"/>
        <v>0.22929155386993369</v>
      </c>
      <c r="W570">
        <f t="shared" si="78"/>
        <v>-0.25435329828790432</v>
      </c>
      <c r="X570">
        <f t="shared" si="79"/>
        <v>0.10399668008577614</v>
      </c>
      <c r="Y570">
        <f t="shared" si="80"/>
        <v>0.36604748519325236</v>
      </c>
    </row>
    <row r="571" spans="1:25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  <c r="Q571" t="str">
        <f t="shared" si="72"/>
        <v>Weekday</v>
      </c>
      <c r="R571" t="str">
        <f t="shared" si="73"/>
        <v>Clear</v>
      </c>
      <c r="S571" t="str">
        <f t="shared" si="74"/>
        <v>Night</v>
      </c>
      <c r="T571" t="str">
        <f t="shared" si="75"/>
        <v>January</v>
      </c>
      <c r="U571" t="str">
        <f t="shared" si="76"/>
        <v>Spring</v>
      </c>
      <c r="V571">
        <f t="shared" si="77"/>
        <v>0.22929155386993369</v>
      </c>
      <c r="W571">
        <f t="shared" si="78"/>
        <v>-0.25435329828790432</v>
      </c>
      <c r="X571">
        <f t="shared" si="79"/>
        <v>0.10399668008577614</v>
      </c>
      <c r="Y571">
        <f t="shared" si="80"/>
        <v>0.36604748519325236</v>
      </c>
    </row>
    <row r="572" spans="1:25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  <c r="Q572" t="str">
        <f t="shared" si="72"/>
        <v>Weekday</v>
      </c>
      <c r="R572" t="str">
        <f t="shared" si="73"/>
        <v>Mist/Cloudy</v>
      </c>
      <c r="S572" t="str">
        <f t="shared" si="74"/>
        <v>Night</v>
      </c>
      <c r="T572" t="str">
        <f t="shared" si="75"/>
        <v>January</v>
      </c>
      <c r="U572" t="str">
        <f t="shared" si="76"/>
        <v>Spring</v>
      </c>
      <c r="V572">
        <f t="shared" si="77"/>
        <v>0.22929155386993369</v>
      </c>
      <c r="W572">
        <f t="shared" si="78"/>
        <v>-0.25435329828790432</v>
      </c>
      <c r="X572">
        <f t="shared" si="79"/>
        <v>0.10399668008577614</v>
      </c>
      <c r="Y572">
        <f t="shared" si="80"/>
        <v>0.36604748519325236</v>
      </c>
    </row>
    <row r="573" spans="1:25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  <c r="Q573" t="str">
        <f t="shared" si="72"/>
        <v>Weekday</v>
      </c>
      <c r="R573" t="str">
        <f t="shared" si="73"/>
        <v>Mist/Cloudy</v>
      </c>
      <c r="S573" t="str">
        <f t="shared" si="74"/>
        <v>Night</v>
      </c>
      <c r="T573" t="str">
        <f t="shared" si="75"/>
        <v>January</v>
      </c>
      <c r="U573" t="str">
        <f t="shared" si="76"/>
        <v>Spring</v>
      </c>
      <c r="V573">
        <f t="shared" si="77"/>
        <v>0.22929155386993369</v>
      </c>
      <c r="W573">
        <f t="shared" si="78"/>
        <v>-0.25435329828790432</v>
      </c>
      <c r="X573">
        <f t="shared" si="79"/>
        <v>0.10399668008577614</v>
      </c>
      <c r="Y573">
        <f t="shared" si="80"/>
        <v>0.36604748519325236</v>
      </c>
    </row>
    <row r="574" spans="1:25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  <c r="Q574" t="str">
        <f t="shared" si="72"/>
        <v>Weekday</v>
      </c>
      <c r="R574" t="str">
        <f t="shared" si="73"/>
        <v>Mist/Cloudy</v>
      </c>
      <c r="S574" t="str">
        <f t="shared" si="74"/>
        <v>Night</v>
      </c>
      <c r="T574" t="str">
        <f t="shared" si="75"/>
        <v>January</v>
      </c>
      <c r="U574" t="str">
        <f t="shared" si="76"/>
        <v>Spring</v>
      </c>
      <c r="V574">
        <f t="shared" si="77"/>
        <v>0.22929155386993369</v>
      </c>
      <c r="W574">
        <f t="shared" si="78"/>
        <v>-0.25435329828790432</v>
      </c>
      <c r="X574">
        <f t="shared" si="79"/>
        <v>0.10399668008577614</v>
      </c>
      <c r="Y574">
        <f t="shared" si="80"/>
        <v>0.36604748519325236</v>
      </c>
    </row>
    <row r="575" spans="1:25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  <c r="Q575" t="str">
        <f t="shared" si="72"/>
        <v>Weekday</v>
      </c>
      <c r="R575" t="str">
        <f t="shared" si="73"/>
        <v>Light Rain/Snow</v>
      </c>
      <c r="S575" t="str">
        <f t="shared" si="74"/>
        <v>Night</v>
      </c>
      <c r="T575" t="str">
        <f t="shared" si="75"/>
        <v>January</v>
      </c>
      <c r="U575" t="str">
        <f t="shared" si="76"/>
        <v>Spring</v>
      </c>
      <c r="V575">
        <f t="shared" si="77"/>
        <v>0.22929155386993369</v>
      </c>
      <c r="W575">
        <f t="shared" si="78"/>
        <v>-0.25435329828790432</v>
      </c>
      <c r="X575">
        <f t="shared" si="79"/>
        <v>0.10399668008577614</v>
      </c>
      <c r="Y575">
        <f t="shared" si="80"/>
        <v>0.36604748519325236</v>
      </c>
    </row>
    <row r="576" spans="1:25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  <c r="Q576" t="str">
        <f t="shared" si="72"/>
        <v>Weekday</v>
      </c>
      <c r="R576" t="str">
        <f t="shared" si="73"/>
        <v>Light Rain/Snow</v>
      </c>
      <c r="S576" t="str">
        <f t="shared" si="74"/>
        <v>Night</v>
      </c>
      <c r="T576" t="str">
        <f t="shared" si="75"/>
        <v>January</v>
      </c>
      <c r="U576" t="str">
        <f t="shared" si="76"/>
        <v>Spring</v>
      </c>
      <c r="V576">
        <f t="shared" si="77"/>
        <v>0.22929155386993369</v>
      </c>
      <c r="W576">
        <f t="shared" si="78"/>
        <v>-0.25435329828790432</v>
      </c>
      <c r="X576">
        <f t="shared" si="79"/>
        <v>0.10399668008577614</v>
      </c>
      <c r="Y576">
        <f t="shared" si="80"/>
        <v>0.36604748519325236</v>
      </c>
    </row>
    <row r="577" spans="1:25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  <c r="Q577" t="str">
        <f t="shared" si="72"/>
        <v>Weekday</v>
      </c>
      <c r="R577" t="str">
        <f t="shared" si="73"/>
        <v>Light Rain/Snow</v>
      </c>
      <c r="S577" t="str">
        <f t="shared" si="74"/>
        <v>Morning</v>
      </c>
      <c r="T577" t="str">
        <f t="shared" si="75"/>
        <v>January</v>
      </c>
      <c r="U577" t="str">
        <f t="shared" si="76"/>
        <v>Spring</v>
      </c>
      <c r="V577">
        <f t="shared" si="77"/>
        <v>0.22929155386993369</v>
      </c>
      <c r="W577">
        <f t="shared" si="78"/>
        <v>-0.25435329828790432</v>
      </c>
      <c r="X577">
        <f t="shared" si="79"/>
        <v>0.10399668008577614</v>
      </c>
      <c r="Y577">
        <f t="shared" si="80"/>
        <v>0.36604748519325236</v>
      </c>
    </row>
    <row r="578" spans="1:25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  <c r="Q578" t="str">
        <f t="shared" ref="Q578:Q641" si="81">IF(OR(WEEKDAY(B578)=1, WEEKDAY(B578)=7), "Weekend", "Weekday")</f>
        <v>Weekday</v>
      </c>
      <c r="R578" t="str">
        <f t="shared" ref="R578:R641" si="82">IF(I578=1,"Clear",IF(I578=2,"Mist/Cloudy",IF(I578=3,"Light Rain/Snow","Heavy Rain/Snow")))</f>
        <v>Light Rain/Snow</v>
      </c>
      <c r="S578" t="str">
        <f t="shared" ref="S578:S641" si="83">IF(AND(F578&gt;=6, F578&lt;12), "Morning", IF(AND(F578&gt;=12, F578&lt;17), "Afternoon", IF(AND(F578&gt;=17, F578&lt;21), "Evening", "Night")))</f>
        <v>Morning</v>
      </c>
      <c r="T578" t="str">
        <f t="shared" ref="T578:T641" si="84">TEXT(B578, "mmmm")</f>
        <v>January</v>
      </c>
      <c r="U578" t="str">
        <f t="shared" ref="U578:U641" si="85">CHOOSE(C578, "Spring", "Summer", "Fall", "Winter")</f>
        <v>Spring</v>
      </c>
      <c r="V578">
        <f t="shared" ref="V578:V641" si="86">CORREL($J$2:$J$1001, $P$2:$P$1001)</f>
        <v>0.22929155386993369</v>
      </c>
      <c r="W578">
        <f t="shared" ref="W578:W641" si="87">CORREL($L$2:$L$1001, $P$2:$P$1001)</f>
        <v>-0.25435329828790432</v>
      </c>
      <c r="X578">
        <f t="shared" ref="X578:X641" si="88">CORREL($M$2:$M$1001, $P$2:$P$1001)</f>
        <v>0.10399668008577614</v>
      </c>
      <c r="Y578">
        <f t="shared" ref="Y578:Y641" si="89">CORREL($F$2:$F$1001, $P$2:$P$1001)</f>
        <v>0.36604748519325236</v>
      </c>
    </row>
    <row r="579" spans="1:25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  <c r="Q579" t="str">
        <f t="shared" si="81"/>
        <v>Weekday</v>
      </c>
      <c r="R579" t="str">
        <f t="shared" si="82"/>
        <v>Light Rain/Snow</v>
      </c>
      <c r="S579" t="str">
        <f t="shared" si="83"/>
        <v>Morning</v>
      </c>
      <c r="T579" t="str">
        <f t="shared" si="84"/>
        <v>January</v>
      </c>
      <c r="U579" t="str">
        <f t="shared" si="85"/>
        <v>Spring</v>
      </c>
      <c r="V579">
        <f t="shared" si="86"/>
        <v>0.22929155386993369</v>
      </c>
      <c r="W579">
        <f t="shared" si="87"/>
        <v>-0.25435329828790432</v>
      </c>
      <c r="X579">
        <f t="shared" si="88"/>
        <v>0.10399668008577614</v>
      </c>
      <c r="Y579">
        <f t="shared" si="89"/>
        <v>0.36604748519325236</v>
      </c>
    </row>
    <row r="580" spans="1:25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  <c r="Q580" t="str">
        <f t="shared" si="81"/>
        <v>Weekday</v>
      </c>
      <c r="R580" t="str">
        <f t="shared" si="82"/>
        <v>Light Rain/Snow</v>
      </c>
      <c r="S580" t="str">
        <f t="shared" si="83"/>
        <v>Morning</v>
      </c>
      <c r="T580" t="str">
        <f t="shared" si="84"/>
        <v>January</v>
      </c>
      <c r="U580" t="str">
        <f t="shared" si="85"/>
        <v>Spring</v>
      </c>
      <c r="V580">
        <f t="shared" si="86"/>
        <v>0.22929155386993369</v>
      </c>
      <c r="W580">
        <f t="shared" si="87"/>
        <v>-0.25435329828790432</v>
      </c>
      <c r="X580">
        <f t="shared" si="88"/>
        <v>0.10399668008577614</v>
      </c>
      <c r="Y580">
        <f t="shared" si="89"/>
        <v>0.36604748519325236</v>
      </c>
    </row>
    <row r="581" spans="1:25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  <c r="Q581" t="str">
        <f t="shared" si="81"/>
        <v>Weekday</v>
      </c>
      <c r="R581" t="str">
        <f t="shared" si="82"/>
        <v>Light Rain/Snow</v>
      </c>
      <c r="S581" t="str">
        <f t="shared" si="83"/>
        <v>Morning</v>
      </c>
      <c r="T581" t="str">
        <f t="shared" si="84"/>
        <v>January</v>
      </c>
      <c r="U581" t="str">
        <f t="shared" si="85"/>
        <v>Spring</v>
      </c>
      <c r="V581">
        <f t="shared" si="86"/>
        <v>0.22929155386993369</v>
      </c>
      <c r="W581">
        <f t="shared" si="87"/>
        <v>-0.25435329828790432</v>
      </c>
      <c r="X581">
        <f t="shared" si="88"/>
        <v>0.10399668008577614</v>
      </c>
      <c r="Y581">
        <f t="shared" si="89"/>
        <v>0.36604748519325236</v>
      </c>
    </row>
    <row r="582" spans="1:25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  <c r="Q582" t="str">
        <f t="shared" si="81"/>
        <v>Weekday</v>
      </c>
      <c r="R582" t="str">
        <f t="shared" si="82"/>
        <v>Light Rain/Snow</v>
      </c>
      <c r="S582" t="str">
        <f t="shared" si="83"/>
        <v>Morning</v>
      </c>
      <c r="T582" t="str">
        <f t="shared" si="84"/>
        <v>January</v>
      </c>
      <c r="U582" t="str">
        <f t="shared" si="85"/>
        <v>Spring</v>
      </c>
      <c r="V582">
        <f t="shared" si="86"/>
        <v>0.22929155386993369</v>
      </c>
      <c r="W582">
        <f t="shared" si="87"/>
        <v>-0.25435329828790432</v>
      </c>
      <c r="X582">
        <f t="shared" si="88"/>
        <v>0.10399668008577614</v>
      </c>
      <c r="Y582">
        <f t="shared" si="89"/>
        <v>0.36604748519325236</v>
      </c>
    </row>
    <row r="583" spans="1:25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  <c r="Q583" t="str">
        <f t="shared" si="81"/>
        <v>Weekday</v>
      </c>
      <c r="R583" t="str">
        <f t="shared" si="82"/>
        <v>Light Rain/Snow</v>
      </c>
      <c r="S583" t="str">
        <f t="shared" si="83"/>
        <v>Afternoon</v>
      </c>
      <c r="T583" t="str">
        <f t="shared" si="84"/>
        <v>January</v>
      </c>
      <c r="U583" t="str">
        <f t="shared" si="85"/>
        <v>Spring</v>
      </c>
      <c r="V583">
        <f t="shared" si="86"/>
        <v>0.22929155386993369</v>
      </c>
      <c r="W583">
        <f t="shared" si="87"/>
        <v>-0.25435329828790432</v>
      </c>
      <c r="X583">
        <f t="shared" si="88"/>
        <v>0.10399668008577614</v>
      </c>
      <c r="Y583">
        <f t="shared" si="89"/>
        <v>0.36604748519325236</v>
      </c>
    </row>
    <row r="584" spans="1:25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  <c r="Q584" t="str">
        <f t="shared" si="81"/>
        <v>Weekday</v>
      </c>
      <c r="R584" t="str">
        <f t="shared" si="82"/>
        <v>Light Rain/Snow</v>
      </c>
      <c r="S584" t="str">
        <f t="shared" si="83"/>
        <v>Afternoon</v>
      </c>
      <c r="T584" t="str">
        <f t="shared" si="84"/>
        <v>January</v>
      </c>
      <c r="U584" t="str">
        <f t="shared" si="85"/>
        <v>Spring</v>
      </c>
      <c r="V584">
        <f t="shared" si="86"/>
        <v>0.22929155386993369</v>
      </c>
      <c r="W584">
        <f t="shared" si="87"/>
        <v>-0.25435329828790432</v>
      </c>
      <c r="X584">
        <f t="shared" si="88"/>
        <v>0.10399668008577614</v>
      </c>
      <c r="Y584">
        <f t="shared" si="89"/>
        <v>0.36604748519325236</v>
      </c>
    </row>
    <row r="585" spans="1:25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  <c r="Q585" t="str">
        <f t="shared" si="81"/>
        <v>Weekday</v>
      </c>
      <c r="R585" t="str">
        <f t="shared" si="82"/>
        <v>Light Rain/Snow</v>
      </c>
      <c r="S585" t="str">
        <f t="shared" si="83"/>
        <v>Afternoon</v>
      </c>
      <c r="T585" t="str">
        <f t="shared" si="84"/>
        <v>January</v>
      </c>
      <c r="U585" t="str">
        <f t="shared" si="85"/>
        <v>Spring</v>
      </c>
      <c r="V585">
        <f t="shared" si="86"/>
        <v>0.22929155386993369</v>
      </c>
      <c r="W585">
        <f t="shared" si="87"/>
        <v>-0.25435329828790432</v>
      </c>
      <c r="X585">
        <f t="shared" si="88"/>
        <v>0.10399668008577614</v>
      </c>
      <c r="Y585">
        <f t="shared" si="89"/>
        <v>0.36604748519325236</v>
      </c>
    </row>
    <row r="586" spans="1:25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  <c r="Q586" t="str">
        <f t="shared" si="81"/>
        <v>Weekday</v>
      </c>
      <c r="R586" t="str">
        <f t="shared" si="82"/>
        <v>Light Rain/Snow</v>
      </c>
      <c r="S586" t="str">
        <f t="shared" si="83"/>
        <v>Afternoon</v>
      </c>
      <c r="T586" t="str">
        <f t="shared" si="84"/>
        <v>January</v>
      </c>
      <c r="U586" t="str">
        <f t="shared" si="85"/>
        <v>Spring</v>
      </c>
      <c r="V586">
        <f t="shared" si="86"/>
        <v>0.22929155386993369</v>
      </c>
      <c r="W586">
        <f t="shared" si="87"/>
        <v>-0.25435329828790432</v>
      </c>
      <c r="X586">
        <f t="shared" si="88"/>
        <v>0.10399668008577614</v>
      </c>
      <c r="Y586">
        <f t="shared" si="89"/>
        <v>0.36604748519325236</v>
      </c>
    </row>
    <row r="587" spans="1:25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  <c r="Q587" t="str">
        <f t="shared" si="81"/>
        <v>Weekday</v>
      </c>
      <c r="R587" t="str">
        <f t="shared" si="82"/>
        <v>Heavy Rain/Snow</v>
      </c>
      <c r="S587" t="str">
        <f t="shared" si="83"/>
        <v>Afternoon</v>
      </c>
      <c r="T587" t="str">
        <f t="shared" si="84"/>
        <v>January</v>
      </c>
      <c r="U587" t="str">
        <f t="shared" si="85"/>
        <v>Spring</v>
      </c>
      <c r="V587">
        <f t="shared" si="86"/>
        <v>0.22929155386993369</v>
      </c>
      <c r="W587">
        <f t="shared" si="87"/>
        <v>-0.25435329828790432</v>
      </c>
      <c r="X587">
        <f t="shared" si="88"/>
        <v>0.10399668008577614</v>
      </c>
      <c r="Y587">
        <f t="shared" si="89"/>
        <v>0.36604748519325236</v>
      </c>
    </row>
    <row r="588" spans="1:25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  <c r="Q588" t="str">
        <f t="shared" si="81"/>
        <v>Weekday</v>
      </c>
      <c r="R588" t="str">
        <f t="shared" si="82"/>
        <v>Light Rain/Snow</v>
      </c>
      <c r="S588" t="str">
        <f t="shared" si="83"/>
        <v>Evening</v>
      </c>
      <c r="T588" t="str">
        <f t="shared" si="84"/>
        <v>January</v>
      </c>
      <c r="U588" t="str">
        <f t="shared" si="85"/>
        <v>Spring</v>
      </c>
      <c r="V588">
        <f t="shared" si="86"/>
        <v>0.22929155386993369</v>
      </c>
      <c r="W588">
        <f t="shared" si="87"/>
        <v>-0.25435329828790432</v>
      </c>
      <c r="X588">
        <f t="shared" si="88"/>
        <v>0.10399668008577614</v>
      </c>
      <c r="Y588">
        <f t="shared" si="89"/>
        <v>0.36604748519325236</v>
      </c>
    </row>
    <row r="589" spans="1:25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  <c r="Q589" t="str">
        <f t="shared" si="81"/>
        <v>Weekday</v>
      </c>
      <c r="R589" t="str">
        <f t="shared" si="82"/>
        <v>Clear</v>
      </c>
      <c r="S589" t="str">
        <f t="shared" si="83"/>
        <v>Afternoon</v>
      </c>
      <c r="T589" t="str">
        <f t="shared" si="84"/>
        <v>January</v>
      </c>
      <c r="U589" t="str">
        <f t="shared" si="85"/>
        <v>Spring</v>
      </c>
      <c r="V589">
        <f t="shared" si="86"/>
        <v>0.22929155386993369</v>
      </c>
      <c r="W589">
        <f t="shared" si="87"/>
        <v>-0.25435329828790432</v>
      </c>
      <c r="X589">
        <f t="shared" si="88"/>
        <v>0.10399668008577614</v>
      </c>
      <c r="Y589">
        <f t="shared" si="89"/>
        <v>0.36604748519325236</v>
      </c>
    </row>
    <row r="590" spans="1:25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  <c r="Q590" t="str">
        <f t="shared" si="81"/>
        <v>Weekday</v>
      </c>
      <c r="R590" t="str">
        <f t="shared" si="82"/>
        <v>Clear</v>
      </c>
      <c r="S590" t="str">
        <f t="shared" si="83"/>
        <v>Evening</v>
      </c>
      <c r="T590" t="str">
        <f t="shared" si="84"/>
        <v>January</v>
      </c>
      <c r="U590" t="str">
        <f t="shared" si="85"/>
        <v>Spring</v>
      </c>
      <c r="V590">
        <f t="shared" si="86"/>
        <v>0.22929155386993369</v>
      </c>
      <c r="W590">
        <f t="shared" si="87"/>
        <v>-0.25435329828790432</v>
      </c>
      <c r="X590">
        <f t="shared" si="88"/>
        <v>0.10399668008577614</v>
      </c>
      <c r="Y590">
        <f t="shared" si="89"/>
        <v>0.36604748519325236</v>
      </c>
    </row>
    <row r="591" spans="1:25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  <c r="Q591" t="str">
        <f t="shared" si="81"/>
        <v>Weekday</v>
      </c>
      <c r="R591" t="str">
        <f t="shared" si="82"/>
        <v>Clear</v>
      </c>
      <c r="S591" t="str">
        <f t="shared" si="83"/>
        <v>Evening</v>
      </c>
      <c r="T591" t="str">
        <f t="shared" si="84"/>
        <v>January</v>
      </c>
      <c r="U591" t="str">
        <f t="shared" si="85"/>
        <v>Spring</v>
      </c>
      <c r="V591">
        <f t="shared" si="86"/>
        <v>0.22929155386993369</v>
      </c>
      <c r="W591">
        <f t="shared" si="87"/>
        <v>-0.25435329828790432</v>
      </c>
      <c r="X591">
        <f t="shared" si="88"/>
        <v>0.10399668008577614</v>
      </c>
      <c r="Y591">
        <f t="shared" si="89"/>
        <v>0.36604748519325236</v>
      </c>
    </row>
    <row r="592" spans="1:25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  <c r="Q592" t="str">
        <f t="shared" si="81"/>
        <v>Weekday</v>
      </c>
      <c r="R592" t="str">
        <f t="shared" si="82"/>
        <v>Clear</v>
      </c>
      <c r="S592" t="str">
        <f t="shared" si="83"/>
        <v>Evening</v>
      </c>
      <c r="T592" t="str">
        <f t="shared" si="84"/>
        <v>January</v>
      </c>
      <c r="U592" t="str">
        <f t="shared" si="85"/>
        <v>Spring</v>
      </c>
      <c r="V592">
        <f t="shared" si="86"/>
        <v>0.22929155386993369</v>
      </c>
      <c r="W592">
        <f t="shared" si="87"/>
        <v>-0.25435329828790432</v>
      </c>
      <c r="X592">
        <f t="shared" si="88"/>
        <v>0.10399668008577614</v>
      </c>
      <c r="Y592">
        <f t="shared" si="89"/>
        <v>0.36604748519325236</v>
      </c>
    </row>
    <row r="593" spans="1:25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  <c r="Q593" t="str">
        <f t="shared" si="81"/>
        <v>Weekday</v>
      </c>
      <c r="R593" t="str">
        <f t="shared" si="82"/>
        <v>Clear</v>
      </c>
      <c r="S593" t="str">
        <f t="shared" si="83"/>
        <v>Evening</v>
      </c>
      <c r="T593" t="str">
        <f t="shared" si="84"/>
        <v>January</v>
      </c>
      <c r="U593" t="str">
        <f t="shared" si="85"/>
        <v>Spring</v>
      </c>
      <c r="V593">
        <f t="shared" si="86"/>
        <v>0.22929155386993369</v>
      </c>
      <c r="W593">
        <f t="shared" si="87"/>
        <v>-0.25435329828790432</v>
      </c>
      <c r="X593">
        <f t="shared" si="88"/>
        <v>0.10399668008577614</v>
      </c>
      <c r="Y593">
        <f t="shared" si="89"/>
        <v>0.36604748519325236</v>
      </c>
    </row>
    <row r="594" spans="1:25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  <c r="Q594" t="str">
        <f t="shared" si="81"/>
        <v>Weekday</v>
      </c>
      <c r="R594" t="str">
        <f t="shared" si="82"/>
        <v>Clear</v>
      </c>
      <c r="S594" t="str">
        <f t="shared" si="83"/>
        <v>Night</v>
      </c>
      <c r="T594" t="str">
        <f t="shared" si="84"/>
        <v>January</v>
      </c>
      <c r="U594" t="str">
        <f t="shared" si="85"/>
        <v>Spring</v>
      </c>
      <c r="V594">
        <f t="shared" si="86"/>
        <v>0.22929155386993369</v>
      </c>
      <c r="W594">
        <f t="shared" si="87"/>
        <v>-0.25435329828790432</v>
      </c>
      <c r="X594">
        <f t="shared" si="88"/>
        <v>0.10399668008577614</v>
      </c>
      <c r="Y594">
        <f t="shared" si="89"/>
        <v>0.36604748519325236</v>
      </c>
    </row>
    <row r="595" spans="1:25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  <c r="Q595" t="str">
        <f t="shared" si="81"/>
        <v>Weekday</v>
      </c>
      <c r="R595" t="str">
        <f t="shared" si="82"/>
        <v>Clear</v>
      </c>
      <c r="S595" t="str">
        <f t="shared" si="83"/>
        <v>Night</v>
      </c>
      <c r="T595" t="str">
        <f t="shared" si="84"/>
        <v>January</v>
      </c>
      <c r="U595" t="str">
        <f t="shared" si="85"/>
        <v>Spring</v>
      </c>
      <c r="V595">
        <f t="shared" si="86"/>
        <v>0.22929155386993369</v>
      </c>
      <c r="W595">
        <f t="shared" si="87"/>
        <v>-0.25435329828790432</v>
      </c>
      <c r="X595">
        <f t="shared" si="88"/>
        <v>0.10399668008577614</v>
      </c>
      <c r="Y595">
        <f t="shared" si="89"/>
        <v>0.36604748519325236</v>
      </c>
    </row>
    <row r="596" spans="1:25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  <c r="Q596" t="str">
        <f t="shared" si="81"/>
        <v>Weekday</v>
      </c>
      <c r="R596" t="str">
        <f t="shared" si="82"/>
        <v>Clear</v>
      </c>
      <c r="S596" t="str">
        <f t="shared" si="83"/>
        <v>Night</v>
      </c>
      <c r="T596" t="str">
        <f t="shared" si="84"/>
        <v>January</v>
      </c>
      <c r="U596" t="str">
        <f t="shared" si="85"/>
        <v>Spring</v>
      </c>
      <c r="V596">
        <f t="shared" si="86"/>
        <v>0.22929155386993369</v>
      </c>
      <c r="W596">
        <f t="shared" si="87"/>
        <v>-0.25435329828790432</v>
      </c>
      <c r="X596">
        <f t="shared" si="88"/>
        <v>0.10399668008577614</v>
      </c>
      <c r="Y596">
        <f t="shared" si="89"/>
        <v>0.36604748519325236</v>
      </c>
    </row>
    <row r="597" spans="1:25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  <c r="Q597" t="str">
        <f t="shared" si="81"/>
        <v>Weekday</v>
      </c>
      <c r="R597" t="str">
        <f t="shared" si="82"/>
        <v>Mist/Cloudy</v>
      </c>
      <c r="S597" t="str">
        <f t="shared" si="83"/>
        <v>Night</v>
      </c>
      <c r="T597" t="str">
        <f t="shared" si="84"/>
        <v>January</v>
      </c>
      <c r="U597" t="str">
        <f t="shared" si="85"/>
        <v>Spring</v>
      </c>
      <c r="V597">
        <f t="shared" si="86"/>
        <v>0.22929155386993369</v>
      </c>
      <c r="W597">
        <f t="shared" si="87"/>
        <v>-0.25435329828790432</v>
      </c>
      <c r="X597">
        <f t="shared" si="88"/>
        <v>0.10399668008577614</v>
      </c>
      <c r="Y597">
        <f t="shared" si="89"/>
        <v>0.36604748519325236</v>
      </c>
    </row>
    <row r="598" spans="1:25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  <c r="Q598" t="str">
        <f t="shared" si="81"/>
        <v>Weekday</v>
      </c>
      <c r="R598" t="str">
        <f t="shared" si="82"/>
        <v>Mist/Cloudy</v>
      </c>
      <c r="S598" t="str">
        <f t="shared" si="83"/>
        <v>Night</v>
      </c>
      <c r="T598" t="str">
        <f t="shared" si="84"/>
        <v>January</v>
      </c>
      <c r="U598" t="str">
        <f t="shared" si="85"/>
        <v>Spring</v>
      </c>
      <c r="V598">
        <f t="shared" si="86"/>
        <v>0.22929155386993369</v>
      </c>
      <c r="W598">
        <f t="shared" si="87"/>
        <v>-0.25435329828790432</v>
      </c>
      <c r="X598">
        <f t="shared" si="88"/>
        <v>0.10399668008577614</v>
      </c>
      <c r="Y598">
        <f t="shared" si="89"/>
        <v>0.36604748519325236</v>
      </c>
    </row>
    <row r="599" spans="1:25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  <c r="Q599" t="str">
        <f t="shared" si="81"/>
        <v>Weekday</v>
      </c>
      <c r="R599" t="str">
        <f t="shared" si="82"/>
        <v>Mist/Cloudy</v>
      </c>
      <c r="S599" t="str">
        <f t="shared" si="83"/>
        <v>Night</v>
      </c>
      <c r="T599" t="str">
        <f t="shared" si="84"/>
        <v>January</v>
      </c>
      <c r="U599" t="str">
        <f t="shared" si="85"/>
        <v>Spring</v>
      </c>
      <c r="V599">
        <f t="shared" si="86"/>
        <v>0.22929155386993369</v>
      </c>
      <c r="W599">
        <f t="shared" si="87"/>
        <v>-0.25435329828790432</v>
      </c>
      <c r="X599">
        <f t="shared" si="88"/>
        <v>0.10399668008577614</v>
      </c>
      <c r="Y599">
        <f t="shared" si="89"/>
        <v>0.36604748519325236</v>
      </c>
    </row>
    <row r="600" spans="1:25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  <c r="Q600" t="str">
        <f t="shared" si="81"/>
        <v>Weekday</v>
      </c>
      <c r="R600" t="str">
        <f t="shared" si="82"/>
        <v>Mist/Cloudy</v>
      </c>
      <c r="S600" t="str">
        <f t="shared" si="83"/>
        <v>Night</v>
      </c>
      <c r="T600" t="str">
        <f t="shared" si="84"/>
        <v>January</v>
      </c>
      <c r="U600" t="str">
        <f t="shared" si="85"/>
        <v>Spring</v>
      </c>
      <c r="V600">
        <f t="shared" si="86"/>
        <v>0.22929155386993369</v>
      </c>
      <c r="W600">
        <f t="shared" si="87"/>
        <v>-0.25435329828790432</v>
      </c>
      <c r="X600">
        <f t="shared" si="88"/>
        <v>0.10399668008577614</v>
      </c>
      <c r="Y600">
        <f t="shared" si="89"/>
        <v>0.36604748519325236</v>
      </c>
    </row>
    <row r="601" spans="1:25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  <c r="Q601" t="str">
        <f t="shared" si="81"/>
        <v>Weekday</v>
      </c>
      <c r="R601" t="str">
        <f t="shared" si="82"/>
        <v>Mist/Cloudy</v>
      </c>
      <c r="S601" t="str">
        <f t="shared" si="83"/>
        <v>Night</v>
      </c>
      <c r="T601" t="str">
        <f t="shared" si="84"/>
        <v>January</v>
      </c>
      <c r="U601" t="str">
        <f t="shared" si="85"/>
        <v>Spring</v>
      </c>
      <c r="V601">
        <f t="shared" si="86"/>
        <v>0.22929155386993369</v>
      </c>
      <c r="W601">
        <f t="shared" si="87"/>
        <v>-0.25435329828790432</v>
      </c>
      <c r="X601">
        <f t="shared" si="88"/>
        <v>0.10399668008577614</v>
      </c>
      <c r="Y601">
        <f t="shared" si="89"/>
        <v>0.36604748519325236</v>
      </c>
    </row>
    <row r="602" spans="1:25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  <c r="Q602" t="str">
        <f t="shared" si="81"/>
        <v>Weekday</v>
      </c>
      <c r="R602" t="str">
        <f t="shared" si="82"/>
        <v>Mist/Cloudy</v>
      </c>
      <c r="S602" t="str">
        <f t="shared" si="83"/>
        <v>Morning</v>
      </c>
      <c r="T602" t="str">
        <f t="shared" si="84"/>
        <v>January</v>
      </c>
      <c r="U602" t="str">
        <f t="shared" si="85"/>
        <v>Spring</v>
      </c>
      <c r="V602">
        <f t="shared" si="86"/>
        <v>0.22929155386993369</v>
      </c>
      <c r="W602">
        <f t="shared" si="87"/>
        <v>-0.25435329828790432</v>
      </c>
      <c r="X602">
        <f t="shared" si="88"/>
        <v>0.10399668008577614</v>
      </c>
      <c r="Y602">
        <f t="shared" si="89"/>
        <v>0.36604748519325236</v>
      </c>
    </row>
    <row r="603" spans="1:25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  <c r="Q603" t="str">
        <f t="shared" si="81"/>
        <v>Weekday</v>
      </c>
      <c r="R603" t="str">
        <f t="shared" si="82"/>
        <v>Mist/Cloudy</v>
      </c>
      <c r="S603" t="str">
        <f t="shared" si="83"/>
        <v>Morning</v>
      </c>
      <c r="T603" t="str">
        <f t="shared" si="84"/>
        <v>January</v>
      </c>
      <c r="U603" t="str">
        <f t="shared" si="85"/>
        <v>Spring</v>
      </c>
      <c r="V603">
        <f t="shared" si="86"/>
        <v>0.22929155386993369</v>
      </c>
      <c r="W603">
        <f t="shared" si="87"/>
        <v>-0.25435329828790432</v>
      </c>
      <c r="X603">
        <f t="shared" si="88"/>
        <v>0.10399668008577614</v>
      </c>
      <c r="Y603">
        <f t="shared" si="89"/>
        <v>0.36604748519325236</v>
      </c>
    </row>
    <row r="604" spans="1:25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  <c r="Q604" t="str">
        <f t="shared" si="81"/>
        <v>Weekday</v>
      </c>
      <c r="R604" t="str">
        <f t="shared" si="82"/>
        <v>Mist/Cloudy</v>
      </c>
      <c r="S604" t="str">
        <f t="shared" si="83"/>
        <v>Morning</v>
      </c>
      <c r="T604" t="str">
        <f t="shared" si="84"/>
        <v>January</v>
      </c>
      <c r="U604" t="str">
        <f t="shared" si="85"/>
        <v>Spring</v>
      </c>
      <c r="V604">
        <f t="shared" si="86"/>
        <v>0.22929155386993369</v>
      </c>
      <c r="W604">
        <f t="shared" si="87"/>
        <v>-0.25435329828790432</v>
      </c>
      <c r="X604">
        <f t="shared" si="88"/>
        <v>0.10399668008577614</v>
      </c>
      <c r="Y604">
        <f t="shared" si="89"/>
        <v>0.36604748519325236</v>
      </c>
    </row>
    <row r="605" spans="1:25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  <c r="Q605" t="str">
        <f t="shared" si="81"/>
        <v>Weekday</v>
      </c>
      <c r="R605" t="str">
        <f t="shared" si="82"/>
        <v>Light Rain/Snow</v>
      </c>
      <c r="S605" t="str">
        <f t="shared" si="83"/>
        <v>Morning</v>
      </c>
      <c r="T605" t="str">
        <f t="shared" si="84"/>
        <v>January</v>
      </c>
      <c r="U605" t="str">
        <f t="shared" si="85"/>
        <v>Spring</v>
      </c>
      <c r="V605">
        <f t="shared" si="86"/>
        <v>0.22929155386993369</v>
      </c>
      <c r="W605">
        <f t="shared" si="87"/>
        <v>-0.25435329828790432</v>
      </c>
      <c r="X605">
        <f t="shared" si="88"/>
        <v>0.10399668008577614</v>
      </c>
      <c r="Y605">
        <f t="shared" si="89"/>
        <v>0.36604748519325236</v>
      </c>
    </row>
    <row r="606" spans="1:25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  <c r="Q606" t="str">
        <f t="shared" si="81"/>
        <v>Weekday</v>
      </c>
      <c r="R606" t="str">
        <f t="shared" si="82"/>
        <v>Light Rain/Snow</v>
      </c>
      <c r="S606" t="str">
        <f t="shared" si="83"/>
        <v>Morning</v>
      </c>
      <c r="T606" t="str">
        <f t="shared" si="84"/>
        <v>January</v>
      </c>
      <c r="U606" t="str">
        <f t="shared" si="85"/>
        <v>Spring</v>
      </c>
      <c r="V606">
        <f t="shared" si="86"/>
        <v>0.22929155386993369</v>
      </c>
      <c r="W606">
        <f t="shared" si="87"/>
        <v>-0.25435329828790432</v>
      </c>
      <c r="X606">
        <f t="shared" si="88"/>
        <v>0.10399668008577614</v>
      </c>
      <c r="Y606">
        <f t="shared" si="89"/>
        <v>0.36604748519325236</v>
      </c>
    </row>
    <row r="607" spans="1:25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  <c r="Q607" t="str">
        <f t="shared" si="81"/>
        <v>Weekday</v>
      </c>
      <c r="R607" t="str">
        <f t="shared" si="82"/>
        <v>Light Rain/Snow</v>
      </c>
      <c r="S607" t="str">
        <f t="shared" si="83"/>
        <v>Morning</v>
      </c>
      <c r="T607" t="str">
        <f t="shared" si="84"/>
        <v>January</v>
      </c>
      <c r="U607" t="str">
        <f t="shared" si="85"/>
        <v>Spring</v>
      </c>
      <c r="V607">
        <f t="shared" si="86"/>
        <v>0.22929155386993369</v>
      </c>
      <c r="W607">
        <f t="shared" si="87"/>
        <v>-0.25435329828790432</v>
      </c>
      <c r="X607">
        <f t="shared" si="88"/>
        <v>0.10399668008577614</v>
      </c>
      <c r="Y607">
        <f t="shared" si="89"/>
        <v>0.36604748519325236</v>
      </c>
    </row>
    <row r="608" spans="1:25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  <c r="Q608" t="str">
        <f t="shared" si="81"/>
        <v>Weekday</v>
      </c>
      <c r="R608" t="str">
        <f t="shared" si="82"/>
        <v>Light Rain/Snow</v>
      </c>
      <c r="S608" t="str">
        <f t="shared" si="83"/>
        <v>Afternoon</v>
      </c>
      <c r="T608" t="str">
        <f t="shared" si="84"/>
        <v>January</v>
      </c>
      <c r="U608" t="str">
        <f t="shared" si="85"/>
        <v>Spring</v>
      </c>
      <c r="V608">
        <f t="shared" si="86"/>
        <v>0.22929155386993369</v>
      </c>
      <c r="W608">
        <f t="shared" si="87"/>
        <v>-0.25435329828790432</v>
      </c>
      <c r="X608">
        <f t="shared" si="88"/>
        <v>0.10399668008577614</v>
      </c>
      <c r="Y608">
        <f t="shared" si="89"/>
        <v>0.36604748519325236</v>
      </c>
    </row>
    <row r="609" spans="1:25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  <c r="Q609" t="str">
        <f t="shared" si="81"/>
        <v>Weekday</v>
      </c>
      <c r="R609" t="str">
        <f t="shared" si="82"/>
        <v>Light Rain/Snow</v>
      </c>
      <c r="S609" t="str">
        <f t="shared" si="83"/>
        <v>Afternoon</v>
      </c>
      <c r="T609" t="str">
        <f t="shared" si="84"/>
        <v>January</v>
      </c>
      <c r="U609" t="str">
        <f t="shared" si="85"/>
        <v>Spring</v>
      </c>
      <c r="V609">
        <f t="shared" si="86"/>
        <v>0.22929155386993369</v>
      </c>
      <c r="W609">
        <f t="shared" si="87"/>
        <v>-0.25435329828790432</v>
      </c>
      <c r="X609">
        <f t="shared" si="88"/>
        <v>0.10399668008577614</v>
      </c>
      <c r="Y609">
        <f t="shared" si="89"/>
        <v>0.36604748519325236</v>
      </c>
    </row>
    <row r="610" spans="1:25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  <c r="Q610" t="str">
        <f t="shared" si="81"/>
        <v>Weekday</v>
      </c>
      <c r="R610" t="str">
        <f t="shared" si="82"/>
        <v>Light Rain/Snow</v>
      </c>
      <c r="S610" t="str">
        <f t="shared" si="83"/>
        <v>Afternoon</v>
      </c>
      <c r="T610" t="str">
        <f t="shared" si="84"/>
        <v>January</v>
      </c>
      <c r="U610" t="str">
        <f t="shared" si="85"/>
        <v>Spring</v>
      </c>
      <c r="V610">
        <f t="shared" si="86"/>
        <v>0.22929155386993369</v>
      </c>
      <c r="W610">
        <f t="shared" si="87"/>
        <v>-0.25435329828790432</v>
      </c>
      <c r="X610">
        <f t="shared" si="88"/>
        <v>0.10399668008577614</v>
      </c>
      <c r="Y610">
        <f t="shared" si="89"/>
        <v>0.36604748519325236</v>
      </c>
    </row>
    <row r="611" spans="1:25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  <c r="Q611" t="str">
        <f t="shared" si="81"/>
        <v>Weekday</v>
      </c>
      <c r="R611" t="str">
        <f t="shared" si="82"/>
        <v>Mist/Cloudy</v>
      </c>
      <c r="S611" t="str">
        <f t="shared" si="83"/>
        <v>Afternoon</v>
      </c>
      <c r="T611" t="str">
        <f t="shared" si="84"/>
        <v>January</v>
      </c>
      <c r="U611" t="str">
        <f t="shared" si="85"/>
        <v>Spring</v>
      </c>
      <c r="V611">
        <f t="shared" si="86"/>
        <v>0.22929155386993369</v>
      </c>
      <c r="W611">
        <f t="shared" si="87"/>
        <v>-0.25435329828790432</v>
      </c>
      <c r="X611">
        <f t="shared" si="88"/>
        <v>0.10399668008577614</v>
      </c>
      <c r="Y611">
        <f t="shared" si="89"/>
        <v>0.36604748519325236</v>
      </c>
    </row>
    <row r="612" spans="1:25" x14ac:dyDescent="0.3">
      <c r="A612">
        <v>611</v>
      </c>
      <c r="B612" s="1">
        <v>40571</v>
      </c>
      <c r="C612">
        <v>1</v>
      </c>
      <c r="D612">
        <v>0</v>
      </c>
      <c r="E612">
        <v>1</v>
      </c>
      <c r="F612">
        <v>16</v>
      </c>
      <c r="G612" t="b">
        <v>0</v>
      </c>
      <c r="H612">
        <v>5</v>
      </c>
      <c r="I612">
        <v>1</v>
      </c>
      <c r="J612">
        <v>0.22</v>
      </c>
      <c r="K612">
        <v>0.2727</v>
      </c>
      <c r="L612">
        <v>0.8</v>
      </c>
      <c r="M612">
        <v>0</v>
      </c>
      <c r="N612">
        <v>10</v>
      </c>
      <c r="O612">
        <v>70</v>
      </c>
      <c r="P612">
        <v>80</v>
      </c>
      <c r="Q612" t="str">
        <f t="shared" si="81"/>
        <v>Weekday</v>
      </c>
      <c r="R612" t="str">
        <f t="shared" si="82"/>
        <v>Clear</v>
      </c>
      <c r="S612" t="str">
        <f t="shared" si="83"/>
        <v>Afternoon</v>
      </c>
      <c r="T612" t="str">
        <f t="shared" si="84"/>
        <v>January</v>
      </c>
      <c r="U612" t="str">
        <f t="shared" si="85"/>
        <v>Spring</v>
      </c>
      <c r="V612">
        <f t="shared" si="86"/>
        <v>0.22929155386993369</v>
      </c>
      <c r="W612">
        <f t="shared" si="87"/>
        <v>-0.25435329828790432</v>
      </c>
      <c r="X612">
        <f t="shared" si="88"/>
        <v>0.10399668008577614</v>
      </c>
      <c r="Y612">
        <f t="shared" si="89"/>
        <v>0.36604748519325236</v>
      </c>
    </row>
    <row r="613" spans="1:25" x14ac:dyDescent="0.3">
      <c r="A613">
        <v>612</v>
      </c>
      <c r="B613" s="1">
        <v>40571</v>
      </c>
      <c r="C613">
        <v>1</v>
      </c>
      <c r="D613">
        <v>0</v>
      </c>
      <c r="E613">
        <v>1</v>
      </c>
      <c r="F613">
        <v>17</v>
      </c>
      <c r="G613" t="b">
        <v>0</v>
      </c>
      <c r="H613">
        <v>5</v>
      </c>
      <c r="I613">
        <v>1</v>
      </c>
      <c r="J613">
        <v>0.24</v>
      </c>
      <c r="K613">
        <v>0.2424</v>
      </c>
      <c r="L613">
        <v>0.75</v>
      </c>
      <c r="M613">
        <v>0.1343</v>
      </c>
      <c r="N613">
        <v>2</v>
      </c>
      <c r="O613">
        <v>147</v>
      </c>
      <c r="P613">
        <v>149</v>
      </c>
      <c r="Q613" t="str">
        <f t="shared" si="81"/>
        <v>Weekday</v>
      </c>
      <c r="R613" t="str">
        <f t="shared" si="82"/>
        <v>Clear</v>
      </c>
      <c r="S613" t="str">
        <f t="shared" si="83"/>
        <v>Evening</v>
      </c>
      <c r="T613" t="str">
        <f t="shared" si="84"/>
        <v>January</v>
      </c>
      <c r="U613" t="str">
        <f t="shared" si="85"/>
        <v>Spring</v>
      </c>
      <c r="V613">
        <f t="shared" si="86"/>
        <v>0.22929155386993369</v>
      </c>
      <c r="W613">
        <f t="shared" si="87"/>
        <v>-0.25435329828790432</v>
      </c>
      <c r="X613">
        <f t="shared" si="88"/>
        <v>0.10399668008577614</v>
      </c>
      <c r="Y613">
        <f t="shared" si="89"/>
        <v>0.36604748519325236</v>
      </c>
    </row>
    <row r="614" spans="1:25" x14ac:dyDescent="0.3">
      <c r="A614">
        <v>613</v>
      </c>
      <c r="B614" s="1">
        <v>40571</v>
      </c>
      <c r="C614">
        <v>1</v>
      </c>
      <c r="D614">
        <v>0</v>
      </c>
      <c r="E614">
        <v>1</v>
      </c>
      <c r="F614">
        <v>18</v>
      </c>
      <c r="G614" t="b">
        <v>0</v>
      </c>
      <c r="H614">
        <v>5</v>
      </c>
      <c r="I614">
        <v>1</v>
      </c>
      <c r="J614">
        <v>0.24</v>
      </c>
      <c r="K614">
        <v>0.2273</v>
      </c>
      <c r="L614">
        <v>0.75</v>
      </c>
      <c r="M614">
        <v>0.19400000000000001</v>
      </c>
      <c r="N614">
        <v>2</v>
      </c>
      <c r="O614">
        <v>107</v>
      </c>
      <c r="P614">
        <v>109</v>
      </c>
      <c r="Q614" t="str">
        <f t="shared" si="81"/>
        <v>Weekday</v>
      </c>
      <c r="R614" t="str">
        <f t="shared" si="82"/>
        <v>Clear</v>
      </c>
      <c r="S614" t="str">
        <f t="shared" si="83"/>
        <v>Evening</v>
      </c>
      <c r="T614" t="str">
        <f t="shared" si="84"/>
        <v>January</v>
      </c>
      <c r="U614" t="str">
        <f t="shared" si="85"/>
        <v>Spring</v>
      </c>
      <c r="V614">
        <f t="shared" si="86"/>
        <v>0.22929155386993369</v>
      </c>
      <c r="W614">
        <f t="shared" si="87"/>
        <v>-0.25435329828790432</v>
      </c>
      <c r="X614">
        <f t="shared" si="88"/>
        <v>0.10399668008577614</v>
      </c>
      <c r="Y614">
        <f t="shared" si="89"/>
        <v>0.36604748519325236</v>
      </c>
    </row>
    <row r="615" spans="1:25" x14ac:dyDescent="0.3">
      <c r="A615">
        <v>614</v>
      </c>
      <c r="B615" s="1">
        <v>40571</v>
      </c>
      <c r="C615">
        <v>1</v>
      </c>
      <c r="D615">
        <v>0</v>
      </c>
      <c r="E615">
        <v>1</v>
      </c>
      <c r="F615">
        <v>19</v>
      </c>
      <c r="G615" t="b">
        <v>0</v>
      </c>
      <c r="H615">
        <v>5</v>
      </c>
      <c r="I615">
        <v>2</v>
      </c>
      <c r="J615">
        <v>0.24</v>
      </c>
      <c r="K615">
        <v>0.2424</v>
      </c>
      <c r="L615">
        <v>0.75</v>
      </c>
      <c r="M615">
        <v>0.1343</v>
      </c>
      <c r="N615">
        <v>5</v>
      </c>
      <c r="O615">
        <v>84</v>
      </c>
      <c r="P615">
        <v>89</v>
      </c>
      <c r="Q615" t="str">
        <f t="shared" si="81"/>
        <v>Weekday</v>
      </c>
      <c r="R615" t="str">
        <f t="shared" si="82"/>
        <v>Mist/Cloudy</v>
      </c>
      <c r="S615" t="str">
        <f t="shared" si="83"/>
        <v>Evening</v>
      </c>
      <c r="T615" t="str">
        <f t="shared" si="84"/>
        <v>January</v>
      </c>
      <c r="U615" t="str">
        <f t="shared" si="85"/>
        <v>Spring</v>
      </c>
      <c r="V615">
        <f t="shared" si="86"/>
        <v>0.22929155386993369</v>
      </c>
      <c r="W615">
        <f t="shared" si="87"/>
        <v>-0.25435329828790432</v>
      </c>
      <c r="X615">
        <f t="shared" si="88"/>
        <v>0.10399668008577614</v>
      </c>
      <c r="Y615">
        <f t="shared" si="89"/>
        <v>0.36604748519325236</v>
      </c>
    </row>
    <row r="616" spans="1:25" x14ac:dyDescent="0.3">
      <c r="A616">
        <v>615</v>
      </c>
      <c r="B616" s="1">
        <v>40571</v>
      </c>
      <c r="C616">
        <v>1</v>
      </c>
      <c r="D616">
        <v>0</v>
      </c>
      <c r="E616">
        <v>1</v>
      </c>
      <c r="F616">
        <v>20</v>
      </c>
      <c r="G616" t="b">
        <v>0</v>
      </c>
      <c r="H616">
        <v>5</v>
      </c>
      <c r="I616">
        <v>2</v>
      </c>
      <c r="J616">
        <v>0.24</v>
      </c>
      <c r="K616">
        <v>0.2273</v>
      </c>
      <c r="L616">
        <v>0.7</v>
      </c>
      <c r="M616">
        <v>0.19400000000000001</v>
      </c>
      <c r="N616">
        <v>1</v>
      </c>
      <c r="O616">
        <v>61</v>
      </c>
      <c r="P616">
        <v>62</v>
      </c>
      <c r="Q616" t="str">
        <f t="shared" si="81"/>
        <v>Weekday</v>
      </c>
      <c r="R616" t="str">
        <f t="shared" si="82"/>
        <v>Mist/Cloudy</v>
      </c>
      <c r="S616" t="str">
        <f t="shared" si="83"/>
        <v>Evening</v>
      </c>
      <c r="T616" t="str">
        <f t="shared" si="84"/>
        <v>January</v>
      </c>
      <c r="U616" t="str">
        <f t="shared" si="85"/>
        <v>Spring</v>
      </c>
      <c r="V616">
        <f t="shared" si="86"/>
        <v>0.22929155386993369</v>
      </c>
      <c r="W616">
        <f t="shared" si="87"/>
        <v>-0.25435329828790432</v>
      </c>
      <c r="X616">
        <f t="shared" si="88"/>
        <v>0.10399668008577614</v>
      </c>
      <c r="Y616">
        <f t="shared" si="89"/>
        <v>0.36604748519325236</v>
      </c>
    </row>
    <row r="617" spans="1:25" x14ac:dyDescent="0.3">
      <c r="A617">
        <v>616</v>
      </c>
      <c r="B617" s="1">
        <v>40571</v>
      </c>
      <c r="C617">
        <v>1</v>
      </c>
      <c r="D617">
        <v>0</v>
      </c>
      <c r="E617">
        <v>1</v>
      </c>
      <c r="F617">
        <v>21</v>
      </c>
      <c r="G617" t="b">
        <v>0</v>
      </c>
      <c r="H617">
        <v>5</v>
      </c>
      <c r="I617">
        <v>2</v>
      </c>
      <c r="J617">
        <v>0.22</v>
      </c>
      <c r="K617">
        <v>0.2273</v>
      </c>
      <c r="L617">
        <v>0.75</v>
      </c>
      <c r="M617">
        <v>0.1343</v>
      </c>
      <c r="N617">
        <v>1</v>
      </c>
      <c r="O617">
        <v>57</v>
      </c>
      <c r="P617">
        <v>58</v>
      </c>
      <c r="Q617" t="str">
        <f t="shared" si="81"/>
        <v>Weekday</v>
      </c>
      <c r="R617" t="str">
        <f t="shared" si="82"/>
        <v>Mist/Cloudy</v>
      </c>
      <c r="S617" t="str">
        <f t="shared" si="83"/>
        <v>Night</v>
      </c>
      <c r="T617" t="str">
        <f t="shared" si="84"/>
        <v>January</v>
      </c>
      <c r="U617" t="str">
        <f t="shared" si="85"/>
        <v>Spring</v>
      </c>
      <c r="V617">
        <f t="shared" si="86"/>
        <v>0.22929155386993369</v>
      </c>
      <c r="W617">
        <f t="shared" si="87"/>
        <v>-0.25435329828790432</v>
      </c>
      <c r="X617">
        <f t="shared" si="88"/>
        <v>0.10399668008577614</v>
      </c>
      <c r="Y617">
        <f t="shared" si="89"/>
        <v>0.36604748519325236</v>
      </c>
    </row>
    <row r="618" spans="1:25" x14ac:dyDescent="0.3">
      <c r="A618">
        <v>617</v>
      </c>
      <c r="B618" s="1">
        <v>40571</v>
      </c>
      <c r="C618">
        <v>1</v>
      </c>
      <c r="D618">
        <v>0</v>
      </c>
      <c r="E618">
        <v>1</v>
      </c>
      <c r="F618">
        <v>22</v>
      </c>
      <c r="G618" t="b">
        <v>0</v>
      </c>
      <c r="H618">
        <v>5</v>
      </c>
      <c r="I618">
        <v>1</v>
      </c>
      <c r="J618">
        <v>0.24</v>
      </c>
      <c r="K618">
        <v>0.21210000000000001</v>
      </c>
      <c r="L618">
        <v>0.65</v>
      </c>
      <c r="M618">
        <v>0.35820000000000002</v>
      </c>
      <c r="N618">
        <v>0</v>
      </c>
      <c r="O618">
        <v>26</v>
      </c>
      <c r="P618">
        <v>26</v>
      </c>
      <c r="Q618" t="str">
        <f t="shared" si="81"/>
        <v>Weekday</v>
      </c>
      <c r="R618" t="str">
        <f t="shared" si="82"/>
        <v>Clear</v>
      </c>
      <c r="S618" t="str">
        <f t="shared" si="83"/>
        <v>Night</v>
      </c>
      <c r="T618" t="str">
        <f t="shared" si="84"/>
        <v>January</v>
      </c>
      <c r="U618" t="str">
        <f t="shared" si="85"/>
        <v>Spring</v>
      </c>
      <c r="V618">
        <f t="shared" si="86"/>
        <v>0.22929155386993369</v>
      </c>
      <c r="W618">
        <f t="shared" si="87"/>
        <v>-0.25435329828790432</v>
      </c>
      <c r="X618">
        <f t="shared" si="88"/>
        <v>0.10399668008577614</v>
      </c>
      <c r="Y618">
        <f t="shared" si="89"/>
        <v>0.36604748519325236</v>
      </c>
    </row>
    <row r="619" spans="1:25" x14ac:dyDescent="0.3">
      <c r="A619">
        <v>618</v>
      </c>
      <c r="B619" s="1">
        <v>40571</v>
      </c>
      <c r="C619">
        <v>1</v>
      </c>
      <c r="D619">
        <v>0</v>
      </c>
      <c r="E619">
        <v>1</v>
      </c>
      <c r="F619">
        <v>23</v>
      </c>
      <c r="G619" t="b">
        <v>0</v>
      </c>
      <c r="H619">
        <v>5</v>
      </c>
      <c r="I619">
        <v>1</v>
      </c>
      <c r="J619">
        <v>0.24</v>
      </c>
      <c r="K619">
        <v>0.2273</v>
      </c>
      <c r="L619">
        <v>0.6</v>
      </c>
      <c r="M619">
        <v>0.22389999999999999</v>
      </c>
      <c r="N619">
        <v>1</v>
      </c>
      <c r="O619">
        <v>22</v>
      </c>
      <c r="P619">
        <v>23</v>
      </c>
      <c r="Q619" t="str">
        <f t="shared" si="81"/>
        <v>Weekday</v>
      </c>
      <c r="R619" t="str">
        <f t="shared" si="82"/>
        <v>Clear</v>
      </c>
      <c r="S619" t="str">
        <f t="shared" si="83"/>
        <v>Night</v>
      </c>
      <c r="T619" t="str">
        <f t="shared" si="84"/>
        <v>January</v>
      </c>
      <c r="U619" t="str">
        <f t="shared" si="85"/>
        <v>Spring</v>
      </c>
      <c r="V619">
        <f t="shared" si="86"/>
        <v>0.22929155386993369</v>
      </c>
      <c r="W619">
        <f t="shared" si="87"/>
        <v>-0.25435329828790432</v>
      </c>
      <c r="X619">
        <f t="shared" si="88"/>
        <v>0.10399668008577614</v>
      </c>
      <c r="Y619">
        <f t="shared" si="89"/>
        <v>0.36604748519325236</v>
      </c>
    </row>
    <row r="620" spans="1:25" x14ac:dyDescent="0.3">
      <c r="A620">
        <v>619</v>
      </c>
      <c r="B620" s="1">
        <v>40572</v>
      </c>
      <c r="C620">
        <v>1</v>
      </c>
      <c r="D620">
        <v>0</v>
      </c>
      <c r="E620">
        <v>1</v>
      </c>
      <c r="F620">
        <v>0</v>
      </c>
      <c r="G620" t="b">
        <v>0</v>
      </c>
      <c r="H620">
        <v>6</v>
      </c>
      <c r="I620">
        <v>1</v>
      </c>
      <c r="J620">
        <v>0.22</v>
      </c>
      <c r="K620">
        <v>0.19700000000000001</v>
      </c>
      <c r="L620">
        <v>0.64</v>
      </c>
      <c r="M620">
        <v>0.35820000000000002</v>
      </c>
      <c r="N620">
        <v>2</v>
      </c>
      <c r="O620">
        <v>26</v>
      </c>
      <c r="P620">
        <v>28</v>
      </c>
      <c r="Q620" t="str">
        <f t="shared" si="81"/>
        <v>Weekend</v>
      </c>
      <c r="R620" t="str">
        <f t="shared" si="82"/>
        <v>Clear</v>
      </c>
      <c r="S620" t="str">
        <f t="shared" si="83"/>
        <v>Night</v>
      </c>
      <c r="T620" t="str">
        <f t="shared" si="84"/>
        <v>January</v>
      </c>
      <c r="U620" t="str">
        <f t="shared" si="85"/>
        <v>Spring</v>
      </c>
      <c r="V620">
        <f t="shared" si="86"/>
        <v>0.22929155386993369</v>
      </c>
      <c r="W620">
        <f t="shared" si="87"/>
        <v>-0.25435329828790432</v>
      </c>
      <c r="X620">
        <f t="shared" si="88"/>
        <v>0.10399668008577614</v>
      </c>
      <c r="Y620">
        <f t="shared" si="89"/>
        <v>0.36604748519325236</v>
      </c>
    </row>
    <row r="621" spans="1:25" x14ac:dyDescent="0.3">
      <c r="A621">
        <v>620</v>
      </c>
      <c r="B621" s="1">
        <v>40572</v>
      </c>
      <c r="C621">
        <v>1</v>
      </c>
      <c r="D621">
        <v>0</v>
      </c>
      <c r="E621">
        <v>1</v>
      </c>
      <c r="F621">
        <v>1</v>
      </c>
      <c r="G621" t="b">
        <v>0</v>
      </c>
      <c r="H621">
        <v>6</v>
      </c>
      <c r="I621">
        <v>1</v>
      </c>
      <c r="J621">
        <v>0.22</v>
      </c>
      <c r="K621">
        <v>0.2273</v>
      </c>
      <c r="L621">
        <v>0.64</v>
      </c>
      <c r="M621">
        <v>0.19400000000000001</v>
      </c>
      <c r="N621">
        <v>0</v>
      </c>
      <c r="O621">
        <v>20</v>
      </c>
      <c r="P621">
        <v>20</v>
      </c>
      <c r="Q621" t="str">
        <f t="shared" si="81"/>
        <v>Weekend</v>
      </c>
      <c r="R621" t="str">
        <f t="shared" si="82"/>
        <v>Clear</v>
      </c>
      <c r="S621" t="str">
        <f t="shared" si="83"/>
        <v>Night</v>
      </c>
      <c r="T621" t="str">
        <f t="shared" si="84"/>
        <v>January</v>
      </c>
      <c r="U621" t="str">
        <f t="shared" si="85"/>
        <v>Spring</v>
      </c>
      <c r="V621">
        <f t="shared" si="86"/>
        <v>0.22929155386993369</v>
      </c>
      <c r="W621">
        <f t="shared" si="87"/>
        <v>-0.25435329828790432</v>
      </c>
      <c r="X621">
        <f t="shared" si="88"/>
        <v>0.10399668008577614</v>
      </c>
      <c r="Y621">
        <f t="shared" si="89"/>
        <v>0.36604748519325236</v>
      </c>
    </row>
    <row r="622" spans="1:25" x14ac:dyDescent="0.3">
      <c r="A622">
        <v>621</v>
      </c>
      <c r="B622" s="1">
        <v>40572</v>
      </c>
      <c r="C622">
        <v>1</v>
      </c>
      <c r="D622">
        <v>0</v>
      </c>
      <c r="E622">
        <v>1</v>
      </c>
      <c r="F622">
        <v>2</v>
      </c>
      <c r="G622" t="b">
        <v>0</v>
      </c>
      <c r="H622">
        <v>6</v>
      </c>
      <c r="I622">
        <v>1</v>
      </c>
      <c r="J622">
        <v>0.22</v>
      </c>
      <c r="K622">
        <v>0.2273</v>
      </c>
      <c r="L622">
        <v>0.64</v>
      </c>
      <c r="M622">
        <v>0.16420000000000001</v>
      </c>
      <c r="N622">
        <v>0</v>
      </c>
      <c r="O622">
        <v>15</v>
      </c>
      <c r="P622">
        <v>15</v>
      </c>
      <c r="Q622" t="str">
        <f t="shared" si="81"/>
        <v>Weekend</v>
      </c>
      <c r="R622" t="str">
        <f t="shared" si="82"/>
        <v>Clear</v>
      </c>
      <c r="S622" t="str">
        <f t="shared" si="83"/>
        <v>Night</v>
      </c>
      <c r="T622" t="str">
        <f t="shared" si="84"/>
        <v>January</v>
      </c>
      <c r="U622" t="str">
        <f t="shared" si="85"/>
        <v>Spring</v>
      </c>
      <c r="V622">
        <f t="shared" si="86"/>
        <v>0.22929155386993369</v>
      </c>
      <c r="W622">
        <f t="shared" si="87"/>
        <v>-0.25435329828790432</v>
      </c>
      <c r="X622">
        <f t="shared" si="88"/>
        <v>0.10399668008577614</v>
      </c>
      <c r="Y622">
        <f t="shared" si="89"/>
        <v>0.36604748519325236</v>
      </c>
    </row>
    <row r="623" spans="1:25" x14ac:dyDescent="0.3">
      <c r="A623">
        <v>622</v>
      </c>
      <c r="B623" s="1">
        <v>40572</v>
      </c>
      <c r="C623">
        <v>1</v>
      </c>
      <c r="D623">
        <v>0</v>
      </c>
      <c r="E623">
        <v>1</v>
      </c>
      <c r="F623">
        <v>3</v>
      </c>
      <c r="G623" t="b">
        <v>0</v>
      </c>
      <c r="H623">
        <v>6</v>
      </c>
      <c r="I623">
        <v>1</v>
      </c>
      <c r="J623">
        <v>0.2</v>
      </c>
      <c r="K623">
        <v>0.21210000000000001</v>
      </c>
      <c r="L623">
        <v>0.64</v>
      </c>
      <c r="M623">
        <v>0.1343</v>
      </c>
      <c r="N623">
        <v>3</v>
      </c>
      <c r="O623">
        <v>5</v>
      </c>
      <c r="P623">
        <v>8</v>
      </c>
      <c r="Q623" t="str">
        <f t="shared" si="81"/>
        <v>Weekend</v>
      </c>
      <c r="R623" t="str">
        <f t="shared" si="82"/>
        <v>Clear</v>
      </c>
      <c r="S623" t="str">
        <f t="shared" si="83"/>
        <v>Night</v>
      </c>
      <c r="T623" t="str">
        <f t="shared" si="84"/>
        <v>January</v>
      </c>
      <c r="U623" t="str">
        <f t="shared" si="85"/>
        <v>Spring</v>
      </c>
      <c r="V623">
        <f t="shared" si="86"/>
        <v>0.22929155386993369</v>
      </c>
      <c r="W623">
        <f t="shared" si="87"/>
        <v>-0.25435329828790432</v>
      </c>
      <c r="X623">
        <f t="shared" si="88"/>
        <v>0.10399668008577614</v>
      </c>
      <c r="Y623">
        <f t="shared" si="89"/>
        <v>0.36604748519325236</v>
      </c>
    </row>
    <row r="624" spans="1:25" x14ac:dyDescent="0.3">
      <c r="A624">
        <v>623</v>
      </c>
      <c r="B624" s="1">
        <v>40572</v>
      </c>
      <c r="C624">
        <v>1</v>
      </c>
      <c r="D624">
        <v>0</v>
      </c>
      <c r="E624">
        <v>1</v>
      </c>
      <c r="F624">
        <v>4</v>
      </c>
      <c r="G624" t="b">
        <v>0</v>
      </c>
      <c r="H624">
        <v>6</v>
      </c>
      <c r="I624">
        <v>1</v>
      </c>
      <c r="J624">
        <v>0.16</v>
      </c>
      <c r="K624">
        <v>0.18179999999999999</v>
      </c>
      <c r="L624">
        <v>0.69</v>
      </c>
      <c r="M624">
        <v>0.1045</v>
      </c>
      <c r="N624">
        <v>1</v>
      </c>
      <c r="O624">
        <v>2</v>
      </c>
      <c r="P624">
        <v>3</v>
      </c>
      <c r="Q624" t="str">
        <f t="shared" si="81"/>
        <v>Weekend</v>
      </c>
      <c r="R624" t="str">
        <f t="shared" si="82"/>
        <v>Clear</v>
      </c>
      <c r="S624" t="str">
        <f t="shared" si="83"/>
        <v>Night</v>
      </c>
      <c r="T624" t="str">
        <f t="shared" si="84"/>
        <v>January</v>
      </c>
      <c r="U624" t="str">
        <f t="shared" si="85"/>
        <v>Spring</v>
      </c>
      <c r="V624">
        <f t="shared" si="86"/>
        <v>0.22929155386993369</v>
      </c>
      <c r="W624">
        <f t="shared" si="87"/>
        <v>-0.25435329828790432</v>
      </c>
      <c r="X624">
        <f t="shared" si="88"/>
        <v>0.10399668008577614</v>
      </c>
      <c r="Y624">
        <f t="shared" si="89"/>
        <v>0.36604748519325236</v>
      </c>
    </row>
    <row r="625" spans="1:25" x14ac:dyDescent="0.3">
      <c r="A625">
        <v>624</v>
      </c>
      <c r="B625" s="1">
        <v>40572</v>
      </c>
      <c r="C625">
        <v>1</v>
      </c>
      <c r="D625">
        <v>0</v>
      </c>
      <c r="E625">
        <v>1</v>
      </c>
      <c r="F625">
        <v>6</v>
      </c>
      <c r="G625" t="b">
        <v>0</v>
      </c>
      <c r="H625">
        <v>6</v>
      </c>
      <c r="I625">
        <v>1</v>
      </c>
      <c r="J625">
        <v>0.16</v>
      </c>
      <c r="K625">
        <v>0.18179999999999999</v>
      </c>
      <c r="L625">
        <v>0.64</v>
      </c>
      <c r="M625">
        <v>0.1343</v>
      </c>
      <c r="N625">
        <v>0</v>
      </c>
      <c r="O625">
        <v>2</v>
      </c>
      <c r="P625">
        <v>2</v>
      </c>
      <c r="Q625" t="str">
        <f t="shared" si="81"/>
        <v>Weekend</v>
      </c>
      <c r="R625" t="str">
        <f t="shared" si="82"/>
        <v>Clear</v>
      </c>
      <c r="S625" t="str">
        <f t="shared" si="83"/>
        <v>Morning</v>
      </c>
      <c r="T625" t="str">
        <f t="shared" si="84"/>
        <v>January</v>
      </c>
      <c r="U625" t="str">
        <f t="shared" si="85"/>
        <v>Spring</v>
      </c>
      <c r="V625">
        <f t="shared" si="86"/>
        <v>0.22929155386993369</v>
      </c>
      <c r="W625">
        <f t="shared" si="87"/>
        <v>-0.25435329828790432</v>
      </c>
      <c r="X625">
        <f t="shared" si="88"/>
        <v>0.10399668008577614</v>
      </c>
      <c r="Y625">
        <f t="shared" si="89"/>
        <v>0.36604748519325236</v>
      </c>
    </row>
    <row r="626" spans="1:25" x14ac:dyDescent="0.3">
      <c r="A626">
        <v>625</v>
      </c>
      <c r="B626" s="1">
        <v>40572</v>
      </c>
      <c r="C626">
        <v>1</v>
      </c>
      <c r="D626">
        <v>0</v>
      </c>
      <c r="E626">
        <v>1</v>
      </c>
      <c r="F626">
        <v>7</v>
      </c>
      <c r="G626" t="b">
        <v>0</v>
      </c>
      <c r="H626">
        <v>6</v>
      </c>
      <c r="I626">
        <v>1</v>
      </c>
      <c r="J626">
        <v>0.16</v>
      </c>
      <c r="K626">
        <v>0.18179999999999999</v>
      </c>
      <c r="L626">
        <v>0.59</v>
      </c>
      <c r="M626">
        <v>0.1045</v>
      </c>
      <c r="N626">
        <v>1</v>
      </c>
      <c r="O626">
        <v>4</v>
      </c>
      <c r="P626">
        <v>5</v>
      </c>
      <c r="Q626" t="str">
        <f t="shared" si="81"/>
        <v>Weekend</v>
      </c>
      <c r="R626" t="str">
        <f t="shared" si="82"/>
        <v>Clear</v>
      </c>
      <c r="S626" t="str">
        <f t="shared" si="83"/>
        <v>Morning</v>
      </c>
      <c r="T626" t="str">
        <f t="shared" si="84"/>
        <v>January</v>
      </c>
      <c r="U626" t="str">
        <f t="shared" si="85"/>
        <v>Spring</v>
      </c>
      <c r="V626">
        <f t="shared" si="86"/>
        <v>0.22929155386993369</v>
      </c>
      <c r="W626">
        <f t="shared" si="87"/>
        <v>-0.25435329828790432</v>
      </c>
      <c r="X626">
        <f t="shared" si="88"/>
        <v>0.10399668008577614</v>
      </c>
      <c r="Y626">
        <f t="shared" si="89"/>
        <v>0.36604748519325236</v>
      </c>
    </row>
    <row r="627" spans="1:25" x14ac:dyDescent="0.3">
      <c r="A627">
        <v>626</v>
      </c>
      <c r="B627" s="1">
        <v>40572</v>
      </c>
      <c r="C627">
        <v>1</v>
      </c>
      <c r="D627">
        <v>0</v>
      </c>
      <c r="E627">
        <v>1</v>
      </c>
      <c r="F627">
        <v>8</v>
      </c>
      <c r="G627" t="b">
        <v>0</v>
      </c>
      <c r="H627">
        <v>6</v>
      </c>
      <c r="I627">
        <v>1</v>
      </c>
      <c r="J627">
        <v>0.18</v>
      </c>
      <c r="K627">
        <v>0.19700000000000001</v>
      </c>
      <c r="L627">
        <v>0.55000000000000004</v>
      </c>
      <c r="M627">
        <v>0.16420000000000001</v>
      </c>
      <c r="N627">
        <v>3</v>
      </c>
      <c r="O627">
        <v>31</v>
      </c>
      <c r="P627">
        <v>34</v>
      </c>
      <c r="Q627" t="str">
        <f t="shared" si="81"/>
        <v>Weekend</v>
      </c>
      <c r="R627" t="str">
        <f t="shared" si="82"/>
        <v>Clear</v>
      </c>
      <c r="S627" t="str">
        <f t="shared" si="83"/>
        <v>Morning</v>
      </c>
      <c r="T627" t="str">
        <f t="shared" si="84"/>
        <v>January</v>
      </c>
      <c r="U627" t="str">
        <f t="shared" si="85"/>
        <v>Spring</v>
      </c>
      <c r="V627">
        <f t="shared" si="86"/>
        <v>0.22929155386993369</v>
      </c>
      <c r="W627">
        <f t="shared" si="87"/>
        <v>-0.25435329828790432</v>
      </c>
      <c r="X627">
        <f t="shared" si="88"/>
        <v>0.10399668008577614</v>
      </c>
      <c r="Y627">
        <f t="shared" si="89"/>
        <v>0.36604748519325236</v>
      </c>
    </row>
    <row r="628" spans="1:25" x14ac:dyDescent="0.3">
      <c r="A628">
        <v>627</v>
      </c>
      <c r="B628" s="1">
        <v>40572</v>
      </c>
      <c r="C628">
        <v>1</v>
      </c>
      <c r="D628">
        <v>0</v>
      </c>
      <c r="E628">
        <v>1</v>
      </c>
      <c r="F628">
        <v>9</v>
      </c>
      <c r="G628" t="b">
        <v>0</v>
      </c>
      <c r="H628">
        <v>6</v>
      </c>
      <c r="I628">
        <v>1</v>
      </c>
      <c r="J628">
        <v>0.18</v>
      </c>
      <c r="K628">
        <v>0.21210000000000001</v>
      </c>
      <c r="L628">
        <v>0.59</v>
      </c>
      <c r="M628">
        <v>8.9599999999999999E-2</v>
      </c>
      <c r="N628">
        <v>0</v>
      </c>
      <c r="O628">
        <v>34</v>
      </c>
      <c r="P628">
        <v>34</v>
      </c>
      <c r="Q628" t="str">
        <f t="shared" si="81"/>
        <v>Weekend</v>
      </c>
      <c r="R628" t="str">
        <f t="shared" si="82"/>
        <v>Clear</v>
      </c>
      <c r="S628" t="str">
        <f t="shared" si="83"/>
        <v>Morning</v>
      </c>
      <c r="T628" t="str">
        <f t="shared" si="84"/>
        <v>January</v>
      </c>
      <c r="U628" t="str">
        <f t="shared" si="85"/>
        <v>Spring</v>
      </c>
      <c r="V628">
        <f t="shared" si="86"/>
        <v>0.22929155386993369</v>
      </c>
      <c r="W628">
        <f t="shared" si="87"/>
        <v>-0.25435329828790432</v>
      </c>
      <c r="X628">
        <f t="shared" si="88"/>
        <v>0.10399668008577614</v>
      </c>
      <c r="Y628">
        <f t="shared" si="89"/>
        <v>0.36604748519325236</v>
      </c>
    </row>
    <row r="629" spans="1:25" x14ac:dyDescent="0.3">
      <c r="A629">
        <v>628</v>
      </c>
      <c r="B629" s="1">
        <v>40572</v>
      </c>
      <c r="C629">
        <v>1</v>
      </c>
      <c r="D629">
        <v>0</v>
      </c>
      <c r="E629">
        <v>1</v>
      </c>
      <c r="F629">
        <v>10</v>
      </c>
      <c r="G629" t="b">
        <v>0</v>
      </c>
      <c r="H629">
        <v>6</v>
      </c>
      <c r="I629">
        <v>2</v>
      </c>
      <c r="J629">
        <v>0.18</v>
      </c>
      <c r="K629">
        <v>0.21210000000000001</v>
      </c>
      <c r="L629">
        <v>0.64</v>
      </c>
      <c r="M629">
        <v>0.1045</v>
      </c>
      <c r="N629">
        <v>4</v>
      </c>
      <c r="O629">
        <v>51</v>
      </c>
      <c r="P629">
        <v>55</v>
      </c>
      <c r="Q629" t="str">
        <f t="shared" si="81"/>
        <v>Weekend</v>
      </c>
      <c r="R629" t="str">
        <f t="shared" si="82"/>
        <v>Mist/Cloudy</v>
      </c>
      <c r="S629" t="str">
        <f t="shared" si="83"/>
        <v>Morning</v>
      </c>
      <c r="T629" t="str">
        <f t="shared" si="84"/>
        <v>January</v>
      </c>
      <c r="U629" t="str">
        <f t="shared" si="85"/>
        <v>Spring</v>
      </c>
      <c r="V629">
        <f t="shared" si="86"/>
        <v>0.22929155386993369</v>
      </c>
      <c r="W629">
        <f t="shared" si="87"/>
        <v>-0.25435329828790432</v>
      </c>
      <c r="X629">
        <f t="shared" si="88"/>
        <v>0.10399668008577614</v>
      </c>
      <c r="Y629">
        <f t="shared" si="89"/>
        <v>0.36604748519325236</v>
      </c>
    </row>
    <row r="630" spans="1:25" x14ac:dyDescent="0.3">
      <c r="A630">
        <v>629</v>
      </c>
      <c r="B630" s="1">
        <v>40572</v>
      </c>
      <c r="C630">
        <v>1</v>
      </c>
      <c r="D630">
        <v>0</v>
      </c>
      <c r="E630">
        <v>1</v>
      </c>
      <c r="F630">
        <v>11</v>
      </c>
      <c r="G630" t="b">
        <v>0</v>
      </c>
      <c r="H630">
        <v>6</v>
      </c>
      <c r="I630">
        <v>2</v>
      </c>
      <c r="J630">
        <v>0.18</v>
      </c>
      <c r="K630">
        <v>0.19700000000000001</v>
      </c>
      <c r="L630">
        <v>0.64</v>
      </c>
      <c r="M630">
        <v>0.1343</v>
      </c>
      <c r="N630">
        <v>4</v>
      </c>
      <c r="O630">
        <v>60</v>
      </c>
      <c r="P630">
        <v>64</v>
      </c>
      <c r="Q630" t="str">
        <f t="shared" si="81"/>
        <v>Weekend</v>
      </c>
      <c r="R630" t="str">
        <f t="shared" si="82"/>
        <v>Mist/Cloudy</v>
      </c>
      <c r="S630" t="str">
        <f t="shared" si="83"/>
        <v>Morning</v>
      </c>
      <c r="T630" t="str">
        <f t="shared" si="84"/>
        <v>January</v>
      </c>
      <c r="U630" t="str">
        <f t="shared" si="85"/>
        <v>Spring</v>
      </c>
      <c r="V630">
        <f t="shared" si="86"/>
        <v>0.22929155386993369</v>
      </c>
      <c r="W630">
        <f t="shared" si="87"/>
        <v>-0.25435329828790432</v>
      </c>
      <c r="X630">
        <f t="shared" si="88"/>
        <v>0.10399668008577614</v>
      </c>
      <c r="Y630">
        <f t="shared" si="89"/>
        <v>0.36604748519325236</v>
      </c>
    </row>
    <row r="631" spans="1:25" x14ac:dyDescent="0.3">
      <c r="A631">
        <v>630</v>
      </c>
      <c r="B631" s="1">
        <v>40572</v>
      </c>
      <c r="C631">
        <v>1</v>
      </c>
      <c r="D631">
        <v>0</v>
      </c>
      <c r="E631">
        <v>1</v>
      </c>
      <c r="F631">
        <v>12</v>
      </c>
      <c r="G631" t="b">
        <v>0</v>
      </c>
      <c r="H631">
        <v>6</v>
      </c>
      <c r="I631">
        <v>2</v>
      </c>
      <c r="J631">
        <v>0.2</v>
      </c>
      <c r="K631">
        <v>0.19700000000000001</v>
      </c>
      <c r="L631">
        <v>0.59</v>
      </c>
      <c r="M631">
        <v>0.19400000000000001</v>
      </c>
      <c r="N631">
        <v>12</v>
      </c>
      <c r="O631">
        <v>66</v>
      </c>
      <c r="P631">
        <v>78</v>
      </c>
      <c r="Q631" t="str">
        <f t="shared" si="81"/>
        <v>Weekend</v>
      </c>
      <c r="R631" t="str">
        <f t="shared" si="82"/>
        <v>Mist/Cloudy</v>
      </c>
      <c r="S631" t="str">
        <f t="shared" si="83"/>
        <v>Afternoon</v>
      </c>
      <c r="T631" t="str">
        <f t="shared" si="84"/>
        <v>January</v>
      </c>
      <c r="U631" t="str">
        <f t="shared" si="85"/>
        <v>Spring</v>
      </c>
      <c r="V631">
        <f t="shared" si="86"/>
        <v>0.22929155386993369</v>
      </c>
      <c r="W631">
        <f t="shared" si="87"/>
        <v>-0.25435329828790432</v>
      </c>
      <c r="X631">
        <f t="shared" si="88"/>
        <v>0.10399668008577614</v>
      </c>
      <c r="Y631">
        <f t="shared" si="89"/>
        <v>0.36604748519325236</v>
      </c>
    </row>
    <row r="632" spans="1:25" x14ac:dyDescent="0.3">
      <c r="A632">
        <v>631</v>
      </c>
      <c r="B632" s="1">
        <v>40572</v>
      </c>
      <c r="C632">
        <v>1</v>
      </c>
      <c r="D632">
        <v>0</v>
      </c>
      <c r="E632">
        <v>1</v>
      </c>
      <c r="F632">
        <v>13</v>
      </c>
      <c r="G632" t="b">
        <v>0</v>
      </c>
      <c r="H632">
        <v>6</v>
      </c>
      <c r="I632">
        <v>2</v>
      </c>
      <c r="J632">
        <v>0.22</v>
      </c>
      <c r="K632">
        <v>0.2273</v>
      </c>
      <c r="L632">
        <v>0.55000000000000004</v>
      </c>
      <c r="M632">
        <v>0.16420000000000001</v>
      </c>
      <c r="N632">
        <v>9</v>
      </c>
      <c r="O632">
        <v>56</v>
      </c>
      <c r="P632">
        <v>65</v>
      </c>
      <c r="Q632" t="str">
        <f t="shared" si="81"/>
        <v>Weekend</v>
      </c>
      <c r="R632" t="str">
        <f t="shared" si="82"/>
        <v>Mist/Cloudy</v>
      </c>
      <c r="S632" t="str">
        <f t="shared" si="83"/>
        <v>Afternoon</v>
      </c>
      <c r="T632" t="str">
        <f t="shared" si="84"/>
        <v>January</v>
      </c>
      <c r="U632" t="str">
        <f t="shared" si="85"/>
        <v>Spring</v>
      </c>
      <c r="V632">
        <f t="shared" si="86"/>
        <v>0.22929155386993369</v>
      </c>
      <c r="W632">
        <f t="shared" si="87"/>
        <v>-0.25435329828790432</v>
      </c>
      <c r="X632">
        <f t="shared" si="88"/>
        <v>0.10399668008577614</v>
      </c>
      <c r="Y632">
        <f t="shared" si="89"/>
        <v>0.36604748519325236</v>
      </c>
    </row>
    <row r="633" spans="1:25" x14ac:dyDescent="0.3">
      <c r="A633">
        <v>632</v>
      </c>
      <c r="B633" s="1">
        <v>40572</v>
      </c>
      <c r="C633">
        <v>1</v>
      </c>
      <c r="D633">
        <v>0</v>
      </c>
      <c r="E633">
        <v>1</v>
      </c>
      <c r="F633">
        <v>14</v>
      </c>
      <c r="G633" t="b">
        <v>0</v>
      </c>
      <c r="H633">
        <v>6</v>
      </c>
      <c r="I633">
        <v>2</v>
      </c>
      <c r="J633">
        <v>0.22</v>
      </c>
      <c r="K633">
        <v>0.2273</v>
      </c>
      <c r="L633">
        <v>0.6</v>
      </c>
      <c r="M633">
        <v>0.1343</v>
      </c>
      <c r="N633">
        <v>10</v>
      </c>
      <c r="O633">
        <v>89</v>
      </c>
      <c r="P633">
        <v>99</v>
      </c>
      <c r="Q633" t="str">
        <f t="shared" si="81"/>
        <v>Weekend</v>
      </c>
      <c r="R633" t="str">
        <f t="shared" si="82"/>
        <v>Mist/Cloudy</v>
      </c>
      <c r="S633" t="str">
        <f t="shared" si="83"/>
        <v>Afternoon</v>
      </c>
      <c r="T633" t="str">
        <f t="shared" si="84"/>
        <v>January</v>
      </c>
      <c r="U633" t="str">
        <f t="shared" si="85"/>
        <v>Spring</v>
      </c>
      <c r="V633">
        <f t="shared" si="86"/>
        <v>0.22929155386993369</v>
      </c>
      <c r="W633">
        <f t="shared" si="87"/>
        <v>-0.25435329828790432</v>
      </c>
      <c r="X633">
        <f t="shared" si="88"/>
        <v>0.10399668008577614</v>
      </c>
      <c r="Y633">
        <f t="shared" si="89"/>
        <v>0.36604748519325236</v>
      </c>
    </row>
    <row r="634" spans="1:25" x14ac:dyDescent="0.3">
      <c r="A634">
        <v>633</v>
      </c>
      <c r="B634" s="1">
        <v>40572</v>
      </c>
      <c r="C634">
        <v>1</v>
      </c>
      <c r="D634">
        <v>0</v>
      </c>
      <c r="E634">
        <v>1</v>
      </c>
      <c r="F634">
        <v>15</v>
      </c>
      <c r="G634" t="b">
        <v>0</v>
      </c>
      <c r="H634">
        <v>6</v>
      </c>
      <c r="I634">
        <v>1</v>
      </c>
      <c r="J634">
        <v>0.22</v>
      </c>
      <c r="K634">
        <v>0.21210000000000001</v>
      </c>
      <c r="L634">
        <v>0.69</v>
      </c>
      <c r="M634">
        <v>0.25369999999999998</v>
      </c>
      <c r="N634">
        <v>22</v>
      </c>
      <c r="O634">
        <v>98</v>
      </c>
      <c r="P634">
        <v>120</v>
      </c>
      <c r="Q634" t="str">
        <f t="shared" si="81"/>
        <v>Weekend</v>
      </c>
      <c r="R634" t="str">
        <f t="shared" si="82"/>
        <v>Clear</v>
      </c>
      <c r="S634" t="str">
        <f t="shared" si="83"/>
        <v>Afternoon</v>
      </c>
      <c r="T634" t="str">
        <f t="shared" si="84"/>
        <v>January</v>
      </c>
      <c r="U634" t="str">
        <f t="shared" si="85"/>
        <v>Spring</v>
      </c>
      <c r="V634">
        <f t="shared" si="86"/>
        <v>0.22929155386993369</v>
      </c>
      <c r="W634">
        <f t="shared" si="87"/>
        <v>-0.25435329828790432</v>
      </c>
      <c r="X634">
        <f t="shared" si="88"/>
        <v>0.10399668008577614</v>
      </c>
      <c r="Y634">
        <f t="shared" si="89"/>
        <v>0.36604748519325236</v>
      </c>
    </row>
    <row r="635" spans="1:25" x14ac:dyDescent="0.3">
      <c r="A635">
        <v>634</v>
      </c>
      <c r="B635" s="1">
        <v>40572</v>
      </c>
      <c r="C635">
        <v>1</v>
      </c>
      <c r="D635">
        <v>0</v>
      </c>
      <c r="E635">
        <v>1</v>
      </c>
      <c r="F635">
        <v>16</v>
      </c>
      <c r="G635" t="b">
        <v>0</v>
      </c>
      <c r="H635">
        <v>6</v>
      </c>
      <c r="I635">
        <v>1</v>
      </c>
      <c r="J635">
        <v>0.24</v>
      </c>
      <c r="K635">
        <v>0.2424</v>
      </c>
      <c r="L635">
        <v>0.6</v>
      </c>
      <c r="M635">
        <v>0.16420000000000001</v>
      </c>
      <c r="N635">
        <v>19</v>
      </c>
      <c r="O635">
        <v>88</v>
      </c>
      <c r="P635">
        <v>107</v>
      </c>
      <c r="Q635" t="str">
        <f t="shared" si="81"/>
        <v>Weekend</v>
      </c>
      <c r="R635" t="str">
        <f t="shared" si="82"/>
        <v>Clear</v>
      </c>
      <c r="S635" t="str">
        <f t="shared" si="83"/>
        <v>Afternoon</v>
      </c>
      <c r="T635" t="str">
        <f t="shared" si="84"/>
        <v>January</v>
      </c>
      <c r="U635" t="str">
        <f t="shared" si="85"/>
        <v>Spring</v>
      </c>
      <c r="V635">
        <f t="shared" si="86"/>
        <v>0.22929155386993369</v>
      </c>
      <c r="W635">
        <f t="shared" si="87"/>
        <v>-0.25435329828790432</v>
      </c>
      <c r="X635">
        <f t="shared" si="88"/>
        <v>0.10399668008577614</v>
      </c>
      <c r="Y635">
        <f t="shared" si="89"/>
        <v>0.36604748519325236</v>
      </c>
    </row>
    <row r="636" spans="1:25" x14ac:dyDescent="0.3">
      <c r="A636">
        <v>635</v>
      </c>
      <c r="B636" s="1">
        <v>40572</v>
      </c>
      <c r="C636">
        <v>1</v>
      </c>
      <c r="D636">
        <v>0</v>
      </c>
      <c r="E636">
        <v>1</v>
      </c>
      <c r="F636">
        <v>17</v>
      </c>
      <c r="G636" t="b">
        <v>0</v>
      </c>
      <c r="H636">
        <v>6</v>
      </c>
      <c r="I636">
        <v>1</v>
      </c>
      <c r="J636">
        <v>0.24</v>
      </c>
      <c r="K636">
        <v>0.28789999999999999</v>
      </c>
      <c r="L636">
        <v>0.6</v>
      </c>
      <c r="M636">
        <v>0</v>
      </c>
      <c r="N636">
        <v>9</v>
      </c>
      <c r="O636">
        <v>82</v>
      </c>
      <c r="P636">
        <v>91</v>
      </c>
      <c r="Q636" t="str">
        <f t="shared" si="81"/>
        <v>Weekend</v>
      </c>
      <c r="R636" t="str">
        <f t="shared" si="82"/>
        <v>Clear</v>
      </c>
      <c r="S636" t="str">
        <f t="shared" si="83"/>
        <v>Evening</v>
      </c>
      <c r="T636" t="str">
        <f t="shared" si="84"/>
        <v>January</v>
      </c>
      <c r="U636" t="str">
        <f t="shared" si="85"/>
        <v>Spring</v>
      </c>
      <c r="V636">
        <f t="shared" si="86"/>
        <v>0.22929155386993369</v>
      </c>
      <c r="W636">
        <f t="shared" si="87"/>
        <v>-0.25435329828790432</v>
      </c>
      <c r="X636">
        <f t="shared" si="88"/>
        <v>0.10399668008577614</v>
      </c>
      <c r="Y636">
        <f t="shared" si="89"/>
        <v>0.36604748519325236</v>
      </c>
    </row>
    <row r="637" spans="1:25" x14ac:dyDescent="0.3">
      <c r="A637">
        <v>636</v>
      </c>
      <c r="B637" s="1">
        <v>40572</v>
      </c>
      <c r="C637">
        <v>1</v>
      </c>
      <c r="D637">
        <v>0</v>
      </c>
      <c r="E637">
        <v>1</v>
      </c>
      <c r="F637">
        <v>18</v>
      </c>
      <c r="G637" t="b">
        <v>0</v>
      </c>
      <c r="H637">
        <v>6</v>
      </c>
      <c r="I637">
        <v>1</v>
      </c>
      <c r="J637">
        <v>0.22</v>
      </c>
      <c r="K637">
        <v>0.2273</v>
      </c>
      <c r="L637">
        <v>0.69</v>
      </c>
      <c r="M637">
        <v>0.1343</v>
      </c>
      <c r="N637">
        <v>9</v>
      </c>
      <c r="O637">
        <v>59</v>
      </c>
      <c r="P637">
        <v>68</v>
      </c>
      <c r="Q637" t="str">
        <f t="shared" si="81"/>
        <v>Weekend</v>
      </c>
      <c r="R637" t="str">
        <f t="shared" si="82"/>
        <v>Clear</v>
      </c>
      <c r="S637" t="str">
        <f t="shared" si="83"/>
        <v>Evening</v>
      </c>
      <c r="T637" t="str">
        <f t="shared" si="84"/>
        <v>January</v>
      </c>
      <c r="U637" t="str">
        <f t="shared" si="85"/>
        <v>Spring</v>
      </c>
      <c r="V637">
        <f t="shared" si="86"/>
        <v>0.22929155386993369</v>
      </c>
      <c r="W637">
        <f t="shared" si="87"/>
        <v>-0.25435329828790432</v>
      </c>
      <c r="X637">
        <f t="shared" si="88"/>
        <v>0.10399668008577614</v>
      </c>
      <c r="Y637">
        <f t="shared" si="89"/>
        <v>0.36604748519325236</v>
      </c>
    </row>
    <row r="638" spans="1:25" x14ac:dyDescent="0.3">
      <c r="A638">
        <v>637</v>
      </c>
      <c r="B638" s="1">
        <v>40572</v>
      </c>
      <c r="C638">
        <v>1</v>
      </c>
      <c r="D638">
        <v>0</v>
      </c>
      <c r="E638">
        <v>1</v>
      </c>
      <c r="F638">
        <v>19</v>
      </c>
      <c r="G638" t="b">
        <v>0</v>
      </c>
      <c r="H638">
        <v>6</v>
      </c>
      <c r="I638">
        <v>2</v>
      </c>
      <c r="J638">
        <v>0.22</v>
      </c>
      <c r="K638">
        <v>0.21210000000000001</v>
      </c>
      <c r="L638">
        <v>0.69</v>
      </c>
      <c r="M638">
        <v>0.25369999999999998</v>
      </c>
      <c r="N638">
        <v>6</v>
      </c>
      <c r="O638">
        <v>52</v>
      </c>
      <c r="P638">
        <v>58</v>
      </c>
      <c r="Q638" t="str">
        <f t="shared" si="81"/>
        <v>Weekend</v>
      </c>
      <c r="R638" t="str">
        <f t="shared" si="82"/>
        <v>Mist/Cloudy</v>
      </c>
      <c r="S638" t="str">
        <f t="shared" si="83"/>
        <v>Evening</v>
      </c>
      <c r="T638" t="str">
        <f t="shared" si="84"/>
        <v>January</v>
      </c>
      <c r="U638" t="str">
        <f t="shared" si="85"/>
        <v>Spring</v>
      </c>
      <c r="V638">
        <f t="shared" si="86"/>
        <v>0.22929155386993369</v>
      </c>
      <c r="W638">
        <f t="shared" si="87"/>
        <v>-0.25435329828790432</v>
      </c>
      <c r="X638">
        <f t="shared" si="88"/>
        <v>0.10399668008577614</v>
      </c>
      <c r="Y638">
        <f t="shared" si="89"/>
        <v>0.36604748519325236</v>
      </c>
    </row>
    <row r="639" spans="1:25" x14ac:dyDescent="0.3">
      <c r="A639">
        <v>638</v>
      </c>
      <c r="B639" s="1">
        <v>40572</v>
      </c>
      <c r="C639">
        <v>1</v>
      </c>
      <c r="D639">
        <v>0</v>
      </c>
      <c r="E639">
        <v>1</v>
      </c>
      <c r="F639">
        <v>20</v>
      </c>
      <c r="G639" t="b">
        <v>0</v>
      </c>
      <c r="H639">
        <v>6</v>
      </c>
      <c r="I639">
        <v>1</v>
      </c>
      <c r="J639">
        <v>0.18</v>
      </c>
      <c r="K639">
        <v>0.21210000000000001</v>
      </c>
      <c r="L639">
        <v>0.74</v>
      </c>
      <c r="M639">
        <v>8.9599999999999999E-2</v>
      </c>
      <c r="N639">
        <v>1</v>
      </c>
      <c r="O639">
        <v>42</v>
      </c>
      <c r="P639">
        <v>43</v>
      </c>
      <c r="Q639" t="str">
        <f t="shared" si="81"/>
        <v>Weekend</v>
      </c>
      <c r="R639" t="str">
        <f t="shared" si="82"/>
        <v>Clear</v>
      </c>
      <c r="S639" t="str">
        <f t="shared" si="83"/>
        <v>Evening</v>
      </c>
      <c r="T639" t="str">
        <f t="shared" si="84"/>
        <v>January</v>
      </c>
      <c r="U639" t="str">
        <f t="shared" si="85"/>
        <v>Spring</v>
      </c>
      <c r="V639">
        <f t="shared" si="86"/>
        <v>0.22929155386993369</v>
      </c>
      <c r="W639">
        <f t="shared" si="87"/>
        <v>-0.25435329828790432</v>
      </c>
      <c r="X639">
        <f t="shared" si="88"/>
        <v>0.10399668008577614</v>
      </c>
      <c r="Y639">
        <f t="shared" si="89"/>
        <v>0.36604748519325236</v>
      </c>
    </row>
    <row r="640" spans="1:25" x14ac:dyDescent="0.3">
      <c r="A640">
        <v>639</v>
      </c>
      <c r="B640" s="1">
        <v>40572</v>
      </c>
      <c r="C640">
        <v>1</v>
      </c>
      <c r="D640">
        <v>0</v>
      </c>
      <c r="E640">
        <v>1</v>
      </c>
      <c r="F640">
        <v>21</v>
      </c>
      <c r="G640" t="b">
        <v>0</v>
      </c>
      <c r="H640">
        <v>6</v>
      </c>
      <c r="I640">
        <v>1</v>
      </c>
      <c r="J640">
        <v>0.18</v>
      </c>
      <c r="K640">
        <v>0.21210000000000001</v>
      </c>
      <c r="L640">
        <v>0.74</v>
      </c>
      <c r="M640">
        <v>8.9599999999999999E-2</v>
      </c>
      <c r="N640">
        <v>1</v>
      </c>
      <c r="O640">
        <v>35</v>
      </c>
      <c r="P640">
        <v>36</v>
      </c>
      <c r="Q640" t="str">
        <f t="shared" si="81"/>
        <v>Weekend</v>
      </c>
      <c r="R640" t="str">
        <f t="shared" si="82"/>
        <v>Clear</v>
      </c>
      <c r="S640" t="str">
        <f t="shared" si="83"/>
        <v>Night</v>
      </c>
      <c r="T640" t="str">
        <f t="shared" si="84"/>
        <v>January</v>
      </c>
      <c r="U640" t="str">
        <f t="shared" si="85"/>
        <v>Spring</v>
      </c>
      <c r="V640">
        <f t="shared" si="86"/>
        <v>0.22929155386993369</v>
      </c>
      <c r="W640">
        <f t="shared" si="87"/>
        <v>-0.25435329828790432</v>
      </c>
      <c r="X640">
        <f t="shared" si="88"/>
        <v>0.10399668008577614</v>
      </c>
      <c r="Y640">
        <f t="shared" si="89"/>
        <v>0.36604748519325236</v>
      </c>
    </row>
    <row r="641" spans="1:25" x14ac:dyDescent="0.3">
      <c r="A641">
        <v>640</v>
      </c>
      <c r="B641" s="1">
        <v>40572</v>
      </c>
      <c r="C641">
        <v>1</v>
      </c>
      <c r="D641">
        <v>0</v>
      </c>
      <c r="E641">
        <v>1</v>
      </c>
      <c r="F641">
        <v>22</v>
      </c>
      <c r="G641" t="b">
        <v>0</v>
      </c>
      <c r="H641">
        <v>6</v>
      </c>
      <c r="I641">
        <v>1</v>
      </c>
      <c r="J641">
        <v>0.16</v>
      </c>
      <c r="K641">
        <v>0.19700000000000001</v>
      </c>
      <c r="L641">
        <v>0.8</v>
      </c>
      <c r="M641">
        <v>8.9599999999999999E-2</v>
      </c>
      <c r="N641">
        <v>4</v>
      </c>
      <c r="O641">
        <v>28</v>
      </c>
      <c r="P641">
        <v>32</v>
      </c>
      <c r="Q641" t="str">
        <f t="shared" si="81"/>
        <v>Weekend</v>
      </c>
      <c r="R641" t="str">
        <f t="shared" si="82"/>
        <v>Clear</v>
      </c>
      <c r="S641" t="str">
        <f t="shared" si="83"/>
        <v>Night</v>
      </c>
      <c r="T641" t="str">
        <f t="shared" si="84"/>
        <v>January</v>
      </c>
      <c r="U641" t="str">
        <f t="shared" si="85"/>
        <v>Spring</v>
      </c>
      <c r="V641">
        <f t="shared" si="86"/>
        <v>0.22929155386993369</v>
      </c>
      <c r="W641">
        <f t="shared" si="87"/>
        <v>-0.25435329828790432</v>
      </c>
      <c r="X641">
        <f t="shared" si="88"/>
        <v>0.10399668008577614</v>
      </c>
      <c r="Y641">
        <f t="shared" si="89"/>
        <v>0.36604748519325236</v>
      </c>
    </row>
    <row r="642" spans="1:25" x14ac:dyDescent="0.3">
      <c r="A642">
        <v>641</v>
      </c>
      <c r="B642" s="1">
        <v>40572</v>
      </c>
      <c r="C642">
        <v>1</v>
      </c>
      <c r="D642">
        <v>0</v>
      </c>
      <c r="E642">
        <v>1</v>
      </c>
      <c r="F642">
        <v>23</v>
      </c>
      <c r="G642" t="b">
        <v>0</v>
      </c>
      <c r="H642">
        <v>6</v>
      </c>
      <c r="I642">
        <v>1</v>
      </c>
      <c r="J642">
        <v>0.16</v>
      </c>
      <c r="K642">
        <v>0.19700000000000001</v>
      </c>
      <c r="L642">
        <v>0.8</v>
      </c>
      <c r="M642">
        <v>8.9599999999999999E-2</v>
      </c>
      <c r="N642">
        <v>3</v>
      </c>
      <c r="O642">
        <v>30</v>
      </c>
      <c r="P642">
        <v>33</v>
      </c>
      <c r="Q642" t="str">
        <f t="shared" ref="Q642:Q705" si="90">IF(OR(WEEKDAY(B642)=1, WEEKDAY(B642)=7), "Weekend", "Weekday")</f>
        <v>Weekend</v>
      </c>
      <c r="R642" t="str">
        <f t="shared" ref="R642:R705" si="91">IF(I642=1,"Clear",IF(I642=2,"Mist/Cloudy",IF(I642=3,"Light Rain/Snow","Heavy Rain/Snow")))</f>
        <v>Clear</v>
      </c>
      <c r="S642" t="str">
        <f t="shared" ref="S642:S705" si="92">IF(AND(F642&gt;=6, F642&lt;12), "Morning", IF(AND(F642&gt;=12, F642&lt;17), "Afternoon", IF(AND(F642&gt;=17, F642&lt;21), "Evening", "Night")))</f>
        <v>Night</v>
      </c>
      <c r="T642" t="str">
        <f t="shared" ref="T642:T705" si="93">TEXT(B642, "mmmm")</f>
        <v>January</v>
      </c>
      <c r="U642" t="str">
        <f t="shared" ref="U642:U705" si="94">CHOOSE(C642, "Spring", "Summer", "Fall", "Winter")</f>
        <v>Spring</v>
      </c>
      <c r="V642">
        <f t="shared" ref="V642:V705" si="95">CORREL($J$2:$J$1001, $P$2:$P$1001)</f>
        <v>0.22929155386993369</v>
      </c>
      <c r="W642">
        <f t="shared" ref="W642:W705" si="96">CORREL($L$2:$L$1001, $P$2:$P$1001)</f>
        <v>-0.25435329828790432</v>
      </c>
      <c r="X642">
        <f t="shared" ref="X642:X705" si="97">CORREL($M$2:$M$1001, $P$2:$P$1001)</f>
        <v>0.10399668008577614</v>
      </c>
      <c r="Y642">
        <f t="shared" ref="Y642:Y705" si="98">CORREL($F$2:$F$1001, $P$2:$P$1001)</f>
        <v>0.36604748519325236</v>
      </c>
    </row>
    <row r="643" spans="1:25" x14ac:dyDescent="0.3">
      <c r="A643">
        <v>642</v>
      </c>
      <c r="B643" s="1">
        <v>40573</v>
      </c>
      <c r="C643">
        <v>1</v>
      </c>
      <c r="D643">
        <v>0</v>
      </c>
      <c r="E643">
        <v>1</v>
      </c>
      <c r="F643">
        <v>0</v>
      </c>
      <c r="G643" t="b">
        <v>0</v>
      </c>
      <c r="H643">
        <v>0</v>
      </c>
      <c r="I643">
        <v>1</v>
      </c>
      <c r="J643">
        <v>0.16</v>
      </c>
      <c r="K643">
        <v>0.18179999999999999</v>
      </c>
      <c r="L643">
        <v>0.8</v>
      </c>
      <c r="M643">
        <v>0.1045</v>
      </c>
      <c r="N643">
        <v>0</v>
      </c>
      <c r="O643">
        <v>33</v>
      </c>
      <c r="P643">
        <v>33</v>
      </c>
      <c r="Q643" t="str">
        <f t="shared" si="90"/>
        <v>Weekend</v>
      </c>
      <c r="R643" t="str">
        <f t="shared" si="91"/>
        <v>Clear</v>
      </c>
      <c r="S643" t="str">
        <f t="shared" si="92"/>
        <v>Night</v>
      </c>
      <c r="T643" t="str">
        <f t="shared" si="93"/>
        <v>January</v>
      </c>
      <c r="U643" t="str">
        <f t="shared" si="94"/>
        <v>Spring</v>
      </c>
      <c r="V643">
        <f t="shared" si="95"/>
        <v>0.22929155386993369</v>
      </c>
      <c r="W643">
        <f t="shared" si="96"/>
        <v>-0.25435329828790432</v>
      </c>
      <c r="X643">
        <f t="shared" si="97"/>
        <v>0.10399668008577614</v>
      </c>
      <c r="Y643">
        <f t="shared" si="98"/>
        <v>0.36604748519325236</v>
      </c>
    </row>
    <row r="644" spans="1:25" x14ac:dyDescent="0.3">
      <c r="A644">
        <v>643</v>
      </c>
      <c r="B644" s="1">
        <v>40573</v>
      </c>
      <c r="C644">
        <v>1</v>
      </c>
      <c r="D644">
        <v>0</v>
      </c>
      <c r="E644">
        <v>1</v>
      </c>
      <c r="F644">
        <v>1</v>
      </c>
      <c r="G644" t="b">
        <v>0</v>
      </c>
      <c r="H644">
        <v>0</v>
      </c>
      <c r="I644">
        <v>1</v>
      </c>
      <c r="J644">
        <v>0.14000000000000001</v>
      </c>
      <c r="K644">
        <v>0.21210000000000001</v>
      </c>
      <c r="L644">
        <v>0.8</v>
      </c>
      <c r="M644">
        <v>0</v>
      </c>
      <c r="N644">
        <v>7</v>
      </c>
      <c r="O644">
        <v>22</v>
      </c>
      <c r="P644">
        <v>29</v>
      </c>
      <c r="Q644" t="str">
        <f t="shared" si="90"/>
        <v>Weekend</v>
      </c>
      <c r="R644" t="str">
        <f t="shared" si="91"/>
        <v>Clear</v>
      </c>
      <c r="S644" t="str">
        <f t="shared" si="92"/>
        <v>Night</v>
      </c>
      <c r="T644" t="str">
        <f t="shared" si="93"/>
        <v>January</v>
      </c>
      <c r="U644" t="str">
        <f t="shared" si="94"/>
        <v>Spring</v>
      </c>
      <c r="V644">
        <f t="shared" si="95"/>
        <v>0.22929155386993369</v>
      </c>
      <c r="W644">
        <f t="shared" si="96"/>
        <v>-0.25435329828790432</v>
      </c>
      <c r="X644">
        <f t="shared" si="97"/>
        <v>0.10399668008577614</v>
      </c>
      <c r="Y644">
        <f t="shared" si="98"/>
        <v>0.36604748519325236</v>
      </c>
    </row>
    <row r="645" spans="1:25" x14ac:dyDescent="0.3">
      <c r="A645">
        <v>644</v>
      </c>
      <c r="B645" s="1">
        <v>40573</v>
      </c>
      <c r="C645">
        <v>1</v>
      </c>
      <c r="D645">
        <v>0</v>
      </c>
      <c r="E645">
        <v>1</v>
      </c>
      <c r="F645">
        <v>2</v>
      </c>
      <c r="G645" t="b">
        <v>0</v>
      </c>
      <c r="H645">
        <v>0</v>
      </c>
      <c r="I645">
        <v>1</v>
      </c>
      <c r="J645">
        <v>0.16</v>
      </c>
      <c r="K645">
        <v>0.2273</v>
      </c>
      <c r="L645">
        <v>0.8</v>
      </c>
      <c r="M645">
        <v>0</v>
      </c>
      <c r="N645">
        <v>1</v>
      </c>
      <c r="O645">
        <v>10</v>
      </c>
      <c r="P645">
        <v>11</v>
      </c>
      <c r="Q645" t="str">
        <f t="shared" si="90"/>
        <v>Weekend</v>
      </c>
      <c r="R645" t="str">
        <f t="shared" si="91"/>
        <v>Clear</v>
      </c>
      <c r="S645" t="str">
        <f t="shared" si="92"/>
        <v>Night</v>
      </c>
      <c r="T645" t="str">
        <f t="shared" si="93"/>
        <v>January</v>
      </c>
      <c r="U645" t="str">
        <f t="shared" si="94"/>
        <v>Spring</v>
      </c>
      <c r="V645">
        <f t="shared" si="95"/>
        <v>0.22929155386993369</v>
      </c>
      <c r="W645">
        <f t="shared" si="96"/>
        <v>-0.25435329828790432</v>
      </c>
      <c r="X645">
        <f t="shared" si="97"/>
        <v>0.10399668008577614</v>
      </c>
      <c r="Y645">
        <f t="shared" si="98"/>
        <v>0.36604748519325236</v>
      </c>
    </row>
    <row r="646" spans="1:25" x14ac:dyDescent="0.3">
      <c r="A646">
        <v>645</v>
      </c>
      <c r="B646" s="1">
        <v>40573</v>
      </c>
      <c r="C646">
        <v>1</v>
      </c>
      <c r="D646">
        <v>0</v>
      </c>
      <c r="E646">
        <v>1</v>
      </c>
      <c r="F646">
        <v>3</v>
      </c>
      <c r="G646" t="b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0.93</v>
      </c>
      <c r="M646">
        <v>0</v>
      </c>
      <c r="N646">
        <v>1</v>
      </c>
      <c r="O646">
        <v>7</v>
      </c>
      <c r="P646">
        <v>8</v>
      </c>
      <c r="Q646" t="str">
        <f t="shared" si="90"/>
        <v>Weekend</v>
      </c>
      <c r="R646" t="str">
        <f t="shared" si="91"/>
        <v>Clear</v>
      </c>
      <c r="S646" t="str">
        <f t="shared" si="92"/>
        <v>Night</v>
      </c>
      <c r="T646" t="str">
        <f t="shared" si="93"/>
        <v>January</v>
      </c>
      <c r="U646" t="str">
        <f t="shared" si="94"/>
        <v>Spring</v>
      </c>
      <c r="V646">
        <f t="shared" si="95"/>
        <v>0.22929155386993369</v>
      </c>
      <c r="W646">
        <f t="shared" si="96"/>
        <v>-0.25435329828790432</v>
      </c>
      <c r="X646">
        <f t="shared" si="97"/>
        <v>0.10399668008577614</v>
      </c>
      <c r="Y646">
        <f t="shared" si="98"/>
        <v>0.36604748519325236</v>
      </c>
    </row>
    <row r="647" spans="1:25" x14ac:dyDescent="0.3">
      <c r="A647">
        <v>646</v>
      </c>
      <c r="B647" s="1">
        <v>40573</v>
      </c>
      <c r="C647">
        <v>1</v>
      </c>
      <c r="D647">
        <v>0</v>
      </c>
      <c r="E647">
        <v>1</v>
      </c>
      <c r="F647">
        <v>4</v>
      </c>
      <c r="G647" t="b">
        <v>0</v>
      </c>
      <c r="H647">
        <v>0</v>
      </c>
      <c r="I647">
        <v>1</v>
      </c>
      <c r="J647">
        <v>0.14000000000000001</v>
      </c>
      <c r="K647">
        <v>0.21210000000000001</v>
      </c>
      <c r="L647">
        <v>0.93</v>
      </c>
      <c r="M647">
        <v>0</v>
      </c>
      <c r="N647">
        <v>0</v>
      </c>
      <c r="O647">
        <v>1</v>
      </c>
      <c r="P647">
        <v>1</v>
      </c>
      <c r="Q647" t="str">
        <f t="shared" si="90"/>
        <v>Weekend</v>
      </c>
      <c r="R647" t="str">
        <f t="shared" si="91"/>
        <v>Clear</v>
      </c>
      <c r="S647" t="str">
        <f t="shared" si="92"/>
        <v>Night</v>
      </c>
      <c r="T647" t="str">
        <f t="shared" si="93"/>
        <v>January</v>
      </c>
      <c r="U647" t="str">
        <f t="shared" si="94"/>
        <v>Spring</v>
      </c>
      <c r="V647">
        <f t="shared" si="95"/>
        <v>0.22929155386993369</v>
      </c>
      <c r="W647">
        <f t="shared" si="96"/>
        <v>-0.25435329828790432</v>
      </c>
      <c r="X647">
        <f t="shared" si="97"/>
        <v>0.10399668008577614</v>
      </c>
      <c r="Y647">
        <f t="shared" si="98"/>
        <v>0.36604748519325236</v>
      </c>
    </row>
    <row r="648" spans="1:25" x14ac:dyDescent="0.3">
      <c r="A648">
        <v>647</v>
      </c>
      <c r="B648" s="1">
        <v>40573</v>
      </c>
      <c r="C648">
        <v>1</v>
      </c>
      <c r="D648">
        <v>0</v>
      </c>
      <c r="E648">
        <v>1</v>
      </c>
      <c r="F648">
        <v>5</v>
      </c>
      <c r="G648" t="b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0.86</v>
      </c>
      <c r="M648">
        <v>0</v>
      </c>
      <c r="N648">
        <v>0</v>
      </c>
      <c r="O648">
        <v>3</v>
      </c>
      <c r="P648">
        <v>3</v>
      </c>
      <c r="Q648" t="str">
        <f t="shared" si="90"/>
        <v>Weekend</v>
      </c>
      <c r="R648" t="str">
        <f t="shared" si="91"/>
        <v>Clear</v>
      </c>
      <c r="S648" t="str">
        <f t="shared" si="92"/>
        <v>Night</v>
      </c>
      <c r="T648" t="str">
        <f t="shared" si="93"/>
        <v>January</v>
      </c>
      <c r="U648" t="str">
        <f t="shared" si="94"/>
        <v>Spring</v>
      </c>
      <c r="V648">
        <f t="shared" si="95"/>
        <v>0.22929155386993369</v>
      </c>
      <c r="W648">
        <f t="shared" si="96"/>
        <v>-0.25435329828790432</v>
      </c>
      <c r="X648">
        <f t="shared" si="97"/>
        <v>0.10399668008577614</v>
      </c>
      <c r="Y648">
        <f t="shared" si="98"/>
        <v>0.36604748519325236</v>
      </c>
    </row>
    <row r="649" spans="1:25" x14ac:dyDescent="0.3">
      <c r="A649">
        <v>648</v>
      </c>
      <c r="B649" s="1">
        <v>40573</v>
      </c>
      <c r="C649">
        <v>1</v>
      </c>
      <c r="D649">
        <v>0</v>
      </c>
      <c r="E649">
        <v>1</v>
      </c>
      <c r="F649">
        <v>7</v>
      </c>
      <c r="G649" t="b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0.86</v>
      </c>
      <c r="M649">
        <v>0</v>
      </c>
      <c r="N649">
        <v>0</v>
      </c>
      <c r="O649">
        <v>3</v>
      </c>
      <c r="P649">
        <v>3</v>
      </c>
      <c r="Q649" t="str">
        <f t="shared" si="90"/>
        <v>Weekend</v>
      </c>
      <c r="R649" t="str">
        <f t="shared" si="91"/>
        <v>Clear</v>
      </c>
      <c r="S649" t="str">
        <f t="shared" si="92"/>
        <v>Morning</v>
      </c>
      <c r="T649" t="str">
        <f t="shared" si="93"/>
        <v>January</v>
      </c>
      <c r="U649" t="str">
        <f t="shared" si="94"/>
        <v>Spring</v>
      </c>
      <c r="V649">
        <f t="shared" si="95"/>
        <v>0.22929155386993369</v>
      </c>
      <c r="W649">
        <f t="shared" si="96"/>
        <v>-0.25435329828790432</v>
      </c>
      <c r="X649">
        <f t="shared" si="97"/>
        <v>0.10399668008577614</v>
      </c>
      <c r="Y649">
        <f t="shared" si="98"/>
        <v>0.36604748519325236</v>
      </c>
    </row>
    <row r="650" spans="1:25" x14ac:dyDescent="0.3">
      <c r="A650">
        <v>649</v>
      </c>
      <c r="B650" s="1">
        <v>40573</v>
      </c>
      <c r="C650">
        <v>1</v>
      </c>
      <c r="D650">
        <v>0</v>
      </c>
      <c r="E650">
        <v>1</v>
      </c>
      <c r="F650">
        <v>8</v>
      </c>
      <c r="G650" t="b">
        <v>0</v>
      </c>
      <c r="H650">
        <v>0</v>
      </c>
      <c r="I650">
        <v>2</v>
      </c>
      <c r="J650">
        <v>0.14000000000000001</v>
      </c>
      <c r="K650">
        <v>0.21210000000000001</v>
      </c>
      <c r="L650">
        <v>0.86</v>
      </c>
      <c r="M650">
        <v>0</v>
      </c>
      <c r="N650">
        <v>1</v>
      </c>
      <c r="O650">
        <v>11</v>
      </c>
      <c r="P650">
        <v>12</v>
      </c>
      <c r="Q650" t="str">
        <f t="shared" si="90"/>
        <v>Weekend</v>
      </c>
      <c r="R650" t="str">
        <f t="shared" si="91"/>
        <v>Mist/Cloudy</v>
      </c>
      <c r="S650" t="str">
        <f t="shared" si="92"/>
        <v>Morning</v>
      </c>
      <c r="T650" t="str">
        <f t="shared" si="93"/>
        <v>January</v>
      </c>
      <c r="U650" t="str">
        <f t="shared" si="94"/>
        <v>Spring</v>
      </c>
      <c r="V650">
        <f t="shared" si="95"/>
        <v>0.22929155386993369</v>
      </c>
      <c r="W650">
        <f t="shared" si="96"/>
        <v>-0.25435329828790432</v>
      </c>
      <c r="X650">
        <f t="shared" si="97"/>
        <v>0.10399668008577614</v>
      </c>
      <c r="Y650">
        <f t="shared" si="98"/>
        <v>0.36604748519325236</v>
      </c>
    </row>
    <row r="651" spans="1:25" x14ac:dyDescent="0.3">
      <c r="A651">
        <v>650</v>
      </c>
      <c r="B651" s="1">
        <v>40573</v>
      </c>
      <c r="C651">
        <v>1</v>
      </c>
      <c r="D651">
        <v>0</v>
      </c>
      <c r="E651">
        <v>1</v>
      </c>
      <c r="F651">
        <v>9</v>
      </c>
      <c r="G651" t="b">
        <v>0</v>
      </c>
      <c r="H651">
        <v>0</v>
      </c>
      <c r="I651">
        <v>2</v>
      </c>
      <c r="J651">
        <v>0.16</v>
      </c>
      <c r="K651">
        <v>0.2273</v>
      </c>
      <c r="L651">
        <v>0.8</v>
      </c>
      <c r="M651">
        <v>0</v>
      </c>
      <c r="N651">
        <v>4</v>
      </c>
      <c r="O651">
        <v>34</v>
      </c>
      <c r="P651">
        <v>38</v>
      </c>
      <c r="Q651" t="str">
        <f t="shared" si="90"/>
        <v>Weekend</v>
      </c>
      <c r="R651" t="str">
        <f t="shared" si="91"/>
        <v>Mist/Cloudy</v>
      </c>
      <c r="S651" t="str">
        <f t="shared" si="92"/>
        <v>Morning</v>
      </c>
      <c r="T651" t="str">
        <f t="shared" si="93"/>
        <v>January</v>
      </c>
      <c r="U651" t="str">
        <f t="shared" si="94"/>
        <v>Spring</v>
      </c>
      <c r="V651">
        <f t="shared" si="95"/>
        <v>0.22929155386993369</v>
      </c>
      <c r="W651">
        <f t="shared" si="96"/>
        <v>-0.25435329828790432</v>
      </c>
      <c r="X651">
        <f t="shared" si="97"/>
        <v>0.10399668008577614</v>
      </c>
      <c r="Y651">
        <f t="shared" si="98"/>
        <v>0.36604748519325236</v>
      </c>
    </row>
    <row r="652" spans="1:25" x14ac:dyDescent="0.3">
      <c r="A652">
        <v>651</v>
      </c>
      <c r="B652" s="1">
        <v>40573</v>
      </c>
      <c r="C652">
        <v>1</v>
      </c>
      <c r="D652">
        <v>0</v>
      </c>
      <c r="E652">
        <v>1</v>
      </c>
      <c r="F652">
        <v>10</v>
      </c>
      <c r="G652" t="b">
        <v>0</v>
      </c>
      <c r="H652">
        <v>0</v>
      </c>
      <c r="I652">
        <v>2</v>
      </c>
      <c r="J652">
        <v>0.18</v>
      </c>
      <c r="K652">
        <v>0.2424</v>
      </c>
      <c r="L652">
        <v>0.8</v>
      </c>
      <c r="M652">
        <v>0</v>
      </c>
      <c r="N652">
        <v>7</v>
      </c>
      <c r="O652">
        <v>57</v>
      </c>
      <c r="P652">
        <v>64</v>
      </c>
      <c r="Q652" t="str">
        <f t="shared" si="90"/>
        <v>Weekend</v>
      </c>
      <c r="R652" t="str">
        <f t="shared" si="91"/>
        <v>Mist/Cloudy</v>
      </c>
      <c r="S652" t="str">
        <f t="shared" si="92"/>
        <v>Morning</v>
      </c>
      <c r="T652" t="str">
        <f t="shared" si="93"/>
        <v>January</v>
      </c>
      <c r="U652" t="str">
        <f t="shared" si="94"/>
        <v>Spring</v>
      </c>
      <c r="V652">
        <f t="shared" si="95"/>
        <v>0.22929155386993369</v>
      </c>
      <c r="W652">
        <f t="shared" si="96"/>
        <v>-0.25435329828790432</v>
      </c>
      <c r="X652">
        <f t="shared" si="97"/>
        <v>0.10399668008577614</v>
      </c>
      <c r="Y652">
        <f t="shared" si="98"/>
        <v>0.36604748519325236</v>
      </c>
    </row>
    <row r="653" spans="1:25" x14ac:dyDescent="0.3">
      <c r="A653">
        <v>652</v>
      </c>
      <c r="B653" s="1">
        <v>40573</v>
      </c>
      <c r="C653">
        <v>1</v>
      </c>
      <c r="D653">
        <v>0</v>
      </c>
      <c r="E653">
        <v>1</v>
      </c>
      <c r="F653">
        <v>11</v>
      </c>
      <c r="G653" t="b">
        <v>0</v>
      </c>
      <c r="H653">
        <v>0</v>
      </c>
      <c r="I653">
        <v>1</v>
      </c>
      <c r="J653">
        <v>0.22</v>
      </c>
      <c r="K653">
        <v>0.2727</v>
      </c>
      <c r="L653">
        <v>0.75</v>
      </c>
      <c r="M653">
        <v>0</v>
      </c>
      <c r="N653">
        <v>9</v>
      </c>
      <c r="O653">
        <v>50</v>
      </c>
      <c r="P653">
        <v>59</v>
      </c>
      <c r="Q653" t="str">
        <f t="shared" si="90"/>
        <v>Weekend</v>
      </c>
      <c r="R653" t="str">
        <f t="shared" si="91"/>
        <v>Clear</v>
      </c>
      <c r="S653" t="str">
        <f t="shared" si="92"/>
        <v>Morning</v>
      </c>
      <c r="T653" t="str">
        <f t="shared" si="93"/>
        <v>January</v>
      </c>
      <c r="U653" t="str">
        <f t="shared" si="94"/>
        <v>Spring</v>
      </c>
      <c r="V653">
        <f t="shared" si="95"/>
        <v>0.22929155386993369</v>
      </c>
      <c r="W653">
        <f t="shared" si="96"/>
        <v>-0.25435329828790432</v>
      </c>
      <c r="X653">
        <f t="shared" si="97"/>
        <v>0.10399668008577614</v>
      </c>
      <c r="Y653">
        <f t="shared" si="98"/>
        <v>0.36604748519325236</v>
      </c>
    </row>
    <row r="654" spans="1:25" x14ac:dyDescent="0.3">
      <c r="A654">
        <v>653</v>
      </c>
      <c r="B654" s="1">
        <v>40573</v>
      </c>
      <c r="C654">
        <v>1</v>
      </c>
      <c r="D654">
        <v>0</v>
      </c>
      <c r="E654">
        <v>1</v>
      </c>
      <c r="F654">
        <v>12</v>
      </c>
      <c r="G654" t="b">
        <v>0</v>
      </c>
      <c r="H654">
        <v>0</v>
      </c>
      <c r="I654">
        <v>1</v>
      </c>
      <c r="J654">
        <v>0.3</v>
      </c>
      <c r="K654">
        <v>0.31819999999999998</v>
      </c>
      <c r="L654">
        <v>0.52</v>
      </c>
      <c r="M654">
        <v>0.1045</v>
      </c>
      <c r="N654">
        <v>10</v>
      </c>
      <c r="O654">
        <v>87</v>
      </c>
      <c r="P654">
        <v>97</v>
      </c>
      <c r="Q654" t="str">
        <f t="shared" si="90"/>
        <v>Weekend</v>
      </c>
      <c r="R654" t="str">
        <f t="shared" si="91"/>
        <v>Clear</v>
      </c>
      <c r="S654" t="str">
        <f t="shared" si="92"/>
        <v>Afternoon</v>
      </c>
      <c r="T654" t="str">
        <f t="shared" si="93"/>
        <v>January</v>
      </c>
      <c r="U654" t="str">
        <f t="shared" si="94"/>
        <v>Spring</v>
      </c>
      <c r="V654">
        <f t="shared" si="95"/>
        <v>0.22929155386993369</v>
      </c>
      <c r="W654">
        <f t="shared" si="96"/>
        <v>-0.25435329828790432</v>
      </c>
      <c r="X654">
        <f t="shared" si="97"/>
        <v>0.10399668008577614</v>
      </c>
      <c r="Y654">
        <f t="shared" si="98"/>
        <v>0.36604748519325236</v>
      </c>
    </row>
    <row r="655" spans="1:25" x14ac:dyDescent="0.3">
      <c r="A655">
        <v>654</v>
      </c>
      <c r="B655" s="1">
        <v>40573</v>
      </c>
      <c r="C655">
        <v>1</v>
      </c>
      <c r="D655">
        <v>0</v>
      </c>
      <c r="E655">
        <v>1</v>
      </c>
      <c r="F655">
        <v>13</v>
      </c>
      <c r="G655" t="b">
        <v>0</v>
      </c>
      <c r="H655">
        <v>0</v>
      </c>
      <c r="I655">
        <v>1</v>
      </c>
      <c r="J655">
        <v>0.28000000000000003</v>
      </c>
      <c r="K655">
        <v>0.28789999999999999</v>
      </c>
      <c r="L655">
        <v>0.61</v>
      </c>
      <c r="M655">
        <v>0.1045</v>
      </c>
      <c r="N655">
        <v>13</v>
      </c>
      <c r="O655">
        <v>71</v>
      </c>
      <c r="P655">
        <v>84</v>
      </c>
      <c r="Q655" t="str">
        <f t="shared" si="90"/>
        <v>Weekend</v>
      </c>
      <c r="R655" t="str">
        <f t="shared" si="91"/>
        <v>Clear</v>
      </c>
      <c r="S655" t="str">
        <f t="shared" si="92"/>
        <v>Afternoon</v>
      </c>
      <c r="T655" t="str">
        <f t="shared" si="93"/>
        <v>January</v>
      </c>
      <c r="U655" t="str">
        <f t="shared" si="94"/>
        <v>Spring</v>
      </c>
      <c r="V655">
        <f t="shared" si="95"/>
        <v>0.22929155386993369</v>
      </c>
      <c r="W655">
        <f t="shared" si="96"/>
        <v>-0.25435329828790432</v>
      </c>
      <c r="X655">
        <f t="shared" si="97"/>
        <v>0.10399668008577614</v>
      </c>
      <c r="Y655">
        <f t="shared" si="98"/>
        <v>0.36604748519325236</v>
      </c>
    </row>
    <row r="656" spans="1:25" x14ac:dyDescent="0.3">
      <c r="A656">
        <v>655</v>
      </c>
      <c r="B656" s="1">
        <v>40573</v>
      </c>
      <c r="C656">
        <v>1</v>
      </c>
      <c r="D656">
        <v>0</v>
      </c>
      <c r="E656">
        <v>1</v>
      </c>
      <c r="F656">
        <v>14</v>
      </c>
      <c r="G656" t="b">
        <v>0</v>
      </c>
      <c r="H656">
        <v>0</v>
      </c>
      <c r="I656">
        <v>1</v>
      </c>
      <c r="J656">
        <v>0.28000000000000003</v>
      </c>
      <c r="K656">
        <v>0.30299999999999999</v>
      </c>
      <c r="L656">
        <v>0.61</v>
      </c>
      <c r="M656">
        <v>8.9599999999999999E-2</v>
      </c>
      <c r="N656">
        <v>18</v>
      </c>
      <c r="O656">
        <v>104</v>
      </c>
      <c r="P656">
        <v>122</v>
      </c>
      <c r="Q656" t="str">
        <f t="shared" si="90"/>
        <v>Weekend</v>
      </c>
      <c r="R656" t="str">
        <f t="shared" si="91"/>
        <v>Clear</v>
      </c>
      <c r="S656" t="str">
        <f t="shared" si="92"/>
        <v>Afternoon</v>
      </c>
      <c r="T656" t="str">
        <f t="shared" si="93"/>
        <v>January</v>
      </c>
      <c r="U656" t="str">
        <f t="shared" si="94"/>
        <v>Spring</v>
      </c>
      <c r="V656">
        <f t="shared" si="95"/>
        <v>0.22929155386993369</v>
      </c>
      <c r="W656">
        <f t="shared" si="96"/>
        <v>-0.25435329828790432</v>
      </c>
      <c r="X656">
        <f t="shared" si="97"/>
        <v>0.10399668008577614</v>
      </c>
      <c r="Y656">
        <f t="shared" si="98"/>
        <v>0.36604748519325236</v>
      </c>
    </row>
    <row r="657" spans="1:25" x14ac:dyDescent="0.3">
      <c r="A657">
        <v>656</v>
      </c>
      <c r="B657" s="1">
        <v>40573</v>
      </c>
      <c r="C657">
        <v>1</v>
      </c>
      <c r="D657">
        <v>0</v>
      </c>
      <c r="E657">
        <v>1</v>
      </c>
      <c r="F657">
        <v>15</v>
      </c>
      <c r="G657" t="b">
        <v>0</v>
      </c>
      <c r="H657">
        <v>0</v>
      </c>
      <c r="I657">
        <v>1</v>
      </c>
      <c r="J657">
        <v>0.3</v>
      </c>
      <c r="K657">
        <v>0.33329999999999999</v>
      </c>
      <c r="L657">
        <v>0.56000000000000005</v>
      </c>
      <c r="M657">
        <v>0</v>
      </c>
      <c r="N657">
        <v>14</v>
      </c>
      <c r="O657">
        <v>95</v>
      </c>
      <c r="P657">
        <v>109</v>
      </c>
      <c r="Q657" t="str">
        <f t="shared" si="90"/>
        <v>Weekend</v>
      </c>
      <c r="R657" t="str">
        <f t="shared" si="91"/>
        <v>Clear</v>
      </c>
      <c r="S657" t="str">
        <f t="shared" si="92"/>
        <v>Afternoon</v>
      </c>
      <c r="T657" t="str">
        <f t="shared" si="93"/>
        <v>January</v>
      </c>
      <c r="U657" t="str">
        <f t="shared" si="94"/>
        <v>Spring</v>
      </c>
      <c r="V657">
        <f t="shared" si="95"/>
        <v>0.22929155386993369</v>
      </c>
      <c r="W657">
        <f t="shared" si="96"/>
        <v>-0.25435329828790432</v>
      </c>
      <c r="X657">
        <f t="shared" si="97"/>
        <v>0.10399668008577614</v>
      </c>
      <c r="Y657">
        <f t="shared" si="98"/>
        <v>0.36604748519325236</v>
      </c>
    </row>
    <row r="658" spans="1:25" x14ac:dyDescent="0.3">
      <c r="A658">
        <v>657</v>
      </c>
      <c r="B658" s="1">
        <v>40573</v>
      </c>
      <c r="C658">
        <v>1</v>
      </c>
      <c r="D658">
        <v>0</v>
      </c>
      <c r="E658">
        <v>1</v>
      </c>
      <c r="F658">
        <v>16</v>
      </c>
      <c r="G658" t="b">
        <v>0</v>
      </c>
      <c r="H658">
        <v>0</v>
      </c>
      <c r="I658">
        <v>1</v>
      </c>
      <c r="J658">
        <v>0.3</v>
      </c>
      <c r="K658">
        <v>0.33329999999999999</v>
      </c>
      <c r="L658">
        <v>0.56000000000000005</v>
      </c>
      <c r="M658">
        <v>0</v>
      </c>
      <c r="N658">
        <v>19</v>
      </c>
      <c r="O658">
        <v>104</v>
      </c>
      <c r="P658">
        <v>123</v>
      </c>
      <c r="Q658" t="str">
        <f t="shared" si="90"/>
        <v>Weekend</v>
      </c>
      <c r="R658" t="str">
        <f t="shared" si="91"/>
        <v>Clear</v>
      </c>
      <c r="S658" t="str">
        <f t="shared" si="92"/>
        <v>Afternoon</v>
      </c>
      <c r="T658" t="str">
        <f t="shared" si="93"/>
        <v>January</v>
      </c>
      <c r="U658" t="str">
        <f t="shared" si="94"/>
        <v>Spring</v>
      </c>
      <c r="V658">
        <f t="shared" si="95"/>
        <v>0.22929155386993369</v>
      </c>
      <c r="W658">
        <f t="shared" si="96"/>
        <v>-0.25435329828790432</v>
      </c>
      <c r="X658">
        <f t="shared" si="97"/>
        <v>0.10399668008577614</v>
      </c>
      <c r="Y658">
        <f t="shared" si="98"/>
        <v>0.36604748519325236</v>
      </c>
    </row>
    <row r="659" spans="1:25" x14ac:dyDescent="0.3">
      <c r="A659">
        <v>658</v>
      </c>
      <c r="B659" s="1">
        <v>40573</v>
      </c>
      <c r="C659">
        <v>1</v>
      </c>
      <c r="D659">
        <v>0</v>
      </c>
      <c r="E659">
        <v>1</v>
      </c>
      <c r="F659">
        <v>17</v>
      </c>
      <c r="G659" t="b">
        <v>0</v>
      </c>
      <c r="H659">
        <v>0</v>
      </c>
      <c r="I659">
        <v>1</v>
      </c>
      <c r="J659">
        <v>0.3</v>
      </c>
      <c r="K659">
        <v>0.28789999999999999</v>
      </c>
      <c r="L659">
        <v>0.56000000000000005</v>
      </c>
      <c r="M659">
        <v>0.19400000000000001</v>
      </c>
      <c r="N659">
        <v>6</v>
      </c>
      <c r="O659">
        <v>71</v>
      </c>
      <c r="P659">
        <v>77</v>
      </c>
      <c r="Q659" t="str">
        <f t="shared" si="90"/>
        <v>Weekend</v>
      </c>
      <c r="R659" t="str">
        <f t="shared" si="91"/>
        <v>Clear</v>
      </c>
      <c r="S659" t="str">
        <f t="shared" si="92"/>
        <v>Evening</v>
      </c>
      <c r="T659" t="str">
        <f t="shared" si="93"/>
        <v>January</v>
      </c>
      <c r="U659" t="str">
        <f t="shared" si="94"/>
        <v>Spring</v>
      </c>
      <c r="V659">
        <f t="shared" si="95"/>
        <v>0.22929155386993369</v>
      </c>
      <c r="W659">
        <f t="shared" si="96"/>
        <v>-0.25435329828790432</v>
      </c>
      <c r="X659">
        <f t="shared" si="97"/>
        <v>0.10399668008577614</v>
      </c>
      <c r="Y659">
        <f t="shared" si="98"/>
        <v>0.36604748519325236</v>
      </c>
    </row>
    <row r="660" spans="1:25" x14ac:dyDescent="0.3">
      <c r="A660">
        <v>659</v>
      </c>
      <c r="B660" s="1">
        <v>40573</v>
      </c>
      <c r="C660">
        <v>1</v>
      </c>
      <c r="D660">
        <v>0</v>
      </c>
      <c r="E660">
        <v>1</v>
      </c>
      <c r="F660">
        <v>18</v>
      </c>
      <c r="G660" t="b">
        <v>0</v>
      </c>
      <c r="H660">
        <v>0</v>
      </c>
      <c r="I660">
        <v>1</v>
      </c>
      <c r="J660">
        <v>0.26</v>
      </c>
      <c r="K660">
        <v>0.2576</v>
      </c>
      <c r="L660">
        <v>0.65</v>
      </c>
      <c r="M660">
        <v>0.16420000000000001</v>
      </c>
      <c r="N660">
        <v>8</v>
      </c>
      <c r="O660">
        <v>57</v>
      </c>
      <c r="P660">
        <v>65</v>
      </c>
      <c r="Q660" t="str">
        <f t="shared" si="90"/>
        <v>Weekend</v>
      </c>
      <c r="R660" t="str">
        <f t="shared" si="91"/>
        <v>Clear</v>
      </c>
      <c r="S660" t="str">
        <f t="shared" si="92"/>
        <v>Evening</v>
      </c>
      <c r="T660" t="str">
        <f t="shared" si="93"/>
        <v>January</v>
      </c>
      <c r="U660" t="str">
        <f t="shared" si="94"/>
        <v>Spring</v>
      </c>
      <c r="V660">
        <f t="shared" si="95"/>
        <v>0.22929155386993369</v>
      </c>
      <c r="W660">
        <f t="shared" si="96"/>
        <v>-0.25435329828790432</v>
      </c>
      <c r="X660">
        <f t="shared" si="97"/>
        <v>0.10399668008577614</v>
      </c>
      <c r="Y660">
        <f t="shared" si="98"/>
        <v>0.36604748519325236</v>
      </c>
    </row>
    <row r="661" spans="1:25" x14ac:dyDescent="0.3">
      <c r="A661">
        <v>660</v>
      </c>
      <c r="B661" s="1">
        <v>40573</v>
      </c>
      <c r="C661">
        <v>1</v>
      </c>
      <c r="D661">
        <v>0</v>
      </c>
      <c r="E661">
        <v>1</v>
      </c>
      <c r="F661">
        <v>19</v>
      </c>
      <c r="G661" t="b">
        <v>0</v>
      </c>
      <c r="H661">
        <v>0</v>
      </c>
      <c r="I661">
        <v>1</v>
      </c>
      <c r="J661">
        <v>0.26</v>
      </c>
      <c r="K661">
        <v>0.2576</v>
      </c>
      <c r="L661">
        <v>0.65</v>
      </c>
      <c r="M661">
        <v>0.19400000000000001</v>
      </c>
      <c r="N661">
        <v>9</v>
      </c>
      <c r="O661">
        <v>46</v>
      </c>
      <c r="P661">
        <v>55</v>
      </c>
      <c r="Q661" t="str">
        <f t="shared" si="90"/>
        <v>Weekend</v>
      </c>
      <c r="R661" t="str">
        <f t="shared" si="91"/>
        <v>Clear</v>
      </c>
      <c r="S661" t="str">
        <f t="shared" si="92"/>
        <v>Evening</v>
      </c>
      <c r="T661" t="str">
        <f t="shared" si="93"/>
        <v>January</v>
      </c>
      <c r="U661" t="str">
        <f t="shared" si="94"/>
        <v>Spring</v>
      </c>
      <c r="V661">
        <f t="shared" si="95"/>
        <v>0.22929155386993369</v>
      </c>
      <c r="W661">
        <f t="shared" si="96"/>
        <v>-0.25435329828790432</v>
      </c>
      <c r="X661">
        <f t="shared" si="97"/>
        <v>0.10399668008577614</v>
      </c>
      <c r="Y661">
        <f t="shared" si="98"/>
        <v>0.36604748519325236</v>
      </c>
    </row>
    <row r="662" spans="1:25" x14ac:dyDescent="0.3">
      <c r="A662">
        <v>661</v>
      </c>
      <c r="B662" s="1">
        <v>40573</v>
      </c>
      <c r="C662">
        <v>1</v>
      </c>
      <c r="D662">
        <v>0</v>
      </c>
      <c r="E662">
        <v>1</v>
      </c>
      <c r="F662">
        <v>20</v>
      </c>
      <c r="G662" t="b">
        <v>0</v>
      </c>
      <c r="H662">
        <v>0</v>
      </c>
      <c r="I662">
        <v>2</v>
      </c>
      <c r="J662">
        <v>0.26</v>
      </c>
      <c r="K662">
        <v>0.2727</v>
      </c>
      <c r="L662">
        <v>0.65</v>
      </c>
      <c r="M662">
        <v>0.1045</v>
      </c>
      <c r="N662">
        <v>3</v>
      </c>
      <c r="O662">
        <v>30</v>
      </c>
      <c r="P662">
        <v>33</v>
      </c>
      <c r="Q662" t="str">
        <f t="shared" si="90"/>
        <v>Weekend</v>
      </c>
      <c r="R662" t="str">
        <f t="shared" si="91"/>
        <v>Mist/Cloudy</v>
      </c>
      <c r="S662" t="str">
        <f t="shared" si="92"/>
        <v>Evening</v>
      </c>
      <c r="T662" t="str">
        <f t="shared" si="93"/>
        <v>January</v>
      </c>
      <c r="U662" t="str">
        <f t="shared" si="94"/>
        <v>Spring</v>
      </c>
      <c r="V662">
        <f t="shared" si="95"/>
        <v>0.22929155386993369</v>
      </c>
      <c r="W662">
        <f t="shared" si="96"/>
        <v>-0.25435329828790432</v>
      </c>
      <c r="X662">
        <f t="shared" si="97"/>
        <v>0.10399668008577614</v>
      </c>
      <c r="Y662">
        <f t="shared" si="98"/>
        <v>0.36604748519325236</v>
      </c>
    </row>
    <row r="663" spans="1:25" x14ac:dyDescent="0.3">
      <c r="A663">
        <v>662</v>
      </c>
      <c r="B663" s="1">
        <v>40573</v>
      </c>
      <c r="C663">
        <v>1</v>
      </c>
      <c r="D663">
        <v>0</v>
      </c>
      <c r="E663">
        <v>1</v>
      </c>
      <c r="F663">
        <v>21</v>
      </c>
      <c r="G663" t="b">
        <v>0</v>
      </c>
      <c r="H663">
        <v>0</v>
      </c>
      <c r="I663">
        <v>2</v>
      </c>
      <c r="J663">
        <v>0.24</v>
      </c>
      <c r="K663">
        <v>0.2424</v>
      </c>
      <c r="L663">
        <v>0.7</v>
      </c>
      <c r="M663">
        <v>0.16420000000000001</v>
      </c>
      <c r="N663">
        <v>3</v>
      </c>
      <c r="O663">
        <v>25</v>
      </c>
      <c r="P663">
        <v>28</v>
      </c>
      <c r="Q663" t="str">
        <f t="shared" si="90"/>
        <v>Weekend</v>
      </c>
      <c r="R663" t="str">
        <f t="shared" si="91"/>
        <v>Mist/Cloudy</v>
      </c>
      <c r="S663" t="str">
        <f t="shared" si="92"/>
        <v>Night</v>
      </c>
      <c r="T663" t="str">
        <f t="shared" si="93"/>
        <v>January</v>
      </c>
      <c r="U663" t="str">
        <f t="shared" si="94"/>
        <v>Spring</v>
      </c>
      <c r="V663">
        <f t="shared" si="95"/>
        <v>0.22929155386993369</v>
      </c>
      <c r="W663">
        <f t="shared" si="96"/>
        <v>-0.25435329828790432</v>
      </c>
      <c r="X663">
        <f t="shared" si="97"/>
        <v>0.10399668008577614</v>
      </c>
      <c r="Y663">
        <f t="shared" si="98"/>
        <v>0.36604748519325236</v>
      </c>
    </row>
    <row r="664" spans="1:25" x14ac:dyDescent="0.3">
      <c r="A664">
        <v>663</v>
      </c>
      <c r="B664" s="1">
        <v>40573</v>
      </c>
      <c r="C664">
        <v>1</v>
      </c>
      <c r="D664">
        <v>0</v>
      </c>
      <c r="E664">
        <v>1</v>
      </c>
      <c r="F664">
        <v>22</v>
      </c>
      <c r="G664" t="b">
        <v>0</v>
      </c>
      <c r="H664">
        <v>0</v>
      </c>
      <c r="I664">
        <v>2</v>
      </c>
      <c r="J664">
        <v>0.24</v>
      </c>
      <c r="K664">
        <v>0.2273</v>
      </c>
      <c r="L664">
        <v>0.7</v>
      </c>
      <c r="M664">
        <v>0.19400000000000001</v>
      </c>
      <c r="N664">
        <v>2</v>
      </c>
      <c r="O664">
        <v>19</v>
      </c>
      <c r="P664">
        <v>21</v>
      </c>
      <c r="Q664" t="str">
        <f t="shared" si="90"/>
        <v>Weekend</v>
      </c>
      <c r="R664" t="str">
        <f t="shared" si="91"/>
        <v>Mist/Cloudy</v>
      </c>
      <c r="S664" t="str">
        <f t="shared" si="92"/>
        <v>Night</v>
      </c>
      <c r="T664" t="str">
        <f t="shared" si="93"/>
        <v>January</v>
      </c>
      <c r="U664" t="str">
        <f t="shared" si="94"/>
        <v>Spring</v>
      </c>
      <c r="V664">
        <f t="shared" si="95"/>
        <v>0.22929155386993369</v>
      </c>
      <c r="W664">
        <f t="shared" si="96"/>
        <v>-0.25435329828790432</v>
      </c>
      <c r="X664">
        <f t="shared" si="97"/>
        <v>0.10399668008577614</v>
      </c>
      <c r="Y664">
        <f t="shared" si="98"/>
        <v>0.36604748519325236</v>
      </c>
    </row>
    <row r="665" spans="1:25" x14ac:dyDescent="0.3">
      <c r="A665">
        <v>664</v>
      </c>
      <c r="B665" s="1">
        <v>40573</v>
      </c>
      <c r="C665">
        <v>1</v>
      </c>
      <c r="D665">
        <v>0</v>
      </c>
      <c r="E665">
        <v>1</v>
      </c>
      <c r="F665">
        <v>23</v>
      </c>
      <c r="G665" t="b">
        <v>0</v>
      </c>
      <c r="H665">
        <v>0</v>
      </c>
      <c r="I665">
        <v>2</v>
      </c>
      <c r="J665">
        <v>0.24</v>
      </c>
      <c r="K665">
        <v>0.21210000000000001</v>
      </c>
      <c r="L665">
        <v>0.65</v>
      </c>
      <c r="M665">
        <v>0.28360000000000002</v>
      </c>
      <c r="N665">
        <v>5</v>
      </c>
      <c r="O665">
        <v>16</v>
      </c>
      <c r="P665">
        <v>21</v>
      </c>
      <c r="Q665" t="str">
        <f t="shared" si="90"/>
        <v>Weekend</v>
      </c>
      <c r="R665" t="str">
        <f t="shared" si="91"/>
        <v>Mist/Cloudy</v>
      </c>
      <c r="S665" t="str">
        <f t="shared" si="92"/>
        <v>Night</v>
      </c>
      <c r="T665" t="str">
        <f t="shared" si="93"/>
        <v>January</v>
      </c>
      <c r="U665" t="str">
        <f t="shared" si="94"/>
        <v>Spring</v>
      </c>
      <c r="V665">
        <f t="shared" si="95"/>
        <v>0.22929155386993369</v>
      </c>
      <c r="W665">
        <f t="shared" si="96"/>
        <v>-0.25435329828790432</v>
      </c>
      <c r="X665">
        <f t="shared" si="97"/>
        <v>0.10399668008577614</v>
      </c>
      <c r="Y665">
        <f t="shared" si="98"/>
        <v>0.36604748519325236</v>
      </c>
    </row>
    <row r="666" spans="1:25" x14ac:dyDescent="0.3">
      <c r="A666">
        <v>665</v>
      </c>
      <c r="B666" s="1">
        <v>40574</v>
      </c>
      <c r="C666">
        <v>1</v>
      </c>
      <c r="D666">
        <v>0</v>
      </c>
      <c r="E666">
        <v>1</v>
      </c>
      <c r="F666">
        <v>0</v>
      </c>
      <c r="G666" t="b">
        <v>0</v>
      </c>
      <c r="H666">
        <v>1</v>
      </c>
      <c r="I666">
        <v>2</v>
      </c>
      <c r="J666">
        <v>0.24</v>
      </c>
      <c r="K666">
        <v>0.2273</v>
      </c>
      <c r="L666">
        <v>0.65</v>
      </c>
      <c r="M666">
        <v>0.22389999999999999</v>
      </c>
      <c r="N666">
        <v>1</v>
      </c>
      <c r="O666">
        <v>6</v>
      </c>
      <c r="P666">
        <v>7</v>
      </c>
      <c r="Q666" t="str">
        <f t="shared" si="90"/>
        <v>Weekday</v>
      </c>
      <c r="R666" t="str">
        <f t="shared" si="91"/>
        <v>Mist/Cloudy</v>
      </c>
      <c r="S666" t="str">
        <f t="shared" si="92"/>
        <v>Night</v>
      </c>
      <c r="T666" t="str">
        <f t="shared" si="93"/>
        <v>January</v>
      </c>
      <c r="U666" t="str">
        <f t="shared" si="94"/>
        <v>Spring</v>
      </c>
      <c r="V666">
        <f t="shared" si="95"/>
        <v>0.22929155386993369</v>
      </c>
      <c r="W666">
        <f t="shared" si="96"/>
        <v>-0.25435329828790432</v>
      </c>
      <c r="X666">
        <f t="shared" si="97"/>
        <v>0.10399668008577614</v>
      </c>
      <c r="Y666">
        <f t="shared" si="98"/>
        <v>0.36604748519325236</v>
      </c>
    </row>
    <row r="667" spans="1:25" x14ac:dyDescent="0.3">
      <c r="A667">
        <v>666</v>
      </c>
      <c r="B667" s="1">
        <v>40574</v>
      </c>
      <c r="C667">
        <v>1</v>
      </c>
      <c r="D667">
        <v>0</v>
      </c>
      <c r="E667">
        <v>1</v>
      </c>
      <c r="F667">
        <v>1</v>
      </c>
      <c r="G667" t="b">
        <v>0</v>
      </c>
      <c r="H667">
        <v>1</v>
      </c>
      <c r="I667">
        <v>1</v>
      </c>
      <c r="J667">
        <v>0.22</v>
      </c>
      <c r="K667">
        <v>0.21210000000000001</v>
      </c>
      <c r="L667">
        <v>0.64</v>
      </c>
      <c r="M667">
        <v>0.25369999999999998</v>
      </c>
      <c r="N667">
        <v>2</v>
      </c>
      <c r="O667">
        <v>5</v>
      </c>
      <c r="P667">
        <v>7</v>
      </c>
      <c r="Q667" t="str">
        <f t="shared" si="90"/>
        <v>Weekday</v>
      </c>
      <c r="R667" t="str">
        <f t="shared" si="91"/>
        <v>Clear</v>
      </c>
      <c r="S667" t="str">
        <f t="shared" si="92"/>
        <v>Night</v>
      </c>
      <c r="T667" t="str">
        <f t="shared" si="93"/>
        <v>January</v>
      </c>
      <c r="U667" t="str">
        <f t="shared" si="94"/>
        <v>Spring</v>
      </c>
      <c r="V667">
        <f t="shared" si="95"/>
        <v>0.22929155386993369</v>
      </c>
      <c r="W667">
        <f t="shared" si="96"/>
        <v>-0.25435329828790432</v>
      </c>
      <c r="X667">
        <f t="shared" si="97"/>
        <v>0.10399668008577614</v>
      </c>
      <c r="Y667">
        <f t="shared" si="98"/>
        <v>0.36604748519325236</v>
      </c>
    </row>
    <row r="668" spans="1:25" x14ac:dyDescent="0.3">
      <c r="A668">
        <v>667</v>
      </c>
      <c r="B668" s="1">
        <v>40574</v>
      </c>
      <c r="C668">
        <v>1</v>
      </c>
      <c r="D668">
        <v>0</v>
      </c>
      <c r="E668">
        <v>1</v>
      </c>
      <c r="F668">
        <v>2</v>
      </c>
      <c r="G668" t="b">
        <v>0</v>
      </c>
      <c r="H668">
        <v>1</v>
      </c>
      <c r="I668">
        <v>1</v>
      </c>
      <c r="J668">
        <v>0.22</v>
      </c>
      <c r="K668">
        <v>0.2273</v>
      </c>
      <c r="L668">
        <v>0.64</v>
      </c>
      <c r="M668">
        <v>0.19400000000000001</v>
      </c>
      <c r="N668">
        <v>0</v>
      </c>
      <c r="O668">
        <v>1</v>
      </c>
      <c r="P668">
        <v>1</v>
      </c>
      <c r="Q668" t="str">
        <f t="shared" si="90"/>
        <v>Weekday</v>
      </c>
      <c r="R668" t="str">
        <f t="shared" si="91"/>
        <v>Clear</v>
      </c>
      <c r="S668" t="str">
        <f t="shared" si="92"/>
        <v>Night</v>
      </c>
      <c r="T668" t="str">
        <f t="shared" si="93"/>
        <v>January</v>
      </c>
      <c r="U668" t="str">
        <f t="shared" si="94"/>
        <v>Spring</v>
      </c>
      <c r="V668">
        <f t="shared" si="95"/>
        <v>0.22929155386993369</v>
      </c>
      <c r="W668">
        <f t="shared" si="96"/>
        <v>-0.25435329828790432</v>
      </c>
      <c r="X668">
        <f t="shared" si="97"/>
        <v>0.10399668008577614</v>
      </c>
      <c r="Y668">
        <f t="shared" si="98"/>
        <v>0.36604748519325236</v>
      </c>
    </row>
    <row r="669" spans="1:25" x14ac:dyDescent="0.3">
      <c r="A669">
        <v>668</v>
      </c>
      <c r="B669" s="1">
        <v>40574</v>
      </c>
      <c r="C669">
        <v>1</v>
      </c>
      <c r="D669">
        <v>0</v>
      </c>
      <c r="E669">
        <v>1</v>
      </c>
      <c r="F669">
        <v>3</v>
      </c>
      <c r="G669" t="b">
        <v>0</v>
      </c>
      <c r="H669">
        <v>1</v>
      </c>
      <c r="I669">
        <v>1</v>
      </c>
      <c r="J669">
        <v>0.22</v>
      </c>
      <c r="K669">
        <v>0.2273</v>
      </c>
      <c r="L669">
        <v>0.64</v>
      </c>
      <c r="M669">
        <v>0.19400000000000001</v>
      </c>
      <c r="N669">
        <v>0</v>
      </c>
      <c r="O669">
        <v>2</v>
      </c>
      <c r="P669">
        <v>2</v>
      </c>
      <c r="Q669" t="str">
        <f t="shared" si="90"/>
        <v>Weekday</v>
      </c>
      <c r="R669" t="str">
        <f t="shared" si="91"/>
        <v>Clear</v>
      </c>
      <c r="S669" t="str">
        <f t="shared" si="92"/>
        <v>Night</v>
      </c>
      <c r="T669" t="str">
        <f t="shared" si="93"/>
        <v>January</v>
      </c>
      <c r="U669" t="str">
        <f t="shared" si="94"/>
        <v>Spring</v>
      </c>
      <c r="V669">
        <f t="shared" si="95"/>
        <v>0.22929155386993369</v>
      </c>
      <c r="W669">
        <f t="shared" si="96"/>
        <v>-0.25435329828790432</v>
      </c>
      <c r="X669">
        <f t="shared" si="97"/>
        <v>0.10399668008577614</v>
      </c>
      <c r="Y669">
        <f t="shared" si="98"/>
        <v>0.36604748519325236</v>
      </c>
    </row>
    <row r="670" spans="1:25" x14ac:dyDescent="0.3">
      <c r="A670">
        <v>669</v>
      </c>
      <c r="B670" s="1">
        <v>40574</v>
      </c>
      <c r="C670">
        <v>1</v>
      </c>
      <c r="D670">
        <v>0</v>
      </c>
      <c r="E670">
        <v>1</v>
      </c>
      <c r="F670">
        <v>4</v>
      </c>
      <c r="G670" t="b">
        <v>0</v>
      </c>
      <c r="H670">
        <v>1</v>
      </c>
      <c r="I670">
        <v>1</v>
      </c>
      <c r="J670">
        <v>0.2</v>
      </c>
      <c r="K670">
        <v>0.19700000000000001</v>
      </c>
      <c r="L670">
        <v>0.59</v>
      </c>
      <c r="M670">
        <v>0.22389999999999999</v>
      </c>
      <c r="N670">
        <v>0</v>
      </c>
      <c r="O670">
        <v>2</v>
      </c>
      <c r="P670">
        <v>2</v>
      </c>
      <c r="Q670" t="str">
        <f t="shared" si="90"/>
        <v>Weekday</v>
      </c>
      <c r="R670" t="str">
        <f t="shared" si="91"/>
        <v>Clear</v>
      </c>
      <c r="S670" t="str">
        <f t="shared" si="92"/>
        <v>Night</v>
      </c>
      <c r="T670" t="str">
        <f t="shared" si="93"/>
        <v>January</v>
      </c>
      <c r="U670" t="str">
        <f t="shared" si="94"/>
        <v>Spring</v>
      </c>
      <c r="V670">
        <f t="shared" si="95"/>
        <v>0.22929155386993369</v>
      </c>
      <c r="W670">
        <f t="shared" si="96"/>
        <v>-0.25435329828790432</v>
      </c>
      <c r="X670">
        <f t="shared" si="97"/>
        <v>0.10399668008577614</v>
      </c>
      <c r="Y670">
        <f t="shared" si="98"/>
        <v>0.36604748519325236</v>
      </c>
    </row>
    <row r="671" spans="1:25" x14ac:dyDescent="0.3">
      <c r="A671">
        <v>670</v>
      </c>
      <c r="B671" s="1">
        <v>40574</v>
      </c>
      <c r="C671">
        <v>1</v>
      </c>
      <c r="D671">
        <v>0</v>
      </c>
      <c r="E671">
        <v>1</v>
      </c>
      <c r="F671">
        <v>5</v>
      </c>
      <c r="G671" t="b">
        <v>0</v>
      </c>
      <c r="H671">
        <v>1</v>
      </c>
      <c r="I671">
        <v>1</v>
      </c>
      <c r="J671">
        <v>0.18</v>
      </c>
      <c r="K671">
        <v>0.16669999999999999</v>
      </c>
      <c r="L671">
        <v>0.64</v>
      </c>
      <c r="M671">
        <v>0.28360000000000002</v>
      </c>
      <c r="N671">
        <v>0</v>
      </c>
      <c r="O671">
        <v>8</v>
      </c>
      <c r="P671">
        <v>8</v>
      </c>
      <c r="Q671" t="str">
        <f t="shared" si="90"/>
        <v>Weekday</v>
      </c>
      <c r="R671" t="str">
        <f t="shared" si="91"/>
        <v>Clear</v>
      </c>
      <c r="S671" t="str">
        <f t="shared" si="92"/>
        <v>Night</v>
      </c>
      <c r="T671" t="str">
        <f t="shared" si="93"/>
        <v>January</v>
      </c>
      <c r="U671" t="str">
        <f t="shared" si="94"/>
        <v>Spring</v>
      </c>
      <c r="V671">
        <f t="shared" si="95"/>
        <v>0.22929155386993369</v>
      </c>
      <c r="W671">
        <f t="shared" si="96"/>
        <v>-0.25435329828790432</v>
      </c>
      <c r="X671">
        <f t="shared" si="97"/>
        <v>0.10399668008577614</v>
      </c>
      <c r="Y671">
        <f t="shared" si="98"/>
        <v>0.36604748519325236</v>
      </c>
    </row>
    <row r="672" spans="1:25" x14ac:dyDescent="0.3">
      <c r="A672">
        <v>671</v>
      </c>
      <c r="B672" s="1">
        <v>40574</v>
      </c>
      <c r="C672">
        <v>1</v>
      </c>
      <c r="D672">
        <v>0</v>
      </c>
      <c r="E672">
        <v>1</v>
      </c>
      <c r="F672">
        <v>6</v>
      </c>
      <c r="G672" t="b">
        <v>0</v>
      </c>
      <c r="H672">
        <v>1</v>
      </c>
      <c r="I672">
        <v>1</v>
      </c>
      <c r="J672">
        <v>0.16</v>
      </c>
      <c r="K672">
        <v>0.13639999999999999</v>
      </c>
      <c r="L672">
        <v>0.69</v>
      </c>
      <c r="M672">
        <v>0.32840000000000003</v>
      </c>
      <c r="N672">
        <v>0</v>
      </c>
      <c r="O672">
        <v>37</v>
      </c>
      <c r="P672">
        <v>37</v>
      </c>
      <c r="Q672" t="str">
        <f t="shared" si="90"/>
        <v>Weekday</v>
      </c>
      <c r="R672" t="str">
        <f t="shared" si="91"/>
        <v>Clear</v>
      </c>
      <c r="S672" t="str">
        <f t="shared" si="92"/>
        <v>Morning</v>
      </c>
      <c r="T672" t="str">
        <f t="shared" si="93"/>
        <v>January</v>
      </c>
      <c r="U672" t="str">
        <f t="shared" si="94"/>
        <v>Spring</v>
      </c>
      <c r="V672">
        <f t="shared" si="95"/>
        <v>0.22929155386993369</v>
      </c>
      <c r="W672">
        <f t="shared" si="96"/>
        <v>-0.25435329828790432</v>
      </c>
      <c r="X672">
        <f t="shared" si="97"/>
        <v>0.10399668008577614</v>
      </c>
      <c r="Y672">
        <f t="shared" si="98"/>
        <v>0.36604748519325236</v>
      </c>
    </row>
    <row r="673" spans="1:25" x14ac:dyDescent="0.3">
      <c r="A673">
        <v>672</v>
      </c>
      <c r="B673" s="1">
        <v>40574</v>
      </c>
      <c r="C673">
        <v>1</v>
      </c>
      <c r="D673">
        <v>0</v>
      </c>
      <c r="E673">
        <v>1</v>
      </c>
      <c r="F673">
        <v>7</v>
      </c>
      <c r="G673" t="b">
        <v>0</v>
      </c>
      <c r="H673">
        <v>1</v>
      </c>
      <c r="I673">
        <v>2</v>
      </c>
      <c r="J673">
        <v>0.16</v>
      </c>
      <c r="K673">
        <v>0.13639999999999999</v>
      </c>
      <c r="L673">
        <v>0.64</v>
      </c>
      <c r="M673">
        <v>0.28360000000000002</v>
      </c>
      <c r="N673">
        <v>1</v>
      </c>
      <c r="O673">
        <v>71</v>
      </c>
      <c r="P673">
        <v>72</v>
      </c>
      <c r="Q673" t="str">
        <f t="shared" si="90"/>
        <v>Weekday</v>
      </c>
      <c r="R673" t="str">
        <f t="shared" si="91"/>
        <v>Mist/Cloudy</v>
      </c>
      <c r="S673" t="str">
        <f t="shared" si="92"/>
        <v>Morning</v>
      </c>
      <c r="T673" t="str">
        <f t="shared" si="93"/>
        <v>January</v>
      </c>
      <c r="U673" t="str">
        <f t="shared" si="94"/>
        <v>Spring</v>
      </c>
      <c r="V673">
        <f t="shared" si="95"/>
        <v>0.22929155386993369</v>
      </c>
      <c r="W673">
        <f t="shared" si="96"/>
        <v>-0.25435329828790432</v>
      </c>
      <c r="X673">
        <f t="shared" si="97"/>
        <v>0.10399668008577614</v>
      </c>
      <c r="Y673">
        <f t="shared" si="98"/>
        <v>0.36604748519325236</v>
      </c>
    </row>
    <row r="674" spans="1:25" x14ac:dyDescent="0.3">
      <c r="A674">
        <v>673</v>
      </c>
      <c r="B674" s="1">
        <v>40574</v>
      </c>
      <c r="C674">
        <v>1</v>
      </c>
      <c r="D674">
        <v>0</v>
      </c>
      <c r="E674">
        <v>1</v>
      </c>
      <c r="F674">
        <v>8</v>
      </c>
      <c r="G674" t="b">
        <v>0</v>
      </c>
      <c r="H674">
        <v>1</v>
      </c>
      <c r="I674">
        <v>2</v>
      </c>
      <c r="J674">
        <v>0.16</v>
      </c>
      <c r="K674">
        <v>0.13639999999999999</v>
      </c>
      <c r="L674">
        <v>0.59</v>
      </c>
      <c r="M674">
        <v>0.28360000000000002</v>
      </c>
      <c r="N674">
        <v>3</v>
      </c>
      <c r="O674">
        <v>182</v>
      </c>
      <c r="P674">
        <v>185</v>
      </c>
      <c r="Q674" t="str">
        <f t="shared" si="90"/>
        <v>Weekday</v>
      </c>
      <c r="R674" t="str">
        <f t="shared" si="91"/>
        <v>Mist/Cloudy</v>
      </c>
      <c r="S674" t="str">
        <f t="shared" si="92"/>
        <v>Morning</v>
      </c>
      <c r="T674" t="str">
        <f t="shared" si="93"/>
        <v>January</v>
      </c>
      <c r="U674" t="str">
        <f t="shared" si="94"/>
        <v>Spring</v>
      </c>
      <c r="V674">
        <f t="shared" si="95"/>
        <v>0.22929155386993369</v>
      </c>
      <c r="W674">
        <f t="shared" si="96"/>
        <v>-0.25435329828790432</v>
      </c>
      <c r="X674">
        <f t="shared" si="97"/>
        <v>0.10399668008577614</v>
      </c>
      <c r="Y674">
        <f t="shared" si="98"/>
        <v>0.36604748519325236</v>
      </c>
    </row>
    <row r="675" spans="1:25" x14ac:dyDescent="0.3">
      <c r="A675">
        <v>674</v>
      </c>
      <c r="B675" s="1">
        <v>40574</v>
      </c>
      <c r="C675">
        <v>1</v>
      </c>
      <c r="D675">
        <v>0</v>
      </c>
      <c r="E675">
        <v>1</v>
      </c>
      <c r="F675">
        <v>9</v>
      </c>
      <c r="G675" t="b">
        <v>0</v>
      </c>
      <c r="H675">
        <v>1</v>
      </c>
      <c r="I675">
        <v>2</v>
      </c>
      <c r="J675">
        <v>0.16</v>
      </c>
      <c r="K675">
        <v>0.13639999999999999</v>
      </c>
      <c r="L675">
        <v>0.59</v>
      </c>
      <c r="M675">
        <v>0.29849999999999999</v>
      </c>
      <c r="N675">
        <v>0</v>
      </c>
      <c r="O675">
        <v>112</v>
      </c>
      <c r="P675">
        <v>112</v>
      </c>
      <c r="Q675" t="str">
        <f t="shared" si="90"/>
        <v>Weekday</v>
      </c>
      <c r="R675" t="str">
        <f t="shared" si="91"/>
        <v>Mist/Cloudy</v>
      </c>
      <c r="S675" t="str">
        <f t="shared" si="92"/>
        <v>Morning</v>
      </c>
      <c r="T675" t="str">
        <f t="shared" si="93"/>
        <v>January</v>
      </c>
      <c r="U675" t="str">
        <f t="shared" si="94"/>
        <v>Spring</v>
      </c>
      <c r="V675">
        <f t="shared" si="95"/>
        <v>0.22929155386993369</v>
      </c>
      <c r="W675">
        <f t="shared" si="96"/>
        <v>-0.25435329828790432</v>
      </c>
      <c r="X675">
        <f t="shared" si="97"/>
        <v>0.10399668008577614</v>
      </c>
      <c r="Y675">
        <f t="shared" si="98"/>
        <v>0.36604748519325236</v>
      </c>
    </row>
    <row r="676" spans="1:25" x14ac:dyDescent="0.3">
      <c r="A676">
        <v>675</v>
      </c>
      <c r="B676" s="1">
        <v>40574</v>
      </c>
      <c r="C676">
        <v>1</v>
      </c>
      <c r="D676">
        <v>0</v>
      </c>
      <c r="E676">
        <v>1</v>
      </c>
      <c r="F676">
        <v>10</v>
      </c>
      <c r="G676" t="b">
        <v>0</v>
      </c>
      <c r="H676">
        <v>1</v>
      </c>
      <c r="I676">
        <v>2</v>
      </c>
      <c r="J676">
        <v>0.16</v>
      </c>
      <c r="K676">
        <v>0.1515</v>
      </c>
      <c r="L676">
        <v>0.59</v>
      </c>
      <c r="M676">
        <v>0.19400000000000001</v>
      </c>
      <c r="N676">
        <v>1</v>
      </c>
      <c r="O676">
        <v>68</v>
      </c>
      <c r="P676">
        <v>69</v>
      </c>
      <c r="Q676" t="str">
        <f t="shared" si="90"/>
        <v>Weekday</v>
      </c>
      <c r="R676" t="str">
        <f t="shared" si="91"/>
        <v>Mist/Cloudy</v>
      </c>
      <c r="S676" t="str">
        <f t="shared" si="92"/>
        <v>Morning</v>
      </c>
      <c r="T676" t="str">
        <f t="shared" si="93"/>
        <v>January</v>
      </c>
      <c r="U676" t="str">
        <f t="shared" si="94"/>
        <v>Spring</v>
      </c>
      <c r="V676">
        <f t="shared" si="95"/>
        <v>0.22929155386993369</v>
      </c>
      <c r="W676">
        <f t="shared" si="96"/>
        <v>-0.25435329828790432</v>
      </c>
      <c r="X676">
        <f t="shared" si="97"/>
        <v>0.10399668008577614</v>
      </c>
      <c r="Y676">
        <f t="shared" si="98"/>
        <v>0.36604748519325236</v>
      </c>
    </row>
    <row r="677" spans="1:25" x14ac:dyDescent="0.3">
      <c r="A677">
        <v>676</v>
      </c>
      <c r="B677" s="1">
        <v>40574</v>
      </c>
      <c r="C677">
        <v>1</v>
      </c>
      <c r="D677">
        <v>0</v>
      </c>
      <c r="E677">
        <v>1</v>
      </c>
      <c r="F677">
        <v>11</v>
      </c>
      <c r="G677" t="b">
        <v>0</v>
      </c>
      <c r="H677">
        <v>1</v>
      </c>
      <c r="I677">
        <v>2</v>
      </c>
      <c r="J677">
        <v>0.16</v>
      </c>
      <c r="K677">
        <v>0.1515</v>
      </c>
      <c r="L677">
        <v>0.59</v>
      </c>
      <c r="M677">
        <v>0.19400000000000001</v>
      </c>
      <c r="N677">
        <v>2</v>
      </c>
      <c r="O677">
        <v>46</v>
      </c>
      <c r="P677">
        <v>48</v>
      </c>
      <c r="Q677" t="str">
        <f t="shared" si="90"/>
        <v>Weekday</v>
      </c>
      <c r="R677" t="str">
        <f t="shared" si="91"/>
        <v>Mist/Cloudy</v>
      </c>
      <c r="S677" t="str">
        <f t="shared" si="92"/>
        <v>Morning</v>
      </c>
      <c r="T677" t="str">
        <f t="shared" si="93"/>
        <v>January</v>
      </c>
      <c r="U677" t="str">
        <f t="shared" si="94"/>
        <v>Spring</v>
      </c>
      <c r="V677">
        <f t="shared" si="95"/>
        <v>0.22929155386993369</v>
      </c>
      <c r="W677">
        <f t="shared" si="96"/>
        <v>-0.25435329828790432</v>
      </c>
      <c r="X677">
        <f t="shared" si="97"/>
        <v>0.10399668008577614</v>
      </c>
      <c r="Y677">
        <f t="shared" si="98"/>
        <v>0.36604748519325236</v>
      </c>
    </row>
    <row r="678" spans="1:25" x14ac:dyDescent="0.3">
      <c r="A678">
        <v>677</v>
      </c>
      <c r="B678" s="1">
        <v>40574</v>
      </c>
      <c r="C678">
        <v>1</v>
      </c>
      <c r="D678">
        <v>0</v>
      </c>
      <c r="E678">
        <v>1</v>
      </c>
      <c r="F678">
        <v>12</v>
      </c>
      <c r="G678" t="b">
        <v>0</v>
      </c>
      <c r="H678">
        <v>1</v>
      </c>
      <c r="I678">
        <v>2</v>
      </c>
      <c r="J678">
        <v>0.18</v>
      </c>
      <c r="K678">
        <v>0.21210000000000001</v>
      </c>
      <c r="L678">
        <v>0.55000000000000004</v>
      </c>
      <c r="M678">
        <v>0.1045</v>
      </c>
      <c r="N678">
        <v>6</v>
      </c>
      <c r="O678">
        <v>62</v>
      </c>
      <c r="P678">
        <v>68</v>
      </c>
      <c r="Q678" t="str">
        <f t="shared" si="90"/>
        <v>Weekday</v>
      </c>
      <c r="R678" t="str">
        <f t="shared" si="91"/>
        <v>Mist/Cloudy</v>
      </c>
      <c r="S678" t="str">
        <f t="shared" si="92"/>
        <v>Afternoon</v>
      </c>
      <c r="T678" t="str">
        <f t="shared" si="93"/>
        <v>January</v>
      </c>
      <c r="U678" t="str">
        <f t="shared" si="94"/>
        <v>Spring</v>
      </c>
      <c r="V678">
        <f t="shared" si="95"/>
        <v>0.22929155386993369</v>
      </c>
      <c r="W678">
        <f t="shared" si="96"/>
        <v>-0.25435329828790432</v>
      </c>
      <c r="X678">
        <f t="shared" si="97"/>
        <v>0.10399668008577614</v>
      </c>
      <c r="Y678">
        <f t="shared" si="98"/>
        <v>0.36604748519325236</v>
      </c>
    </row>
    <row r="679" spans="1:25" x14ac:dyDescent="0.3">
      <c r="A679">
        <v>678</v>
      </c>
      <c r="B679" s="1">
        <v>40574</v>
      </c>
      <c r="C679">
        <v>1</v>
      </c>
      <c r="D679">
        <v>0</v>
      </c>
      <c r="E679">
        <v>1</v>
      </c>
      <c r="F679">
        <v>13</v>
      </c>
      <c r="G679" t="b">
        <v>0</v>
      </c>
      <c r="H679">
        <v>1</v>
      </c>
      <c r="I679">
        <v>2</v>
      </c>
      <c r="J679">
        <v>0.16</v>
      </c>
      <c r="K679">
        <v>0.2273</v>
      </c>
      <c r="L679">
        <v>0.59</v>
      </c>
      <c r="M679">
        <v>0</v>
      </c>
      <c r="N679">
        <v>2</v>
      </c>
      <c r="O679">
        <v>52</v>
      </c>
      <c r="P679">
        <v>54</v>
      </c>
      <c r="Q679" t="str">
        <f t="shared" si="90"/>
        <v>Weekday</v>
      </c>
      <c r="R679" t="str">
        <f t="shared" si="91"/>
        <v>Mist/Cloudy</v>
      </c>
      <c r="S679" t="str">
        <f t="shared" si="92"/>
        <v>Afternoon</v>
      </c>
      <c r="T679" t="str">
        <f t="shared" si="93"/>
        <v>January</v>
      </c>
      <c r="U679" t="str">
        <f t="shared" si="94"/>
        <v>Spring</v>
      </c>
      <c r="V679">
        <f t="shared" si="95"/>
        <v>0.22929155386993369</v>
      </c>
      <c r="W679">
        <f t="shared" si="96"/>
        <v>-0.25435329828790432</v>
      </c>
      <c r="X679">
        <f t="shared" si="97"/>
        <v>0.10399668008577614</v>
      </c>
      <c r="Y679">
        <f t="shared" si="98"/>
        <v>0.36604748519325236</v>
      </c>
    </row>
    <row r="680" spans="1:25" x14ac:dyDescent="0.3">
      <c r="A680">
        <v>679</v>
      </c>
      <c r="B680" s="1">
        <v>40574</v>
      </c>
      <c r="C680">
        <v>1</v>
      </c>
      <c r="D680">
        <v>0</v>
      </c>
      <c r="E680">
        <v>1</v>
      </c>
      <c r="F680">
        <v>14</v>
      </c>
      <c r="G680" t="b">
        <v>0</v>
      </c>
      <c r="H680">
        <v>1</v>
      </c>
      <c r="I680">
        <v>2</v>
      </c>
      <c r="J680">
        <v>0.18</v>
      </c>
      <c r="K680">
        <v>0.19700000000000001</v>
      </c>
      <c r="L680">
        <v>0.55000000000000004</v>
      </c>
      <c r="M680">
        <v>0.1343</v>
      </c>
      <c r="N680">
        <v>1</v>
      </c>
      <c r="O680">
        <v>85</v>
      </c>
      <c r="P680">
        <v>86</v>
      </c>
      <c r="Q680" t="str">
        <f t="shared" si="90"/>
        <v>Weekday</v>
      </c>
      <c r="R680" t="str">
        <f t="shared" si="91"/>
        <v>Mist/Cloudy</v>
      </c>
      <c r="S680" t="str">
        <f t="shared" si="92"/>
        <v>Afternoon</v>
      </c>
      <c r="T680" t="str">
        <f t="shared" si="93"/>
        <v>January</v>
      </c>
      <c r="U680" t="str">
        <f t="shared" si="94"/>
        <v>Spring</v>
      </c>
      <c r="V680">
        <f t="shared" si="95"/>
        <v>0.22929155386993369</v>
      </c>
      <c r="W680">
        <f t="shared" si="96"/>
        <v>-0.25435329828790432</v>
      </c>
      <c r="X680">
        <f t="shared" si="97"/>
        <v>0.10399668008577614</v>
      </c>
      <c r="Y680">
        <f t="shared" si="98"/>
        <v>0.36604748519325236</v>
      </c>
    </row>
    <row r="681" spans="1:25" x14ac:dyDescent="0.3">
      <c r="A681">
        <v>680</v>
      </c>
      <c r="B681" s="1">
        <v>40574</v>
      </c>
      <c r="C681">
        <v>1</v>
      </c>
      <c r="D681">
        <v>0</v>
      </c>
      <c r="E681">
        <v>1</v>
      </c>
      <c r="F681">
        <v>15</v>
      </c>
      <c r="G681" t="b">
        <v>0</v>
      </c>
      <c r="H681">
        <v>1</v>
      </c>
      <c r="I681">
        <v>2</v>
      </c>
      <c r="J681">
        <v>0.16</v>
      </c>
      <c r="K681">
        <v>0.18179999999999999</v>
      </c>
      <c r="L681">
        <v>0.59</v>
      </c>
      <c r="M681">
        <v>0.1343</v>
      </c>
      <c r="N681">
        <v>3</v>
      </c>
      <c r="O681">
        <v>41</v>
      </c>
      <c r="P681">
        <v>44</v>
      </c>
      <c r="Q681" t="str">
        <f t="shared" si="90"/>
        <v>Weekday</v>
      </c>
      <c r="R681" t="str">
        <f t="shared" si="91"/>
        <v>Mist/Cloudy</v>
      </c>
      <c r="S681" t="str">
        <f t="shared" si="92"/>
        <v>Afternoon</v>
      </c>
      <c r="T681" t="str">
        <f t="shared" si="93"/>
        <v>January</v>
      </c>
      <c r="U681" t="str">
        <f t="shared" si="94"/>
        <v>Spring</v>
      </c>
      <c r="V681">
        <f t="shared" si="95"/>
        <v>0.22929155386993369</v>
      </c>
      <c r="W681">
        <f t="shared" si="96"/>
        <v>-0.25435329828790432</v>
      </c>
      <c r="X681">
        <f t="shared" si="97"/>
        <v>0.10399668008577614</v>
      </c>
      <c r="Y681">
        <f t="shared" si="98"/>
        <v>0.36604748519325236</v>
      </c>
    </row>
    <row r="682" spans="1:25" x14ac:dyDescent="0.3">
      <c r="A682">
        <v>681</v>
      </c>
      <c r="B682" s="1">
        <v>40574</v>
      </c>
      <c r="C682">
        <v>1</v>
      </c>
      <c r="D682">
        <v>0</v>
      </c>
      <c r="E682">
        <v>1</v>
      </c>
      <c r="F682">
        <v>16</v>
      </c>
      <c r="G682" t="b">
        <v>0</v>
      </c>
      <c r="H682">
        <v>1</v>
      </c>
      <c r="I682">
        <v>2</v>
      </c>
      <c r="J682">
        <v>0.16</v>
      </c>
      <c r="K682">
        <v>0.18179999999999999</v>
      </c>
      <c r="L682">
        <v>0.56000000000000005</v>
      </c>
      <c r="M682">
        <v>0.19400000000000001</v>
      </c>
      <c r="N682">
        <v>3</v>
      </c>
      <c r="O682">
        <v>83</v>
      </c>
      <c r="P682">
        <v>86</v>
      </c>
      <c r="Q682" t="str">
        <f t="shared" si="90"/>
        <v>Weekday</v>
      </c>
      <c r="R682" t="str">
        <f t="shared" si="91"/>
        <v>Mist/Cloudy</v>
      </c>
      <c r="S682" t="str">
        <f t="shared" si="92"/>
        <v>Afternoon</v>
      </c>
      <c r="T682" t="str">
        <f t="shared" si="93"/>
        <v>January</v>
      </c>
      <c r="U682" t="str">
        <f t="shared" si="94"/>
        <v>Spring</v>
      </c>
      <c r="V682">
        <f t="shared" si="95"/>
        <v>0.22929155386993369</v>
      </c>
      <c r="W682">
        <f t="shared" si="96"/>
        <v>-0.25435329828790432</v>
      </c>
      <c r="X682">
        <f t="shared" si="97"/>
        <v>0.10399668008577614</v>
      </c>
      <c r="Y682">
        <f t="shared" si="98"/>
        <v>0.36604748519325236</v>
      </c>
    </row>
    <row r="683" spans="1:25" x14ac:dyDescent="0.3">
      <c r="A683">
        <v>682</v>
      </c>
      <c r="B683" s="1">
        <v>40574</v>
      </c>
      <c r="C683">
        <v>1</v>
      </c>
      <c r="D683">
        <v>0</v>
      </c>
      <c r="E683">
        <v>1</v>
      </c>
      <c r="F683">
        <v>17</v>
      </c>
      <c r="G683" t="b">
        <v>0</v>
      </c>
      <c r="H683">
        <v>1</v>
      </c>
      <c r="I683">
        <v>2</v>
      </c>
      <c r="J683">
        <v>0.16</v>
      </c>
      <c r="K683">
        <v>0.1515</v>
      </c>
      <c r="L683">
        <v>0.59</v>
      </c>
      <c r="M683">
        <v>0.19400000000000001</v>
      </c>
      <c r="N683">
        <v>6</v>
      </c>
      <c r="O683">
        <v>155</v>
      </c>
      <c r="P683">
        <v>161</v>
      </c>
      <c r="Q683" t="str">
        <f t="shared" si="90"/>
        <v>Weekday</v>
      </c>
      <c r="R683" t="str">
        <f t="shared" si="91"/>
        <v>Mist/Cloudy</v>
      </c>
      <c r="S683" t="str">
        <f t="shared" si="92"/>
        <v>Evening</v>
      </c>
      <c r="T683" t="str">
        <f t="shared" si="93"/>
        <v>January</v>
      </c>
      <c r="U683" t="str">
        <f t="shared" si="94"/>
        <v>Spring</v>
      </c>
      <c r="V683">
        <f t="shared" si="95"/>
        <v>0.22929155386993369</v>
      </c>
      <c r="W683">
        <f t="shared" si="96"/>
        <v>-0.25435329828790432</v>
      </c>
      <c r="X683">
        <f t="shared" si="97"/>
        <v>0.10399668008577614</v>
      </c>
      <c r="Y683">
        <f t="shared" si="98"/>
        <v>0.36604748519325236</v>
      </c>
    </row>
    <row r="684" spans="1:25" x14ac:dyDescent="0.3">
      <c r="A684">
        <v>683</v>
      </c>
      <c r="B684" s="1">
        <v>40574</v>
      </c>
      <c r="C684">
        <v>1</v>
      </c>
      <c r="D684">
        <v>0</v>
      </c>
      <c r="E684">
        <v>1</v>
      </c>
      <c r="F684">
        <v>18</v>
      </c>
      <c r="G684" t="b">
        <v>0</v>
      </c>
      <c r="H684">
        <v>1</v>
      </c>
      <c r="I684">
        <v>2</v>
      </c>
      <c r="J684">
        <v>0.16</v>
      </c>
      <c r="K684">
        <v>0.1515</v>
      </c>
      <c r="L684">
        <v>0.55000000000000004</v>
      </c>
      <c r="M684">
        <v>0.22389999999999999</v>
      </c>
      <c r="N684">
        <v>3</v>
      </c>
      <c r="O684">
        <v>153</v>
      </c>
      <c r="P684">
        <v>156</v>
      </c>
      <c r="Q684" t="str">
        <f t="shared" si="90"/>
        <v>Weekday</v>
      </c>
      <c r="R684" t="str">
        <f t="shared" si="91"/>
        <v>Mist/Cloudy</v>
      </c>
      <c r="S684" t="str">
        <f t="shared" si="92"/>
        <v>Evening</v>
      </c>
      <c r="T684" t="str">
        <f t="shared" si="93"/>
        <v>January</v>
      </c>
      <c r="U684" t="str">
        <f t="shared" si="94"/>
        <v>Spring</v>
      </c>
      <c r="V684">
        <f t="shared" si="95"/>
        <v>0.22929155386993369</v>
      </c>
      <c r="W684">
        <f t="shared" si="96"/>
        <v>-0.25435329828790432</v>
      </c>
      <c r="X684">
        <f t="shared" si="97"/>
        <v>0.10399668008577614</v>
      </c>
      <c r="Y684">
        <f t="shared" si="98"/>
        <v>0.36604748519325236</v>
      </c>
    </row>
    <row r="685" spans="1:25" x14ac:dyDescent="0.3">
      <c r="A685">
        <v>684</v>
      </c>
      <c r="B685" s="1">
        <v>40574</v>
      </c>
      <c r="C685">
        <v>1</v>
      </c>
      <c r="D685">
        <v>0</v>
      </c>
      <c r="E685">
        <v>1</v>
      </c>
      <c r="F685">
        <v>19</v>
      </c>
      <c r="G685" t="b">
        <v>0</v>
      </c>
      <c r="H685">
        <v>1</v>
      </c>
      <c r="I685">
        <v>1</v>
      </c>
      <c r="J685">
        <v>0.3</v>
      </c>
      <c r="K685">
        <v>0.31819999999999998</v>
      </c>
      <c r="L685">
        <v>0.61</v>
      </c>
      <c r="M685">
        <v>0.1045</v>
      </c>
      <c r="N685">
        <v>3</v>
      </c>
      <c r="O685">
        <v>108</v>
      </c>
      <c r="P685">
        <v>111</v>
      </c>
      <c r="Q685" t="str">
        <f t="shared" si="90"/>
        <v>Weekday</v>
      </c>
      <c r="R685" t="str">
        <f t="shared" si="91"/>
        <v>Clear</v>
      </c>
      <c r="S685" t="str">
        <f t="shared" si="92"/>
        <v>Evening</v>
      </c>
      <c r="T685" t="str">
        <f t="shared" si="93"/>
        <v>January</v>
      </c>
      <c r="U685" t="str">
        <f t="shared" si="94"/>
        <v>Spring</v>
      </c>
      <c r="V685">
        <f t="shared" si="95"/>
        <v>0.22929155386993369</v>
      </c>
      <c r="W685">
        <f t="shared" si="96"/>
        <v>-0.25435329828790432</v>
      </c>
      <c r="X685">
        <f t="shared" si="97"/>
        <v>0.10399668008577614</v>
      </c>
      <c r="Y685">
        <f t="shared" si="98"/>
        <v>0.36604748519325236</v>
      </c>
    </row>
    <row r="686" spans="1:25" x14ac:dyDescent="0.3">
      <c r="A686">
        <v>685</v>
      </c>
      <c r="B686" s="1">
        <v>40574</v>
      </c>
      <c r="C686">
        <v>1</v>
      </c>
      <c r="D686">
        <v>0</v>
      </c>
      <c r="E686">
        <v>1</v>
      </c>
      <c r="F686">
        <v>20</v>
      </c>
      <c r="G686" t="b">
        <v>0</v>
      </c>
      <c r="H686">
        <v>1</v>
      </c>
      <c r="I686">
        <v>3</v>
      </c>
      <c r="J686">
        <v>0.16</v>
      </c>
      <c r="K686">
        <v>0.16669999999999999</v>
      </c>
      <c r="L686">
        <v>0.59</v>
      </c>
      <c r="M686">
        <v>0.16420000000000001</v>
      </c>
      <c r="N686">
        <v>0</v>
      </c>
      <c r="O686">
        <v>78</v>
      </c>
      <c r="P686">
        <v>78</v>
      </c>
      <c r="Q686" t="str">
        <f t="shared" si="90"/>
        <v>Weekday</v>
      </c>
      <c r="R686" t="str">
        <f t="shared" si="91"/>
        <v>Light Rain/Snow</v>
      </c>
      <c r="S686" t="str">
        <f t="shared" si="92"/>
        <v>Evening</v>
      </c>
      <c r="T686" t="str">
        <f t="shared" si="93"/>
        <v>January</v>
      </c>
      <c r="U686" t="str">
        <f t="shared" si="94"/>
        <v>Spring</v>
      </c>
      <c r="V686">
        <f t="shared" si="95"/>
        <v>0.22929155386993369</v>
      </c>
      <c r="W686">
        <f t="shared" si="96"/>
        <v>-0.25435329828790432</v>
      </c>
      <c r="X686">
        <f t="shared" si="97"/>
        <v>0.10399668008577614</v>
      </c>
      <c r="Y686">
        <f t="shared" si="98"/>
        <v>0.36604748519325236</v>
      </c>
    </row>
    <row r="687" spans="1:25" x14ac:dyDescent="0.3">
      <c r="A687">
        <v>686</v>
      </c>
      <c r="B687" s="1">
        <v>40574</v>
      </c>
      <c r="C687">
        <v>1</v>
      </c>
      <c r="D687">
        <v>0</v>
      </c>
      <c r="E687">
        <v>1</v>
      </c>
      <c r="F687">
        <v>21</v>
      </c>
      <c r="G687" t="b">
        <v>0</v>
      </c>
      <c r="H687">
        <v>1</v>
      </c>
      <c r="I687">
        <v>3</v>
      </c>
      <c r="J687">
        <v>0.16</v>
      </c>
      <c r="K687">
        <v>0.19700000000000001</v>
      </c>
      <c r="L687">
        <v>0.59</v>
      </c>
      <c r="M687">
        <v>8.9599999999999999E-2</v>
      </c>
      <c r="N687">
        <v>3</v>
      </c>
      <c r="O687">
        <v>53</v>
      </c>
      <c r="P687">
        <v>56</v>
      </c>
      <c r="Q687" t="str">
        <f t="shared" si="90"/>
        <v>Weekday</v>
      </c>
      <c r="R687" t="str">
        <f t="shared" si="91"/>
        <v>Light Rain/Snow</v>
      </c>
      <c r="S687" t="str">
        <f t="shared" si="92"/>
        <v>Night</v>
      </c>
      <c r="T687" t="str">
        <f t="shared" si="93"/>
        <v>January</v>
      </c>
      <c r="U687" t="str">
        <f t="shared" si="94"/>
        <v>Spring</v>
      </c>
      <c r="V687">
        <f t="shared" si="95"/>
        <v>0.22929155386993369</v>
      </c>
      <c r="W687">
        <f t="shared" si="96"/>
        <v>-0.25435329828790432</v>
      </c>
      <c r="X687">
        <f t="shared" si="97"/>
        <v>0.10399668008577614</v>
      </c>
      <c r="Y687">
        <f t="shared" si="98"/>
        <v>0.36604748519325236</v>
      </c>
    </row>
    <row r="688" spans="1:25" x14ac:dyDescent="0.3">
      <c r="A688">
        <v>687</v>
      </c>
      <c r="B688" s="1">
        <v>40574</v>
      </c>
      <c r="C688">
        <v>1</v>
      </c>
      <c r="D688">
        <v>0</v>
      </c>
      <c r="E688">
        <v>1</v>
      </c>
      <c r="F688">
        <v>22</v>
      </c>
      <c r="G688" t="b">
        <v>0</v>
      </c>
      <c r="H688">
        <v>1</v>
      </c>
      <c r="I688">
        <v>2</v>
      </c>
      <c r="J688">
        <v>0.16</v>
      </c>
      <c r="K688">
        <v>0.18179999999999999</v>
      </c>
      <c r="L688">
        <v>0.59</v>
      </c>
      <c r="M688">
        <v>0.1045</v>
      </c>
      <c r="N688">
        <v>0</v>
      </c>
      <c r="O688">
        <v>34</v>
      </c>
      <c r="P688">
        <v>34</v>
      </c>
      <c r="Q688" t="str">
        <f t="shared" si="90"/>
        <v>Weekday</v>
      </c>
      <c r="R688" t="str">
        <f t="shared" si="91"/>
        <v>Mist/Cloudy</v>
      </c>
      <c r="S688" t="str">
        <f t="shared" si="92"/>
        <v>Night</v>
      </c>
      <c r="T688" t="str">
        <f t="shared" si="93"/>
        <v>January</v>
      </c>
      <c r="U688" t="str">
        <f t="shared" si="94"/>
        <v>Spring</v>
      </c>
      <c r="V688">
        <f t="shared" si="95"/>
        <v>0.22929155386993369</v>
      </c>
      <c r="W688">
        <f t="shared" si="96"/>
        <v>-0.25435329828790432</v>
      </c>
      <c r="X688">
        <f t="shared" si="97"/>
        <v>0.10399668008577614</v>
      </c>
      <c r="Y688">
        <f t="shared" si="98"/>
        <v>0.36604748519325236</v>
      </c>
    </row>
    <row r="689" spans="1:25" x14ac:dyDescent="0.3">
      <c r="A689">
        <v>688</v>
      </c>
      <c r="B689" s="1">
        <v>40574</v>
      </c>
      <c r="C689">
        <v>1</v>
      </c>
      <c r="D689">
        <v>0</v>
      </c>
      <c r="E689">
        <v>1</v>
      </c>
      <c r="F689">
        <v>23</v>
      </c>
      <c r="G689" t="b">
        <v>0</v>
      </c>
      <c r="H689">
        <v>1</v>
      </c>
      <c r="I689">
        <v>2</v>
      </c>
      <c r="J689">
        <v>0.16</v>
      </c>
      <c r="K689">
        <v>0.19700000000000001</v>
      </c>
      <c r="L689">
        <v>0.64</v>
      </c>
      <c r="M689">
        <v>8.9599999999999999E-2</v>
      </c>
      <c r="N689">
        <v>2</v>
      </c>
      <c r="O689">
        <v>15</v>
      </c>
      <c r="P689">
        <v>17</v>
      </c>
      <c r="Q689" t="str">
        <f t="shared" si="90"/>
        <v>Weekday</v>
      </c>
      <c r="R689" t="str">
        <f t="shared" si="91"/>
        <v>Mist/Cloudy</v>
      </c>
      <c r="S689" t="str">
        <f t="shared" si="92"/>
        <v>Night</v>
      </c>
      <c r="T689" t="str">
        <f t="shared" si="93"/>
        <v>January</v>
      </c>
      <c r="U689" t="str">
        <f t="shared" si="94"/>
        <v>Spring</v>
      </c>
      <c r="V689">
        <f t="shared" si="95"/>
        <v>0.22929155386993369</v>
      </c>
      <c r="W689">
        <f t="shared" si="96"/>
        <v>-0.25435329828790432</v>
      </c>
      <c r="X689">
        <f t="shared" si="97"/>
        <v>0.10399668008577614</v>
      </c>
      <c r="Y689">
        <f t="shared" si="98"/>
        <v>0.36604748519325236</v>
      </c>
    </row>
    <row r="690" spans="1:25" x14ac:dyDescent="0.3">
      <c r="A690">
        <v>689</v>
      </c>
      <c r="B690" s="1">
        <v>40575</v>
      </c>
      <c r="C690">
        <v>1</v>
      </c>
      <c r="D690">
        <v>0</v>
      </c>
      <c r="E690">
        <v>2</v>
      </c>
      <c r="F690">
        <v>0</v>
      </c>
      <c r="G690" t="b">
        <v>0</v>
      </c>
      <c r="H690">
        <v>2</v>
      </c>
      <c r="I690">
        <v>2</v>
      </c>
      <c r="J690">
        <v>0.16</v>
      </c>
      <c r="K690">
        <v>0.18179999999999999</v>
      </c>
      <c r="L690">
        <v>0.64</v>
      </c>
      <c r="M690">
        <v>0.1045</v>
      </c>
      <c r="N690">
        <v>2</v>
      </c>
      <c r="O690">
        <v>6</v>
      </c>
      <c r="P690">
        <v>8</v>
      </c>
      <c r="Q690" t="str">
        <f t="shared" si="90"/>
        <v>Weekday</v>
      </c>
      <c r="R690" t="str">
        <f t="shared" si="91"/>
        <v>Mist/Cloudy</v>
      </c>
      <c r="S690" t="str">
        <f t="shared" si="92"/>
        <v>Night</v>
      </c>
      <c r="T690" t="str">
        <f t="shared" si="93"/>
        <v>February</v>
      </c>
      <c r="U690" t="str">
        <f t="shared" si="94"/>
        <v>Spring</v>
      </c>
      <c r="V690">
        <f t="shared" si="95"/>
        <v>0.22929155386993369</v>
      </c>
      <c r="W690">
        <f t="shared" si="96"/>
        <v>-0.25435329828790432</v>
      </c>
      <c r="X690">
        <f t="shared" si="97"/>
        <v>0.10399668008577614</v>
      </c>
      <c r="Y690">
        <f t="shared" si="98"/>
        <v>0.36604748519325236</v>
      </c>
    </row>
    <row r="691" spans="1:25" x14ac:dyDescent="0.3">
      <c r="A691">
        <v>690</v>
      </c>
      <c r="B691" s="1">
        <v>40575</v>
      </c>
      <c r="C691">
        <v>1</v>
      </c>
      <c r="D691">
        <v>0</v>
      </c>
      <c r="E691">
        <v>2</v>
      </c>
      <c r="F691">
        <v>1</v>
      </c>
      <c r="G691" t="b">
        <v>0</v>
      </c>
      <c r="H691">
        <v>2</v>
      </c>
      <c r="I691">
        <v>2</v>
      </c>
      <c r="J691">
        <v>0.16</v>
      </c>
      <c r="K691">
        <v>0.18179999999999999</v>
      </c>
      <c r="L691">
        <v>0.69</v>
      </c>
      <c r="M691">
        <v>0.1045</v>
      </c>
      <c r="N691">
        <v>0</v>
      </c>
      <c r="O691">
        <v>3</v>
      </c>
      <c r="P691">
        <v>3</v>
      </c>
      <c r="Q691" t="str">
        <f t="shared" si="90"/>
        <v>Weekday</v>
      </c>
      <c r="R691" t="str">
        <f t="shared" si="91"/>
        <v>Mist/Cloudy</v>
      </c>
      <c r="S691" t="str">
        <f t="shared" si="92"/>
        <v>Night</v>
      </c>
      <c r="T691" t="str">
        <f t="shared" si="93"/>
        <v>February</v>
      </c>
      <c r="U691" t="str">
        <f t="shared" si="94"/>
        <v>Spring</v>
      </c>
      <c r="V691">
        <f t="shared" si="95"/>
        <v>0.22929155386993369</v>
      </c>
      <c r="W691">
        <f t="shared" si="96"/>
        <v>-0.25435329828790432</v>
      </c>
      <c r="X691">
        <f t="shared" si="97"/>
        <v>0.10399668008577614</v>
      </c>
      <c r="Y691">
        <f t="shared" si="98"/>
        <v>0.36604748519325236</v>
      </c>
    </row>
    <row r="692" spans="1:25" x14ac:dyDescent="0.3">
      <c r="A692">
        <v>691</v>
      </c>
      <c r="B692" s="1">
        <v>40575</v>
      </c>
      <c r="C692">
        <v>1</v>
      </c>
      <c r="D692">
        <v>0</v>
      </c>
      <c r="E692">
        <v>2</v>
      </c>
      <c r="F692">
        <v>2</v>
      </c>
      <c r="G692" t="b">
        <v>0</v>
      </c>
      <c r="H692">
        <v>2</v>
      </c>
      <c r="I692">
        <v>2</v>
      </c>
      <c r="J692">
        <v>0.16</v>
      </c>
      <c r="K692">
        <v>0.2273</v>
      </c>
      <c r="L692">
        <v>0.69</v>
      </c>
      <c r="M692">
        <v>0</v>
      </c>
      <c r="N692">
        <v>0</v>
      </c>
      <c r="O692">
        <v>2</v>
      </c>
      <c r="P692">
        <v>2</v>
      </c>
      <c r="Q692" t="str">
        <f t="shared" si="90"/>
        <v>Weekday</v>
      </c>
      <c r="R692" t="str">
        <f t="shared" si="91"/>
        <v>Mist/Cloudy</v>
      </c>
      <c r="S692" t="str">
        <f t="shared" si="92"/>
        <v>Night</v>
      </c>
      <c r="T692" t="str">
        <f t="shared" si="93"/>
        <v>February</v>
      </c>
      <c r="U692" t="str">
        <f t="shared" si="94"/>
        <v>Spring</v>
      </c>
      <c r="V692">
        <f t="shared" si="95"/>
        <v>0.22929155386993369</v>
      </c>
      <c r="W692">
        <f t="shared" si="96"/>
        <v>-0.25435329828790432</v>
      </c>
      <c r="X692">
        <f t="shared" si="97"/>
        <v>0.10399668008577614</v>
      </c>
      <c r="Y692">
        <f t="shared" si="98"/>
        <v>0.36604748519325236</v>
      </c>
    </row>
    <row r="693" spans="1:25" x14ac:dyDescent="0.3">
      <c r="A693">
        <v>692</v>
      </c>
      <c r="B693" s="1">
        <v>40575</v>
      </c>
      <c r="C693">
        <v>1</v>
      </c>
      <c r="D693">
        <v>0</v>
      </c>
      <c r="E693">
        <v>2</v>
      </c>
      <c r="F693">
        <v>3</v>
      </c>
      <c r="G693" t="b">
        <v>0</v>
      </c>
      <c r="H693">
        <v>2</v>
      </c>
      <c r="I693">
        <v>2</v>
      </c>
      <c r="J693">
        <v>0.16</v>
      </c>
      <c r="K693">
        <v>0.2273</v>
      </c>
      <c r="L693">
        <v>0.69</v>
      </c>
      <c r="M693">
        <v>0</v>
      </c>
      <c r="N693">
        <v>0</v>
      </c>
      <c r="O693">
        <v>2</v>
      </c>
      <c r="P693">
        <v>2</v>
      </c>
      <c r="Q693" t="str">
        <f t="shared" si="90"/>
        <v>Weekday</v>
      </c>
      <c r="R693" t="str">
        <f t="shared" si="91"/>
        <v>Mist/Cloudy</v>
      </c>
      <c r="S693" t="str">
        <f t="shared" si="92"/>
        <v>Night</v>
      </c>
      <c r="T693" t="str">
        <f t="shared" si="93"/>
        <v>February</v>
      </c>
      <c r="U693" t="str">
        <f t="shared" si="94"/>
        <v>Spring</v>
      </c>
      <c r="V693">
        <f t="shared" si="95"/>
        <v>0.22929155386993369</v>
      </c>
      <c r="W693">
        <f t="shared" si="96"/>
        <v>-0.25435329828790432</v>
      </c>
      <c r="X693">
        <f t="shared" si="97"/>
        <v>0.10399668008577614</v>
      </c>
      <c r="Y693">
        <f t="shared" si="98"/>
        <v>0.36604748519325236</v>
      </c>
    </row>
    <row r="694" spans="1:25" x14ac:dyDescent="0.3">
      <c r="A694">
        <v>693</v>
      </c>
      <c r="B694" s="1">
        <v>40575</v>
      </c>
      <c r="C694">
        <v>1</v>
      </c>
      <c r="D694">
        <v>0</v>
      </c>
      <c r="E694">
        <v>2</v>
      </c>
      <c r="F694">
        <v>5</v>
      </c>
      <c r="G694" t="b">
        <v>0</v>
      </c>
      <c r="H694">
        <v>2</v>
      </c>
      <c r="I694">
        <v>3</v>
      </c>
      <c r="J694">
        <v>0.14000000000000001</v>
      </c>
      <c r="K694">
        <v>0.21210000000000001</v>
      </c>
      <c r="L694">
        <v>0.93</v>
      </c>
      <c r="M694">
        <v>0</v>
      </c>
      <c r="N694">
        <v>0</v>
      </c>
      <c r="O694">
        <v>3</v>
      </c>
      <c r="P694">
        <v>3</v>
      </c>
      <c r="Q694" t="str">
        <f t="shared" si="90"/>
        <v>Weekday</v>
      </c>
      <c r="R694" t="str">
        <f t="shared" si="91"/>
        <v>Light Rain/Snow</v>
      </c>
      <c r="S694" t="str">
        <f t="shared" si="92"/>
        <v>Night</v>
      </c>
      <c r="T694" t="str">
        <f t="shared" si="93"/>
        <v>February</v>
      </c>
      <c r="U694" t="str">
        <f t="shared" si="94"/>
        <v>Spring</v>
      </c>
      <c r="V694">
        <f t="shared" si="95"/>
        <v>0.22929155386993369</v>
      </c>
      <c r="W694">
        <f t="shared" si="96"/>
        <v>-0.25435329828790432</v>
      </c>
      <c r="X694">
        <f t="shared" si="97"/>
        <v>0.10399668008577614</v>
      </c>
      <c r="Y694">
        <f t="shared" si="98"/>
        <v>0.36604748519325236</v>
      </c>
    </row>
    <row r="695" spans="1:25" x14ac:dyDescent="0.3">
      <c r="A695">
        <v>694</v>
      </c>
      <c r="B695" s="1">
        <v>40575</v>
      </c>
      <c r="C695">
        <v>1</v>
      </c>
      <c r="D695">
        <v>0</v>
      </c>
      <c r="E695">
        <v>2</v>
      </c>
      <c r="F695">
        <v>6</v>
      </c>
      <c r="G695" t="b">
        <v>0</v>
      </c>
      <c r="H695">
        <v>2</v>
      </c>
      <c r="I695">
        <v>3</v>
      </c>
      <c r="J695">
        <v>0.14000000000000001</v>
      </c>
      <c r="K695">
        <v>0.21210000000000001</v>
      </c>
      <c r="L695">
        <v>0.93</v>
      </c>
      <c r="M695">
        <v>0</v>
      </c>
      <c r="N695">
        <v>0</v>
      </c>
      <c r="O695">
        <v>22</v>
      </c>
      <c r="P695">
        <v>22</v>
      </c>
      <c r="Q695" t="str">
        <f t="shared" si="90"/>
        <v>Weekday</v>
      </c>
      <c r="R695" t="str">
        <f t="shared" si="91"/>
        <v>Light Rain/Snow</v>
      </c>
      <c r="S695" t="str">
        <f t="shared" si="92"/>
        <v>Morning</v>
      </c>
      <c r="T695" t="str">
        <f t="shared" si="93"/>
        <v>February</v>
      </c>
      <c r="U695" t="str">
        <f t="shared" si="94"/>
        <v>Spring</v>
      </c>
      <c r="V695">
        <f t="shared" si="95"/>
        <v>0.22929155386993369</v>
      </c>
      <c r="W695">
        <f t="shared" si="96"/>
        <v>-0.25435329828790432</v>
      </c>
      <c r="X695">
        <f t="shared" si="97"/>
        <v>0.10399668008577614</v>
      </c>
      <c r="Y695">
        <f t="shared" si="98"/>
        <v>0.36604748519325236</v>
      </c>
    </row>
    <row r="696" spans="1:25" x14ac:dyDescent="0.3">
      <c r="A696">
        <v>695</v>
      </c>
      <c r="B696" s="1">
        <v>40575</v>
      </c>
      <c r="C696">
        <v>1</v>
      </c>
      <c r="D696">
        <v>0</v>
      </c>
      <c r="E696">
        <v>2</v>
      </c>
      <c r="F696">
        <v>7</v>
      </c>
      <c r="G696" t="b">
        <v>0</v>
      </c>
      <c r="H696">
        <v>2</v>
      </c>
      <c r="I696">
        <v>3</v>
      </c>
      <c r="J696">
        <v>0.16</v>
      </c>
      <c r="K696">
        <v>0.2273</v>
      </c>
      <c r="L696">
        <v>0.93</v>
      </c>
      <c r="M696">
        <v>0</v>
      </c>
      <c r="N696">
        <v>0</v>
      </c>
      <c r="O696">
        <v>52</v>
      </c>
      <c r="P696">
        <v>52</v>
      </c>
      <c r="Q696" t="str">
        <f t="shared" si="90"/>
        <v>Weekday</v>
      </c>
      <c r="R696" t="str">
        <f t="shared" si="91"/>
        <v>Light Rain/Snow</v>
      </c>
      <c r="S696" t="str">
        <f t="shared" si="92"/>
        <v>Morning</v>
      </c>
      <c r="T696" t="str">
        <f t="shared" si="93"/>
        <v>February</v>
      </c>
      <c r="U696" t="str">
        <f t="shared" si="94"/>
        <v>Spring</v>
      </c>
      <c r="V696">
        <f t="shared" si="95"/>
        <v>0.22929155386993369</v>
      </c>
      <c r="W696">
        <f t="shared" si="96"/>
        <v>-0.25435329828790432</v>
      </c>
      <c r="X696">
        <f t="shared" si="97"/>
        <v>0.10399668008577614</v>
      </c>
      <c r="Y696">
        <f t="shared" si="98"/>
        <v>0.36604748519325236</v>
      </c>
    </row>
    <row r="697" spans="1:25" x14ac:dyDescent="0.3">
      <c r="A697">
        <v>696</v>
      </c>
      <c r="B697" s="1">
        <v>40575</v>
      </c>
      <c r="C697">
        <v>1</v>
      </c>
      <c r="D697">
        <v>0</v>
      </c>
      <c r="E697">
        <v>2</v>
      </c>
      <c r="F697">
        <v>8</v>
      </c>
      <c r="G697" t="b">
        <v>0</v>
      </c>
      <c r="H697">
        <v>2</v>
      </c>
      <c r="I697">
        <v>3</v>
      </c>
      <c r="J697">
        <v>0.16</v>
      </c>
      <c r="K697">
        <v>0.2273</v>
      </c>
      <c r="L697">
        <v>0.93</v>
      </c>
      <c r="M697">
        <v>0</v>
      </c>
      <c r="N697">
        <v>3</v>
      </c>
      <c r="O697">
        <v>132</v>
      </c>
      <c r="P697">
        <v>135</v>
      </c>
      <c r="Q697" t="str">
        <f t="shared" si="90"/>
        <v>Weekday</v>
      </c>
      <c r="R697" t="str">
        <f t="shared" si="91"/>
        <v>Light Rain/Snow</v>
      </c>
      <c r="S697" t="str">
        <f t="shared" si="92"/>
        <v>Morning</v>
      </c>
      <c r="T697" t="str">
        <f t="shared" si="93"/>
        <v>February</v>
      </c>
      <c r="U697" t="str">
        <f t="shared" si="94"/>
        <v>Spring</v>
      </c>
      <c r="V697">
        <f t="shared" si="95"/>
        <v>0.22929155386993369</v>
      </c>
      <c r="W697">
        <f t="shared" si="96"/>
        <v>-0.25435329828790432</v>
      </c>
      <c r="X697">
        <f t="shared" si="97"/>
        <v>0.10399668008577614</v>
      </c>
      <c r="Y697">
        <f t="shared" si="98"/>
        <v>0.36604748519325236</v>
      </c>
    </row>
    <row r="698" spans="1:25" x14ac:dyDescent="0.3">
      <c r="A698">
        <v>697</v>
      </c>
      <c r="B698" s="1">
        <v>40575</v>
      </c>
      <c r="C698">
        <v>1</v>
      </c>
      <c r="D698">
        <v>0</v>
      </c>
      <c r="E698">
        <v>2</v>
      </c>
      <c r="F698">
        <v>9</v>
      </c>
      <c r="G698" t="b">
        <v>0</v>
      </c>
      <c r="H698">
        <v>2</v>
      </c>
      <c r="I698">
        <v>2</v>
      </c>
      <c r="J698">
        <v>0.16</v>
      </c>
      <c r="K698">
        <v>0.2273</v>
      </c>
      <c r="L698">
        <v>0.93</v>
      </c>
      <c r="M698">
        <v>0</v>
      </c>
      <c r="N698">
        <v>2</v>
      </c>
      <c r="O698">
        <v>114</v>
      </c>
      <c r="P698">
        <v>116</v>
      </c>
      <c r="Q698" t="str">
        <f t="shared" si="90"/>
        <v>Weekday</v>
      </c>
      <c r="R698" t="str">
        <f t="shared" si="91"/>
        <v>Mist/Cloudy</v>
      </c>
      <c r="S698" t="str">
        <f t="shared" si="92"/>
        <v>Morning</v>
      </c>
      <c r="T698" t="str">
        <f t="shared" si="93"/>
        <v>February</v>
      </c>
      <c r="U698" t="str">
        <f t="shared" si="94"/>
        <v>Spring</v>
      </c>
      <c r="V698">
        <f t="shared" si="95"/>
        <v>0.22929155386993369</v>
      </c>
      <c r="W698">
        <f t="shared" si="96"/>
        <v>-0.25435329828790432</v>
      </c>
      <c r="X698">
        <f t="shared" si="97"/>
        <v>0.10399668008577614</v>
      </c>
      <c r="Y698">
        <f t="shared" si="98"/>
        <v>0.36604748519325236</v>
      </c>
    </row>
    <row r="699" spans="1:25" x14ac:dyDescent="0.3">
      <c r="A699">
        <v>698</v>
      </c>
      <c r="B699" s="1">
        <v>40575</v>
      </c>
      <c r="C699">
        <v>1</v>
      </c>
      <c r="D699">
        <v>0</v>
      </c>
      <c r="E699">
        <v>2</v>
      </c>
      <c r="F699">
        <v>10</v>
      </c>
      <c r="G699" t="b">
        <v>0</v>
      </c>
      <c r="H699">
        <v>2</v>
      </c>
      <c r="I699">
        <v>2</v>
      </c>
      <c r="J699">
        <v>0.16</v>
      </c>
      <c r="K699">
        <v>0.2273</v>
      </c>
      <c r="L699">
        <v>0.93</v>
      </c>
      <c r="M699">
        <v>0</v>
      </c>
      <c r="N699">
        <v>0</v>
      </c>
      <c r="O699">
        <v>47</v>
      </c>
      <c r="P699">
        <v>47</v>
      </c>
      <c r="Q699" t="str">
        <f t="shared" si="90"/>
        <v>Weekday</v>
      </c>
      <c r="R699" t="str">
        <f t="shared" si="91"/>
        <v>Mist/Cloudy</v>
      </c>
      <c r="S699" t="str">
        <f t="shared" si="92"/>
        <v>Morning</v>
      </c>
      <c r="T699" t="str">
        <f t="shared" si="93"/>
        <v>February</v>
      </c>
      <c r="U699" t="str">
        <f t="shared" si="94"/>
        <v>Spring</v>
      </c>
      <c r="V699">
        <f t="shared" si="95"/>
        <v>0.22929155386993369</v>
      </c>
      <c r="W699">
        <f t="shared" si="96"/>
        <v>-0.25435329828790432</v>
      </c>
      <c r="X699">
        <f t="shared" si="97"/>
        <v>0.10399668008577614</v>
      </c>
      <c r="Y699">
        <f t="shared" si="98"/>
        <v>0.36604748519325236</v>
      </c>
    </row>
    <row r="700" spans="1:25" x14ac:dyDescent="0.3">
      <c r="A700">
        <v>699</v>
      </c>
      <c r="B700" s="1">
        <v>40575</v>
      </c>
      <c r="C700">
        <v>1</v>
      </c>
      <c r="D700">
        <v>0</v>
      </c>
      <c r="E700">
        <v>2</v>
      </c>
      <c r="F700">
        <v>11</v>
      </c>
      <c r="G700" t="b">
        <v>0</v>
      </c>
      <c r="H700">
        <v>2</v>
      </c>
      <c r="I700">
        <v>2</v>
      </c>
      <c r="J700">
        <v>0.18</v>
      </c>
      <c r="K700">
        <v>0.2424</v>
      </c>
      <c r="L700">
        <v>0.86</v>
      </c>
      <c r="M700">
        <v>0</v>
      </c>
      <c r="N700">
        <v>2</v>
      </c>
      <c r="O700">
        <v>49</v>
      </c>
      <c r="P700">
        <v>51</v>
      </c>
      <c r="Q700" t="str">
        <f t="shared" si="90"/>
        <v>Weekday</v>
      </c>
      <c r="R700" t="str">
        <f t="shared" si="91"/>
        <v>Mist/Cloudy</v>
      </c>
      <c r="S700" t="str">
        <f t="shared" si="92"/>
        <v>Morning</v>
      </c>
      <c r="T700" t="str">
        <f t="shared" si="93"/>
        <v>February</v>
      </c>
      <c r="U700" t="str">
        <f t="shared" si="94"/>
        <v>Spring</v>
      </c>
      <c r="V700">
        <f t="shared" si="95"/>
        <v>0.22929155386993369</v>
      </c>
      <c r="W700">
        <f t="shared" si="96"/>
        <v>-0.25435329828790432</v>
      </c>
      <c r="X700">
        <f t="shared" si="97"/>
        <v>0.10399668008577614</v>
      </c>
      <c r="Y700">
        <f t="shared" si="98"/>
        <v>0.36604748519325236</v>
      </c>
    </row>
    <row r="701" spans="1:25" x14ac:dyDescent="0.3">
      <c r="A701">
        <v>700</v>
      </c>
      <c r="B701" s="1">
        <v>40575</v>
      </c>
      <c r="C701">
        <v>1</v>
      </c>
      <c r="D701">
        <v>0</v>
      </c>
      <c r="E701">
        <v>2</v>
      </c>
      <c r="F701">
        <v>12</v>
      </c>
      <c r="G701" t="b">
        <v>0</v>
      </c>
      <c r="H701">
        <v>2</v>
      </c>
      <c r="I701">
        <v>2</v>
      </c>
      <c r="J701">
        <v>0.2</v>
      </c>
      <c r="K701">
        <v>0.2576</v>
      </c>
      <c r="L701">
        <v>0.86</v>
      </c>
      <c r="M701">
        <v>0</v>
      </c>
      <c r="N701">
        <v>2</v>
      </c>
      <c r="O701">
        <v>53</v>
      </c>
      <c r="P701">
        <v>55</v>
      </c>
      <c r="Q701" t="str">
        <f t="shared" si="90"/>
        <v>Weekday</v>
      </c>
      <c r="R701" t="str">
        <f t="shared" si="91"/>
        <v>Mist/Cloudy</v>
      </c>
      <c r="S701" t="str">
        <f t="shared" si="92"/>
        <v>Afternoon</v>
      </c>
      <c r="T701" t="str">
        <f t="shared" si="93"/>
        <v>February</v>
      </c>
      <c r="U701" t="str">
        <f t="shared" si="94"/>
        <v>Spring</v>
      </c>
      <c r="V701">
        <f t="shared" si="95"/>
        <v>0.22929155386993369</v>
      </c>
      <c r="W701">
        <f t="shared" si="96"/>
        <v>-0.25435329828790432</v>
      </c>
      <c r="X701">
        <f t="shared" si="97"/>
        <v>0.10399668008577614</v>
      </c>
      <c r="Y701">
        <f t="shared" si="98"/>
        <v>0.36604748519325236</v>
      </c>
    </row>
    <row r="702" spans="1:25" x14ac:dyDescent="0.3">
      <c r="A702">
        <v>701</v>
      </c>
      <c r="B702" s="1">
        <v>40575</v>
      </c>
      <c r="C702">
        <v>1</v>
      </c>
      <c r="D702">
        <v>0</v>
      </c>
      <c r="E702">
        <v>2</v>
      </c>
      <c r="F702">
        <v>13</v>
      </c>
      <c r="G702" t="b">
        <v>0</v>
      </c>
      <c r="H702">
        <v>2</v>
      </c>
      <c r="I702">
        <v>2</v>
      </c>
      <c r="J702">
        <v>0.2</v>
      </c>
      <c r="K702">
        <v>0.2576</v>
      </c>
      <c r="L702">
        <v>0.86</v>
      </c>
      <c r="M702">
        <v>0</v>
      </c>
      <c r="N702">
        <v>3</v>
      </c>
      <c r="O702">
        <v>49</v>
      </c>
      <c r="P702">
        <v>52</v>
      </c>
      <c r="Q702" t="str">
        <f t="shared" si="90"/>
        <v>Weekday</v>
      </c>
      <c r="R702" t="str">
        <f t="shared" si="91"/>
        <v>Mist/Cloudy</v>
      </c>
      <c r="S702" t="str">
        <f t="shared" si="92"/>
        <v>Afternoon</v>
      </c>
      <c r="T702" t="str">
        <f t="shared" si="93"/>
        <v>February</v>
      </c>
      <c r="U702" t="str">
        <f t="shared" si="94"/>
        <v>Spring</v>
      </c>
      <c r="V702">
        <f t="shared" si="95"/>
        <v>0.22929155386993369</v>
      </c>
      <c r="W702">
        <f t="shared" si="96"/>
        <v>-0.25435329828790432</v>
      </c>
      <c r="X702">
        <f t="shared" si="97"/>
        <v>0.10399668008577614</v>
      </c>
      <c r="Y702">
        <f t="shared" si="98"/>
        <v>0.36604748519325236</v>
      </c>
    </row>
    <row r="703" spans="1:25" x14ac:dyDescent="0.3">
      <c r="A703">
        <v>702</v>
      </c>
      <c r="B703" s="1">
        <v>40575</v>
      </c>
      <c r="C703">
        <v>1</v>
      </c>
      <c r="D703">
        <v>0</v>
      </c>
      <c r="E703">
        <v>2</v>
      </c>
      <c r="F703">
        <v>14</v>
      </c>
      <c r="G703" t="b">
        <v>0</v>
      </c>
      <c r="H703">
        <v>2</v>
      </c>
      <c r="I703">
        <v>2</v>
      </c>
      <c r="J703">
        <v>0.22</v>
      </c>
      <c r="K703">
        <v>0.2576</v>
      </c>
      <c r="L703">
        <v>0.8</v>
      </c>
      <c r="M703">
        <v>8.9599999999999999E-2</v>
      </c>
      <c r="N703">
        <v>5</v>
      </c>
      <c r="O703">
        <v>49</v>
      </c>
      <c r="P703">
        <v>54</v>
      </c>
      <c r="Q703" t="str">
        <f t="shared" si="90"/>
        <v>Weekday</v>
      </c>
      <c r="R703" t="str">
        <f t="shared" si="91"/>
        <v>Mist/Cloudy</v>
      </c>
      <c r="S703" t="str">
        <f t="shared" si="92"/>
        <v>Afternoon</v>
      </c>
      <c r="T703" t="str">
        <f t="shared" si="93"/>
        <v>February</v>
      </c>
      <c r="U703" t="str">
        <f t="shared" si="94"/>
        <v>Spring</v>
      </c>
      <c r="V703">
        <f t="shared" si="95"/>
        <v>0.22929155386993369</v>
      </c>
      <c r="W703">
        <f t="shared" si="96"/>
        <v>-0.25435329828790432</v>
      </c>
      <c r="X703">
        <f t="shared" si="97"/>
        <v>0.10399668008577614</v>
      </c>
      <c r="Y703">
        <f t="shared" si="98"/>
        <v>0.36604748519325236</v>
      </c>
    </row>
    <row r="704" spans="1:25" x14ac:dyDescent="0.3">
      <c r="A704">
        <v>703</v>
      </c>
      <c r="B704" s="1">
        <v>40575</v>
      </c>
      <c r="C704">
        <v>1</v>
      </c>
      <c r="D704">
        <v>0</v>
      </c>
      <c r="E704">
        <v>2</v>
      </c>
      <c r="F704">
        <v>15</v>
      </c>
      <c r="G704" t="b">
        <v>0</v>
      </c>
      <c r="H704">
        <v>2</v>
      </c>
      <c r="I704">
        <v>2</v>
      </c>
      <c r="J704">
        <v>0.24</v>
      </c>
      <c r="K704">
        <v>0.28789999999999999</v>
      </c>
      <c r="L704">
        <v>0.75</v>
      </c>
      <c r="M704">
        <v>0</v>
      </c>
      <c r="N704">
        <v>7</v>
      </c>
      <c r="O704">
        <v>45</v>
      </c>
      <c r="P704">
        <v>52</v>
      </c>
      <c r="Q704" t="str">
        <f t="shared" si="90"/>
        <v>Weekday</v>
      </c>
      <c r="R704" t="str">
        <f t="shared" si="91"/>
        <v>Mist/Cloudy</v>
      </c>
      <c r="S704" t="str">
        <f t="shared" si="92"/>
        <v>Afternoon</v>
      </c>
      <c r="T704" t="str">
        <f t="shared" si="93"/>
        <v>February</v>
      </c>
      <c r="U704" t="str">
        <f t="shared" si="94"/>
        <v>Spring</v>
      </c>
      <c r="V704">
        <f t="shared" si="95"/>
        <v>0.22929155386993369</v>
      </c>
      <c r="W704">
        <f t="shared" si="96"/>
        <v>-0.25435329828790432</v>
      </c>
      <c r="X704">
        <f t="shared" si="97"/>
        <v>0.10399668008577614</v>
      </c>
      <c r="Y704">
        <f t="shared" si="98"/>
        <v>0.36604748519325236</v>
      </c>
    </row>
    <row r="705" spans="1:25" x14ac:dyDescent="0.3">
      <c r="A705">
        <v>704</v>
      </c>
      <c r="B705" s="1">
        <v>40575</v>
      </c>
      <c r="C705">
        <v>1</v>
      </c>
      <c r="D705">
        <v>0</v>
      </c>
      <c r="E705">
        <v>2</v>
      </c>
      <c r="F705">
        <v>16</v>
      </c>
      <c r="G705" t="b">
        <v>0</v>
      </c>
      <c r="H705">
        <v>2</v>
      </c>
      <c r="I705">
        <v>2</v>
      </c>
      <c r="J705">
        <v>0.24</v>
      </c>
      <c r="K705">
        <v>0.2424</v>
      </c>
      <c r="L705">
        <v>0.75</v>
      </c>
      <c r="M705">
        <v>0.1343</v>
      </c>
      <c r="N705">
        <v>3</v>
      </c>
      <c r="O705">
        <v>61</v>
      </c>
      <c r="P705">
        <v>64</v>
      </c>
      <c r="Q705" t="str">
        <f t="shared" si="90"/>
        <v>Weekday</v>
      </c>
      <c r="R705" t="str">
        <f t="shared" si="91"/>
        <v>Mist/Cloudy</v>
      </c>
      <c r="S705" t="str">
        <f t="shared" si="92"/>
        <v>Afternoon</v>
      </c>
      <c r="T705" t="str">
        <f t="shared" si="93"/>
        <v>February</v>
      </c>
      <c r="U705" t="str">
        <f t="shared" si="94"/>
        <v>Spring</v>
      </c>
      <c r="V705">
        <f t="shared" si="95"/>
        <v>0.22929155386993369</v>
      </c>
      <c r="W705">
        <f t="shared" si="96"/>
        <v>-0.25435329828790432</v>
      </c>
      <c r="X705">
        <f t="shared" si="97"/>
        <v>0.10399668008577614</v>
      </c>
      <c r="Y705">
        <f t="shared" si="98"/>
        <v>0.36604748519325236</v>
      </c>
    </row>
    <row r="706" spans="1:25" x14ac:dyDescent="0.3">
      <c r="A706">
        <v>705</v>
      </c>
      <c r="B706" s="1">
        <v>40575</v>
      </c>
      <c r="C706">
        <v>1</v>
      </c>
      <c r="D706">
        <v>0</v>
      </c>
      <c r="E706">
        <v>2</v>
      </c>
      <c r="F706">
        <v>17</v>
      </c>
      <c r="G706" t="b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4</v>
      </c>
      <c r="O706">
        <v>172</v>
      </c>
      <c r="P706">
        <v>176</v>
      </c>
      <c r="Q706" t="str">
        <f t="shared" ref="Q706:Q769" si="99">IF(OR(WEEKDAY(B706)=1, WEEKDAY(B706)=7), "Weekend", "Weekday")</f>
        <v>Weekday</v>
      </c>
      <c r="R706" t="str">
        <f t="shared" ref="R706:R769" si="100">IF(I706=1,"Clear",IF(I706=2,"Mist/Cloudy",IF(I706=3,"Light Rain/Snow","Heavy Rain/Snow")))</f>
        <v>Mist/Cloudy</v>
      </c>
      <c r="S706" t="str">
        <f t="shared" ref="S706:S769" si="101">IF(AND(F706&gt;=6, F706&lt;12), "Morning", IF(AND(F706&gt;=12, F706&lt;17), "Afternoon", IF(AND(F706&gt;=17, F706&lt;21), "Evening", "Night")))</f>
        <v>Evening</v>
      </c>
      <c r="T706" t="str">
        <f t="shared" ref="T706:T769" si="102">TEXT(B706, "mmmm")</f>
        <v>February</v>
      </c>
      <c r="U706" t="str">
        <f t="shared" ref="U706:U769" si="103">CHOOSE(C706, "Spring", "Summer", "Fall", "Winter")</f>
        <v>Spring</v>
      </c>
      <c r="V706">
        <f t="shared" ref="V706:V769" si="104">CORREL($J$2:$J$1001, $P$2:$P$1001)</f>
        <v>0.22929155386993369</v>
      </c>
      <c r="W706">
        <f t="shared" ref="W706:W769" si="105">CORREL($L$2:$L$1001, $P$2:$P$1001)</f>
        <v>-0.25435329828790432</v>
      </c>
      <c r="X706">
        <f t="shared" ref="X706:X769" si="106">CORREL($M$2:$M$1001, $P$2:$P$1001)</f>
        <v>0.10399668008577614</v>
      </c>
      <c r="Y706">
        <f t="shared" ref="Y706:Y769" si="107">CORREL($F$2:$F$1001, $P$2:$P$1001)</f>
        <v>0.36604748519325236</v>
      </c>
    </row>
    <row r="707" spans="1:25" x14ac:dyDescent="0.3">
      <c r="A707">
        <v>706</v>
      </c>
      <c r="B707" s="1">
        <v>40575</v>
      </c>
      <c r="C707">
        <v>1</v>
      </c>
      <c r="D707">
        <v>0</v>
      </c>
      <c r="E707">
        <v>2</v>
      </c>
      <c r="F707">
        <v>18</v>
      </c>
      <c r="G707" t="b">
        <v>0</v>
      </c>
      <c r="H707">
        <v>2</v>
      </c>
      <c r="I707">
        <v>2</v>
      </c>
      <c r="J707">
        <v>0.24</v>
      </c>
      <c r="K707">
        <v>0.2576</v>
      </c>
      <c r="L707">
        <v>0.81</v>
      </c>
      <c r="M707">
        <v>0.1045</v>
      </c>
      <c r="N707">
        <v>3</v>
      </c>
      <c r="O707">
        <v>165</v>
      </c>
      <c r="P707">
        <v>168</v>
      </c>
      <c r="Q707" t="str">
        <f t="shared" si="99"/>
        <v>Weekday</v>
      </c>
      <c r="R707" t="str">
        <f t="shared" si="100"/>
        <v>Mist/Cloudy</v>
      </c>
      <c r="S707" t="str">
        <f t="shared" si="101"/>
        <v>Evening</v>
      </c>
      <c r="T707" t="str">
        <f t="shared" si="102"/>
        <v>February</v>
      </c>
      <c r="U707" t="str">
        <f t="shared" si="103"/>
        <v>Spring</v>
      </c>
      <c r="V707">
        <f t="shared" si="104"/>
        <v>0.22929155386993369</v>
      </c>
      <c r="W707">
        <f t="shared" si="105"/>
        <v>-0.25435329828790432</v>
      </c>
      <c r="X707">
        <f t="shared" si="106"/>
        <v>0.10399668008577614</v>
      </c>
      <c r="Y707">
        <f t="shared" si="107"/>
        <v>0.36604748519325236</v>
      </c>
    </row>
    <row r="708" spans="1:25" x14ac:dyDescent="0.3">
      <c r="A708">
        <v>707</v>
      </c>
      <c r="B708" s="1">
        <v>40575</v>
      </c>
      <c r="C708">
        <v>1</v>
      </c>
      <c r="D708">
        <v>0</v>
      </c>
      <c r="E708">
        <v>2</v>
      </c>
      <c r="F708">
        <v>19</v>
      </c>
      <c r="G708" t="b">
        <v>0</v>
      </c>
      <c r="H708">
        <v>2</v>
      </c>
      <c r="I708">
        <v>2</v>
      </c>
      <c r="J708">
        <v>0.24</v>
      </c>
      <c r="K708">
        <v>0.2424</v>
      </c>
      <c r="L708">
        <v>0.81</v>
      </c>
      <c r="M708">
        <v>0.1343</v>
      </c>
      <c r="N708">
        <v>3</v>
      </c>
      <c r="O708">
        <v>105</v>
      </c>
      <c r="P708">
        <v>108</v>
      </c>
      <c r="Q708" t="str">
        <f t="shared" si="99"/>
        <v>Weekday</v>
      </c>
      <c r="R708" t="str">
        <f t="shared" si="100"/>
        <v>Mist/Cloudy</v>
      </c>
      <c r="S708" t="str">
        <f t="shared" si="101"/>
        <v>Evening</v>
      </c>
      <c r="T708" t="str">
        <f t="shared" si="102"/>
        <v>February</v>
      </c>
      <c r="U708" t="str">
        <f t="shared" si="103"/>
        <v>Spring</v>
      </c>
      <c r="V708">
        <f t="shared" si="104"/>
        <v>0.22929155386993369</v>
      </c>
      <c r="W708">
        <f t="shared" si="105"/>
        <v>-0.25435329828790432</v>
      </c>
      <c r="X708">
        <f t="shared" si="106"/>
        <v>0.10399668008577614</v>
      </c>
      <c r="Y708">
        <f t="shared" si="107"/>
        <v>0.36604748519325236</v>
      </c>
    </row>
    <row r="709" spans="1:25" x14ac:dyDescent="0.3">
      <c r="A709">
        <v>708</v>
      </c>
      <c r="B709" s="1">
        <v>40575</v>
      </c>
      <c r="C709">
        <v>1</v>
      </c>
      <c r="D709">
        <v>0</v>
      </c>
      <c r="E709">
        <v>2</v>
      </c>
      <c r="F709">
        <v>20</v>
      </c>
      <c r="G709" t="b">
        <v>0</v>
      </c>
      <c r="H709">
        <v>2</v>
      </c>
      <c r="I709">
        <v>2</v>
      </c>
      <c r="J709">
        <v>0.22</v>
      </c>
      <c r="K709">
        <v>0.2273</v>
      </c>
      <c r="L709">
        <v>0.87</v>
      </c>
      <c r="M709">
        <v>0.1343</v>
      </c>
      <c r="N709">
        <v>5</v>
      </c>
      <c r="O709">
        <v>69</v>
      </c>
      <c r="P709">
        <v>74</v>
      </c>
      <c r="Q709" t="str">
        <f t="shared" si="99"/>
        <v>Weekday</v>
      </c>
      <c r="R709" t="str">
        <f t="shared" si="100"/>
        <v>Mist/Cloudy</v>
      </c>
      <c r="S709" t="str">
        <f t="shared" si="101"/>
        <v>Evening</v>
      </c>
      <c r="T709" t="str">
        <f t="shared" si="102"/>
        <v>February</v>
      </c>
      <c r="U709" t="str">
        <f t="shared" si="103"/>
        <v>Spring</v>
      </c>
      <c r="V709">
        <f t="shared" si="104"/>
        <v>0.22929155386993369</v>
      </c>
      <c r="W709">
        <f t="shared" si="105"/>
        <v>-0.25435329828790432</v>
      </c>
      <c r="X709">
        <f t="shared" si="106"/>
        <v>0.10399668008577614</v>
      </c>
      <c r="Y709">
        <f t="shared" si="107"/>
        <v>0.36604748519325236</v>
      </c>
    </row>
    <row r="710" spans="1:25" x14ac:dyDescent="0.3">
      <c r="A710">
        <v>709</v>
      </c>
      <c r="B710" s="1">
        <v>40575</v>
      </c>
      <c r="C710">
        <v>1</v>
      </c>
      <c r="D710">
        <v>0</v>
      </c>
      <c r="E710">
        <v>2</v>
      </c>
      <c r="F710">
        <v>21</v>
      </c>
      <c r="G710" t="b">
        <v>0</v>
      </c>
      <c r="H710">
        <v>2</v>
      </c>
      <c r="I710">
        <v>2</v>
      </c>
      <c r="J710">
        <v>0.22</v>
      </c>
      <c r="K710">
        <v>0.2273</v>
      </c>
      <c r="L710">
        <v>0.87</v>
      </c>
      <c r="M710">
        <v>0.1343</v>
      </c>
      <c r="N710">
        <v>0</v>
      </c>
      <c r="O710">
        <v>64</v>
      </c>
      <c r="P710">
        <v>64</v>
      </c>
      <c r="Q710" t="str">
        <f t="shared" si="99"/>
        <v>Weekday</v>
      </c>
      <c r="R710" t="str">
        <f t="shared" si="100"/>
        <v>Mist/Cloudy</v>
      </c>
      <c r="S710" t="str">
        <f t="shared" si="101"/>
        <v>Night</v>
      </c>
      <c r="T710" t="str">
        <f t="shared" si="102"/>
        <v>February</v>
      </c>
      <c r="U710" t="str">
        <f t="shared" si="103"/>
        <v>Spring</v>
      </c>
      <c r="V710">
        <f t="shared" si="104"/>
        <v>0.22929155386993369</v>
      </c>
      <c r="W710">
        <f t="shared" si="105"/>
        <v>-0.25435329828790432</v>
      </c>
      <c r="X710">
        <f t="shared" si="106"/>
        <v>0.10399668008577614</v>
      </c>
      <c r="Y710">
        <f t="shared" si="107"/>
        <v>0.36604748519325236</v>
      </c>
    </row>
    <row r="711" spans="1:25" x14ac:dyDescent="0.3">
      <c r="A711">
        <v>710</v>
      </c>
      <c r="B711" s="1">
        <v>40575</v>
      </c>
      <c r="C711">
        <v>1</v>
      </c>
      <c r="D711">
        <v>0</v>
      </c>
      <c r="E711">
        <v>2</v>
      </c>
      <c r="F711">
        <v>22</v>
      </c>
      <c r="G711" t="b">
        <v>0</v>
      </c>
      <c r="H711">
        <v>2</v>
      </c>
      <c r="I711">
        <v>2</v>
      </c>
      <c r="J711">
        <v>0.22</v>
      </c>
      <c r="K711">
        <v>0.2576</v>
      </c>
      <c r="L711">
        <v>0.87</v>
      </c>
      <c r="M711">
        <v>8.9599999999999999E-2</v>
      </c>
      <c r="N711">
        <v>2</v>
      </c>
      <c r="O711">
        <v>34</v>
      </c>
      <c r="P711">
        <v>36</v>
      </c>
      <c r="Q711" t="str">
        <f t="shared" si="99"/>
        <v>Weekday</v>
      </c>
      <c r="R711" t="str">
        <f t="shared" si="100"/>
        <v>Mist/Cloudy</v>
      </c>
      <c r="S711" t="str">
        <f t="shared" si="101"/>
        <v>Night</v>
      </c>
      <c r="T711" t="str">
        <f t="shared" si="102"/>
        <v>February</v>
      </c>
      <c r="U711" t="str">
        <f t="shared" si="103"/>
        <v>Spring</v>
      </c>
      <c r="V711">
        <f t="shared" si="104"/>
        <v>0.22929155386993369</v>
      </c>
      <c r="W711">
        <f t="shared" si="105"/>
        <v>-0.25435329828790432</v>
      </c>
      <c r="X711">
        <f t="shared" si="106"/>
        <v>0.10399668008577614</v>
      </c>
      <c r="Y711">
        <f t="shared" si="107"/>
        <v>0.36604748519325236</v>
      </c>
    </row>
    <row r="712" spans="1:25" x14ac:dyDescent="0.3">
      <c r="A712">
        <v>711</v>
      </c>
      <c r="B712" s="1">
        <v>40575</v>
      </c>
      <c r="C712">
        <v>1</v>
      </c>
      <c r="D712">
        <v>0</v>
      </c>
      <c r="E712">
        <v>2</v>
      </c>
      <c r="F712">
        <v>23</v>
      </c>
      <c r="G712" t="b">
        <v>0</v>
      </c>
      <c r="H712">
        <v>2</v>
      </c>
      <c r="I712">
        <v>3</v>
      </c>
      <c r="J712">
        <v>0.2</v>
      </c>
      <c r="K712">
        <v>0.19700000000000001</v>
      </c>
      <c r="L712">
        <v>0.93</v>
      </c>
      <c r="M712">
        <v>0.19400000000000001</v>
      </c>
      <c r="N712">
        <v>1</v>
      </c>
      <c r="O712">
        <v>15</v>
      </c>
      <c r="P712">
        <v>16</v>
      </c>
      <c r="Q712" t="str">
        <f t="shared" si="99"/>
        <v>Weekday</v>
      </c>
      <c r="R712" t="str">
        <f t="shared" si="100"/>
        <v>Light Rain/Snow</v>
      </c>
      <c r="S712" t="str">
        <f t="shared" si="101"/>
        <v>Night</v>
      </c>
      <c r="T712" t="str">
        <f t="shared" si="102"/>
        <v>February</v>
      </c>
      <c r="U712" t="str">
        <f t="shared" si="103"/>
        <v>Spring</v>
      </c>
      <c r="V712">
        <f t="shared" si="104"/>
        <v>0.22929155386993369</v>
      </c>
      <c r="W712">
        <f t="shared" si="105"/>
        <v>-0.25435329828790432</v>
      </c>
      <c r="X712">
        <f t="shared" si="106"/>
        <v>0.10399668008577614</v>
      </c>
      <c r="Y712">
        <f t="shared" si="107"/>
        <v>0.36604748519325236</v>
      </c>
    </row>
    <row r="713" spans="1:25" x14ac:dyDescent="0.3">
      <c r="A713">
        <v>712</v>
      </c>
      <c r="B713" s="1">
        <v>40576</v>
      </c>
      <c r="C713">
        <v>1</v>
      </c>
      <c r="D713">
        <v>0</v>
      </c>
      <c r="E713">
        <v>2</v>
      </c>
      <c r="F713">
        <v>0</v>
      </c>
      <c r="G713" t="b">
        <v>0</v>
      </c>
      <c r="H713">
        <v>3</v>
      </c>
      <c r="I713">
        <v>3</v>
      </c>
      <c r="J713">
        <v>0.22</v>
      </c>
      <c r="K713">
        <v>0.2424</v>
      </c>
      <c r="L713">
        <v>0.93</v>
      </c>
      <c r="M713">
        <v>0.1045</v>
      </c>
      <c r="N713">
        <v>0</v>
      </c>
      <c r="O713">
        <v>2</v>
      </c>
      <c r="P713">
        <v>2</v>
      </c>
      <c r="Q713" t="str">
        <f t="shared" si="99"/>
        <v>Weekday</v>
      </c>
      <c r="R713" t="str">
        <f t="shared" si="100"/>
        <v>Light Rain/Snow</v>
      </c>
      <c r="S713" t="str">
        <f t="shared" si="101"/>
        <v>Night</v>
      </c>
      <c r="T713" t="str">
        <f t="shared" si="102"/>
        <v>February</v>
      </c>
      <c r="U713" t="str">
        <f t="shared" si="103"/>
        <v>Spring</v>
      </c>
      <c r="V713">
        <f t="shared" si="104"/>
        <v>0.22929155386993369</v>
      </c>
      <c r="W713">
        <f t="shared" si="105"/>
        <v>-0.25435329828790432</v>
      </c>
      <c r="X713">
        <f t="shared" si="106"/>
        <v>0.10399668008577614</v>
      </c>
      <c r="Y713">
        <f t="shared" si="107"/>
        <v>0.36604748519325236</v>
      </c>
    </row>
    <row r="714" spans="1:25" x14ac:dyDescent="0.3">
      <c r="A714">
        <v>713</v>
      </c>
      <c r="B714" s="1">
        <v>40576</v>
      </c>
      <c r="C714">
        <v>1</v>
      </c>
      <c r="D714">
        <v>0</v>
      </c>
      <c r="E714">
        <v>2</v>
      </c>
      <c r="F714">
        <v>1</v>
      </c>
      <c r="G714" t="b">
        <v>0</v>
      </c>
      <c r="H714">
        <v>3</v>
      </c>
      <c r="I714">
        <v>3</v>
      </c>
      <c r="J714">
        <v>0.22</v>
      </c>
      <c r="K714">
        <v>0.2273</v>
      </c>
      <c r="L714">
        <v>0.93</v>
      </c>
      <c r="M714">
        <v>0.19400000000000001</v>
      </c>
      <c r="N714">
        <v>0</v>
      </c>
      <c r="O714">
        <v>3</v>
      </c>
      <c r="P714">
        <v>3</v>
      </c>
      <c r="Q714" t="str">
        <f t="shared" si="99"/>
        <v>Weekday</v>
      </c>
      <c r="R714" t="str">
        <f t="shared" si="100"/>
        <v>Light Rain/Snow</v>
      </c>
      <c r="S714" t="str">
        <f t="shared" si="101"/>
        <v>Night</v>
      </c>
      <c r="T714" t="str">
        <f t="shared" si="102"/>
        <v>February</v>
      </c>
      <c r="U714" t="str">
        <f t="shared" si="103"/>
        <v>Spring</v>
      </c>
      <c r="V714">
        <f t="shared" si="104"/>
        <v>0.22929155386993369</v>
      </c>
      <c r="W714">
        <f t="shared" si="105"/>
        <v>-0.25435329828790432</v>
      </c>
      <c r="X714">
        <f t="shared" si="106"/>
        <v>0.10399668008577614</v>
      </c>
      <c r="Y714">
        <f t="shared" si="107"/>
        <v>0.36604748519325236</v>
      </c>
    </row>
    <row r="715" spans="1:25" x14ac:dyDescent="0.3">
      <c r="A715">
        <v>714</v>
      </c>
      <c r="B715" s="1">
        <v>40576</v>
      </c>
      <c r="C715">
        <v>1</v>
      </c>
      <c r="D715">
        <v>0</v>
      </c>
      <c r="E715">
        <v>2</v>
      </c>
      <c r="F715">
        <v>2</v>
      </c>
      <c r="G715" t="b">
        <v>0</v>
      </c>
      <c r="H715">
        <v>3</v>
      </c>
      <c r="I715">
        <v>3</v>
      </c>
      <c r="J715">
        <v>0.22</v>
      </c>
      <c r="K715">
        <v>0.2273</v>
      </c>
      <c r="L715">
        <v>0.93</v>
      </c>
      <c r="M715">
        <v>0.1343</v>
      </c>
      <c r="N715">
        <v>4</v>
      </c>
      <c r="O715">
        <v>0</v>
      </c>
      <c r="P715">
        <v>4</v>
      </c>
      <c r="Q715" t="str">
        <f t="shared" si="99"/>
        <v>Weekday</v>
      </c>
      <c r="R715" t="str">
        <f t="shared" si="100"/>
        <v>Light Rain/Snow</v>
      </c>
      <c r="S715" t="str">
        <f t="shared" si="101"/>
        <v>Night</v>
      </c>
      <c r="T715" t="str">
        <f t="shared" si="102"/>
        <v>February</v>
      </c>
      <c r="U715" t="str">
        <f t="shared" si="103"/>
        <v>Spring</v>
      </c>
      <c r="V715">
        <f t="shared" si="104"/>
        <v>0.22929155386993369</v>
      </c>
      <c r="W715">
        <f t="shared" si="105"/>
        <v>-0.25435329828790432</v>
      </c>
      <c r="X715">
        <f t="shared" si="106"/>
        <v>0.10399668008577614</v>
      </c>
      <c r="Y715">
        <f t="shared" si="107"/>
        <v>0.36604748519325236</v>
      </c>
    </row>
    <row r="716" spans="1:25" x14ac:dyDescent="0.3">
      <c r="A716">
        <v>715</v>
      </c>
      <c r="B716" s="1">
        <v>40576</v>
      </c>
      <c r="C716">
        <v>1</v>
      </c>
      <c r="D716">
        <v>0</v>
      </c>
      <c r="E716">
        <v>2</v>
      </c>
      <c r="F716">
        <v>3</v>
      </c>
      <c r="G716" t="b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0.1343</v>
      </c>
      <c r="N716">
        <v>0</v>
      </c>
      <c r="O716">
        <v>1</v>
      </c>
      <c r="P716">
        <v>1</v>
      </c>
      <c r="Q716" t="str">
        <f t="shared" si="99"/>
        <v>Weekday</v>
      </c>
      <c r="R716" t="str">
        <f t="shared" si="100"/>
        <v>Light Rain/Snow</v>
      </c>
      <c r="S716" t="str">
        <f t="shared" si="101"/>
        <v>Night</v>
      </c>
      <c r="T716" t="str">
        <f t="shared" si="102"/>
        <v>February</v>
      </c>
      <c r="U716" t="str">
        <f t="shared" si="103"/>
        <v>Spring</v>
      </c>
      <c r="V716">
        <f t="shared" si="104"/>
        <v>0.22929155386993369</v>
      </c>
      <c r="W716">
        <f t="shared" si="105"/>
        <v>-0.25435329828790432</v>
      </c>
      <c r="X716">
        <f t="shared" si="106"/>
        <v>0.10399668008577614</v>
      </c>
      <c r="Y716">
        <f t="shared" si="107"/>
        <v>0.36604748519325236</v>
      </c>
    </row>
    <row r="717" spans="1:25" x14ac:dyDescent="0.3">
      <c r="A717">
        <v>716</v>
      </c>
      <c r="B717" s="1">
        <v>40576</v>
      </c>
      <c r="C717">
        <v>1</v>
      </c>
      <c r="D717">
        <v>0</v>
      </c>
      <c r="E717">
        <v>2</v>
      </c>
      <c r="F717">
        <v>4</v>
      </c>
      <c r="G717" t="b">
        <v>0</v>
      </c>
      <c r="H717">
        <v>3</v>
      </c>
      <c r="I717">
        <v>3</v>
      </c>
      <c r="J717">
        <v>0.22</v>
      </c>
      <c r="K717">
        <v>0.21210000000000001</v>
      </c>
      <c r="L717">
        <v>0.93</v>
      </c>
      <c r="M717">
        <v>0.28360000000000002</v>
      </c>
      <c r="N717">
        <v>0</v>
      </c>
      <c r="O717">
        <v>1</v>
      </c>
      <c r="P717">
        <v>1</v>
      </c>
      <c r="Q717" t="str">
        <f t="shared" si="99"/>
        <v>Weekday</v>
      </c>
      <c r="R717" t="str">
        <f t="shared" si="100"/>
        <v>Light Rain/Snow</v>
      </c>
      <c r="S717" t="str">
        <f t="shared" si="101"/>
        <v>Night</v>
      </c>
      <c r="T717" t="str">
        <f t="shared" si="102"/>
        <v>February</v>
      </c>
      <c r="U717" t="str">
        <f t="shared" si="103"/>
        <v>Spring</v>
      </c>
      <c r="V717">
        <f t="shared" si="104"/>
        <v>0.22929155386993369</v>
      </c>
      <c r="W717">
        <f t="shared" si="105"/>
        <v>-0.25435329828790432</v>
      </c>
      <c r="X717">
        <f t="shared" si="106"/>
        <v>0.10399668008577614</v>
      </c>
      <c r="Y717">
        <f t="shared" si="107"/>
        <v>0.36604748519325236</v>
      </c>
    </row>
    <row r="718" spans="1:25" x14ac:dyDescent="0.3">
      <c r="A718">
        <v>717</v>
      </c>
      <c r="B718" s="1">
        <v>40576</v>
      </c>
      <c r="C718">
        <v>1</v>
      </c>
      <c r="D718">
        <v>0</v>
      </c>
      <c r="E718">
        <v>2</v>
      </c>
      <c r="F718">
        <v>5</v>
      </c>
      <c r="G718" t="b">
        <v>0</v>
      </c>
      <c r="H718">
        <v>3</v>
      </c>
      <c r="I718">
        <v>3</v>
      </c>
      <c r="J718">
        <v>0.22</v>
      </c>
      <c r="K718">
        <v>0.2424</v>
      </c>
      <c r="L718">
        <v>0.93</v>
      </c>
      <c r="M718">
        <v>0.1045</v>
      </c>
      <c r="N718">
        <v>0</v>
      </c>
      <c r="O718">
        <v>3</v>
      </c>
      <c r="P718">
        <v>3</v>
      </c>
      <c r="Q718" t="str">
        <f t="shared" si="99"/>
        <v>Weekday</v>
      </c>
      <c r="R718" t="str">
        <f t="shared" si="100"/>
        <v>Light Rain/Snow</v>
      </c>
      <c r="S718" t="str">
        <f t="shared" si="101"/>
        <v>Night</v>
      </c>
      <c r="T718" t="str">
        <f t="shared" si="102"/>
        <v>February</v>
      </c>
      <c r="U718" t="str">
        <f t="shared" si="103"/>
        <v>Spring</v>
      </c>
      <c r="V718">
        <f t="shared" si="104"/>
        <v>0.22929155386993369</v>
      </c>
      <c r="W718">
        <f t="shared" si="105"/>
        <v>-0.25435329828790432</v>
      </c>
      <c r="X718">
        <f t="shared" si="106"/>
        <v>0.10399668008577614</v>
      </c>
      <c r="Y718">
        <f t="shared" si="107"/>
        <v>0.36604748519325236</v>
      </c>
    </row>
    <row r="719" spans="1:25" x14ac:dyDescent="0.3">
      <c r="A719">
        <v>718</v>
      </c>
      <c r="B719" s="1">
        <v>40576</v>
      </c>
      <c r="C719">
        <v>1</v>
      </c>
      <c r="D719">
        <v>0</v>
      </c>
      <c r="E719">
        <v>2</v>
      </c>
      <c r="F719">
        <v>6</v>
      </c>
      <c r="G719" t="b">
        <v>0</v>
      </c>
      <c r="H719">
        <v>3</v>
      </c>
      <c r="I719">
        <v>3</v>
      </c>
      <c r="J719">
        <v>0.22</v>
      </c>
      <c r="K719">
        <v>0.2424</v>
      </c>
      <c r="L719">
        <v>0.93</v>
      </c>
      <c r="M719">
        <v>0.1045</v>
      </c>
      <c r="N719">
        <v>1</v>
      </c>
      <c r="O719">
        <v>17</v>
      </c>
      <c r="P719">
        <v>18</v>
      </c>
      <c r="Q719" t="str">
        <f t="shared" si="99"/>
        <v>Weekday</v>
      </c>
      <c r="R719" t="str">
        <f t="shared" si="100"/>
        <v>Light Rain/Snow</v>
      </c>
      <c r="S719" t="str">
        <f t="shared" si="101"/>
        <v>Morning</v>
      </c>
      <c r="T719" t="str">
        <f t="shared" si="102"/>
        <v>February</v>
      </c>
      <c r="U719" t="str">
        <f t="shared" si="103"/>
        <v>Spring</v>
      </c>
      <c r="V719">
        <f t="shared" si="104"/>
        <v>0.22929155386993369</v>
      </c>
      <c r="W719">
        <f t="shared" si="105"/>
        <v>-0.25435329828790432</v>
      </c>
      <c r="X719">
        <f t="shared" si="106"/>
        <v>0.10399668008577614</v>
      </c>
      <c r="Y719">
        <f t="shared" si="107"/>
        <v>0.36604748519325236</v>
      </c>
    </row>
    <row r="720" spans="1:25" x14ac:dyDescent="0.3">
      <c r="A720">
        <v>719</v>
      </c>
      <c r="B720" s="1">
        <v>40576</v>
      </c>
      <c r="C720">
        <v>1</v>
      </c>
      <c r="D720">
        <v>0</v>
      </c>
      <c r="E720">
        <v>2</v>
      </c>
      <c r="F720">
        <v>7</v>
      </c>
      <c r="G720" t="b">
        <v>0</v>
      </c>
      <c r="H720">
        <v>3</v>
      </c>
      <c r="I720">
        <v>3</v>
      </c>
      <c r="J720">
        <v>0.22</v>
      </c>
      <c r="K720">
        <v>0.21210000000000001</v>
      </c>
      <c r="L720">
        <v>0.93</v>
      </c>
      <c r="M720">
        <v>0.22389999999999999</v>
      </c>
      <c r="N720">
        <v>1</v>
      </c>
      <c r="O720">
        <v>48</v>
      </c>
      <c r="P720">
        <v>49</v>
      </c>
      <c r="Q720" t="str">
        <f t="shared" si="99"/>
        <v>Weekday</v>
      </c>
      <c r="R720" t="str">
        <f t="shared" si="100"/>
        <v>Light Rain/Snow</v>
      </c>
      <c r="S720" t="str">
        <f t="shared" si="101"/>
        <v>Morning</v>
      </c>
      <c r="T720" t="str">
        <f t="shared" si="102"/>
        <v>February</v>
      </c>
      <c r="U720" t="str">
        <f t="shared" si="103"/>
        <v>Spring</v>
      </c>
      <c r="V720">
        <f t="shared" si="104"/>
        <v>0.22929155386993369</v>
      </c>
      <c r="W720">
        <f t="shared" si="105"/>
        <v>-0.25435329828790432</v>
      </c>
      <c r="X720">
        <f t="shared" si="106"/>
        <v>0.10399668008577614</v>
      </c>
      <c r="Y720">
        <f t="shared" si="107"/>
        <v>0.36604748519325236</v>
      </c>
    </row>
    <row r="721" spans="1:25" x14ac:dyDescent="0.3">
      <c r="A721">
        <v>720</v>
      </c>
      <c r="B721" s="1">
        <v>40576</v>
      </c>
      <c r="C721">
        <v>1</v>
      </c>
      <c r="D721">
        <v>0</v>
      </c>
      <c r="E721">
        <v>2</v>
      </c>
      <c r="F721">
        <v>8</v>
      </c>
      <c r="G721" t="b">
        <v>0</v>
      </c>
      <c r="H721">
        <v>3</v>
      </c>
      <c r="I721">
        <v>3</v>
      </c>
      <c r="J721">
        <v>0.22</v>
      </c>
      <c r="K721">
        <v>0.21210000000000001</v>
      </c>
      <c r="L721">
        <v>0.93</v>
      </c>
      <c r="M721">
        <v>0.22389999999999999</v>
      </c>
      <c r="N721">
        <v>1</v>
      </c>
      <c r="O721">
        <v>154</v>
      </c>
      <c r="P721">
        <v>155</v>
      </c>
      <c r="Q721" t="str">
        <f t="shared" si="99"/>
        <v>Weekday</v>
      </c>
      <c r="R721" t="str">
        <f t="shared" si="100"/>
        <v>Light Rain/Snow</v>
      </c>
      <c r="S721" t="str">
        <f t="shared" si="101"/>
        <v>Morning</v>
      </c>
      <c r="T721" t="str">
        <f t="shared" si="102"/>
        <v>February</v>
      </c>
      <c r="U721" t="str">
        <f t="shared" si="103"/>
        <v>Spring</v>
      </c>
      <c r="V721">
        <f t="shared" si="104"/>
        <v>0.22929155386993369</v>
      </c>
      <c r="W721">
        <f t="shared" si="105"/>
        <v>-0.25435329828790432</v>
      </c>
      <c r="X721">
        <f t="shared" si="106"/>
        <v>0.10399668008577614</v>
      </c>
      <c r="Y721">
        <f t="shared" si="107"/>
        <v>0.36604748519325236</v>
      </c>
    </row>
    <row r="722" spans="1:25" x14ac:dyDescent="0.3">
      <c r="A722">
        <v>721</v>
      </c>
      <c r="B722" s="1">
        <v>40576</v>
      </c>
      <c r="C722">
        <v>1</v>
      </c>
      <c r="D722">
        <v>0</v>
      </c>
      <c r="E722">
        <v>2</v>
      </c>
      <c r="F722">
        <v>9</v>
      </c>
      <c r="G722" t="b">
        <v>0</v>
      </c>
      <c r="H722">
        <v>3</v>
      </c>
      <c r="I722">
        <v>2</v>
      </c>
      <c r="J722">
        <v>0.24</v>
      </c>
      <c r="K722">
        <v>0.2576</v>
      </c>
      <c r="L722">
        <v>0.93</v>
      </c>
      <c r="M722">
        <v>8.9599999999999999E-2</v>
      </c>
      <c r="N722">
        <v>4</v>
      </c>
      <c r="O722">
        <v>119</v>
      </c>
      <c r="P722">
        <v>123</v>
      </c>
      <c r="Q722" t="str">
        <f t="shared" si="99"/>
        <v>Weekday</v>
      </c>
      <c r="R722" t="str">
        <f t="shared" si="100"/>
        <v>Mist/Cloudy</v>
      </c>
      <c r="S722" t="str">
        <f t="shared" si="101"/>
        <v>Morning</v>
      </c>
      <c r="T722" t="str">
        <f t="shared" si="102"/>
        <v>February</v>
      </c>
      <c r="U722" t="str">
        <f t="shared" si="103"/>
        <v>Spring</v>
      </c>
      <c r="V722">
        <f t="shared" si="104"/>
        <v>0.22929155386993369</v>
      </c>
      <c r="W722">
        <f t="shared" si="105"/>
        <v>-0.25435329828790432</v>
      </c>
      <c r="X722">
        <f t="shared" si="106"/>
        <v>0.10399668008577614</v>
      </c>
      <c r="Y722">
        <f t="shared" si="107"/>
        <v>0.36604748519325236</v>
      </c>
    </row>
    <row r="723" spans="1:25" x14ac:dyDescent="0.3">
      <c r="A723">
        <v>722</v>
      </c>
      <c r="B723" s="1">
        <v>40576</v>
      </c>
      <c r="C723">
        <v>1</v>
      </c>
      <c r="D723">
        <v>0</v>
      </c>
      <c r="E723">
        <v>2</v>
      </c>
      <c r="F723">
        <v>10</v>
      </c>
      <c r="G723" t="b">
        <v>0</v>
      </c>
      <c r="H723">
        <v>3</v>
      </c>
      <c r="I723">
        <v>2</v>
      </c>
      <c r="J723">
        <v>0.22</v>
      </c>
      <c r="K723">
        <v>0.2727</v>
      </c>
      <c r="L723">
        <v>1</v>
      </c>
      <c r="M723">
        <v>0</v>
      </c>
      <c r="N723">
        <v>2</v>
      </c>
      <c r="O723">
        <v>59</v>
      </c>
      <c r="P723">
        <v>61</v>
      </c>
      <c r="Q723" t="str">
        <f t="shared" si="99"/>
        <v>Weekday</v>
      </c>
      <c r="R723" t="str">
        <f t="shared" si="100"/>
        <v>Mist/Cloudy</v>
      </c>
      <c r="S723" t="str">
        <f t="shared" si="101"/>
        <v>Morning</v>
      </c>
      <c r="T723" t="str">
        <f t="shared" si="102"/>
        <v>February</v>
      </c>
      <c r="U723" t="str">
        <f t="shared" si="103"/>
        <v>Spring</v>
      </c>
      <c r="V723">
        <f t="shared" si="104"/>
        <v>0.22929155386993369</v>
      </c>
      <c r="W723">
        <f t="shared" si="105"/>
        <v>-0.25435329828790432</v>
      </c>
      <c r="X723">
        <f t="shared" si="106"/>
        <v>0.10399668008577614</v>
      </c>
      <c r="Y723">
        <f t="shared" si="107"/>
        <v>0.36604748519325236</v>
      </c>
    </row>
    <row r="724" spans="1:25" x14ac:dyDescent="0.3">
      <c r="A724">
        <v>723</v>
      </c>
      <c r="B724" s="1">
        <v>40576</v>
      </c>
      <c r="C724">
        <v>1</v>
      </c>
      <c r="D724">
        <v>0</v>
      </c>
      <c r="E724">
        <v>2</v>
      </c>
      <c r="F724">
        <v>11</v>
      </c>
      <c r="G724" t="b">
        <v>0</v>
      </c>
      <c r="H724">
        <v>3</v>
      </c>
      <c r="I724">
        <v>2</v>
      </c>
      <c r="J724">
        <v>0.24</v>
      </c>
      <c r="K724">
        <v>0.2273</v>
      </c>
      <c r="L724">
        <v>0.93</v>
      </c>
      <c r="M724">
        <v>0.19400000000000001</v>
      </c>
      <c r="N724">
        <v>5</v>
      </c>
      <c r="O724">
        <v>47</v>
      </c>
      <c r="P724">
        <v>52</v>
      </c>
      <c r="Q724" t="str">
        <f t="shared" si="99"/>
        <v>Weekday</v>
      </c>
      <c r="R724" t="str">
        <f t="shared" si="100"/>
        <v>Mist/Cloudy</v>
      </c>
      <c r="S724" t="str">
        <f t="shared" si="101"/>
        <v>Morning</v>
      </c>
      <c r="T724" t="str">
        <f t="shared" si="102"/>
        <v>February</v>
      </c>
      <c r="U724" t="str">
        <f t="shared" si="103"/>
        <v>Spring</v>
      </c>
      <c r="V724">
        <f t="shared" si="104"/>
        <v>0.22929155386993369</v>
      </c>
      <c r="W724">
        <f t="shared" si="105"/>
        <v>-0.25435329828790432</v>
      </c>
      <c r="X724">
        <f t="shared" si="106"/>
        <v>0.10399668008577614</v>
      </c>
      <c r="Y724">
        <f t="shared" si="107"/>
        <v>0.36604748519325236</v>
      </c>
    </row>
    <row r="725" spans="1:25" x14ac:dyDescent="0.3">
      <c r="A725">
        <v>724</v>
      </c>
      <c r="B725" s="1">
        <v>40576</v>
      </c>
      <c r="C725">
        <v>1</v>
      </c>
      <c r="D725">
        <v>0</v>
      </c>
      <c r="E725">
        <v>2</v>
      </c>
      <c r="F725">
        <v>12</v>
      </c>
      <c r="G725" t="b">
        <v>0</v>
      </c>
      <c r="H725">
        <v>3</v>
      </c>
      <c r="I725">
        <v>2</v>
      </c>
      <c r="J725">
        <v>0.24</v>
      </c>
      <c r="K725">
        <v>0.2273</v>
      </c>
      <c r="L725">
        <v>0.93</v>
      </c>
      <c r="M725">
        <v>0.22389999999999999</v>
      </c>
      <c r="N725">
        <v>3</v>
      </c>
      <c r="O725">
        <v>61</v>
      </c>
      <c r="P725">
        <v>64</v>
      </c>
      <c r="Q725" t="str">
        <f t="shared" si="99"/>
        <v>Weekday</v>
      </c>
      <c r="R725" t="str">
        <f t="shared" si="100"/>
        <v>Mist/Cloudy</v>
      </c>
      <c r="S725" t="str">
        <f t="shared" si="101"/>
        <v>Afternoon</v>
      </c>
      <c r="T725" t="str">
        <f t="shared" si="102"/>
        <v>February</v>
      </c>
      <c r="U725" t="str">
        <f t="shared" si="103"/>
        <v>Spring</v>
      </c>
      <c r="V725">
        <f t="shared" si="104"/>
        <v>0.22929155386993369</v>
      </c>
      <c r="W725">
        <f t="shared" si="105"/>
        <v>-0.25435329828790432</v>
      </c>
      <c r="X725">
        <f t="shared" si="106"/>
        <v>0.10399668008577614</v>
      </c>
      <c r="Y725">
        <f t="shared" si="107"/>
        <v>0.36604748519325236</v>
      </c>
    </row>
    <row r="726" spans="1:25" x14ac:dyDescent="0.3">
      <c r="A726">
        <v>725</v>
      </c>
      <c r="B726" s="1">
        <v>40576</v>
      </c>
      <c r="C726">
        <v>1</v>
      </c>
      <c r="D726">
        <v>0</v>
      </c>
      <c r="E726">
        <v>2</v>
      </c>
      <c r="F726">
        <v>13</v>
      </c>
      <c r="G726" t="b">
        <v>0</v>
      </c>
      <c r="H726">
        <v>3</v>
      </c>
      <c r="I726">
        <v>1</v>
      </c>
      <c r="J726">
        <v>0.34</v>
      </c>
      <c r="K726">
        <v>0.33329999999999999</v>
      </c>
      <c r="L726">
        <v>0.93</v>
      </c>
      <c r="M726">
        <v>0.16420000000000001</v>
      </c>
      <c r="N726">
        <v>1</v>
      </c>
      <c r="O726">
        <v>74</v>
      </c>
      <c r="P726">
        <v>75</v>
      </c>
      <c r="Q726" t="str">
        <f t="shared" si="99"/>
        <v>Weekday</v>
      </c>
      <c r="R726" t="str">
        <f t="shared" si="100"/>
        <v>Clear</v>
      </c>
      <c r="S726" t="str">
        <f t="shared" si="101"/>
        <v>Afternoon</v>
      </c>
      <c r="T726" t="str">
        <f t="shared" si="102"/>
        <v>February</v>
      </c>
      <c r="U726" t="str">
        <f t="shared" si="103"/>
        <v>Spring</v>
      </c>
      <c r="V726">
        <f t="shared" si="104"/>
        <v>0.22929155386993369</v>
      </c>
      <c r="W726">
        <f t="shared" si="105"/>
        <v>-0.25435329828790432</v>
      </c>
      <c r="X726">
        <f t="shared" si="106"/>
        <v>0.10399668008577614</v>
      </c>
      <c r="Y726">
        <f t="shared" si="107"/>
        <v>0.36604748519325236</v>
      </c>
    </row>
    <row r="727" spans="1:25" x14ac:dyDescent="0.3">
      <c r="A727">
        <v>726</v>
      </c>
      <c r="B727" s="1">
        <v>40576</v>
      </c>
      <c r="C727">
        <v>1</v>
      </c>
      <c r="D727">
        <v>0</v>
      </c>
      <c r="E727">
        <v>2</v>
      </c>
      <c r="F727">
        <v>14</v>
      </c>
      <c r="G727" t="b">
        <v>0</v>
      </c>
      <c r="H727">
        <v>3</v>
      </c>
      <c r="I727">
        <v>1</v>
      </c>
      <c r="J727">
        <v>0.38</v>
      </c>
      <c r="K727">
        <v>0.39389999999999997</v>
      </c>
      <c r="L727">
        <v>0.82</v>
      </c>
      <c r="M727">
        <v>0.3881</v>
      </c>
      <c r="N727">
        <v>2</v>
      </c>
      <c r="O727">
        <v>61</v>
      </c>
      <c r="P727">
        <v>63</v>
      </c>
      <c r="Q727" t="str">
        <f t="shared" si="99"/>
        <v>Weekday</v>
      </c>
      <c r="R727" t="str">
        <f t="shared" si="100"/>
        <v>Clear</v>
      </c>
      <c r="S727" t="str">
        <f t="shared" si="101"/>
        <v>Afternoon</v>
      </c>
      <c r="T727" t="str">
        <f t="shared" si="102"/>
        <v>February</v>
      </c>
      <c r="U727" t="str">
        <f t="shared" si="103"/>
        <v>Spring</v>
      </c>
      <c r="V727">
        <f t="shared" si="104"/>
        <v>0.22929155386993369</v>
      </c>
      <c r="W727">
        <f t="shared" si="105"/>
        <v>-0.25435329828790432</v>
      </c>
      <c r="X727">
        <f t="shared" si="106"/>
        <v>0.10399668008577614</v>
      </c>
      <c r="Y727">
        <f t="shared" si="107"/>
        <v>0.36604748519325236</v>
      </c>
    </row>
    <row r="728" spans="1:25" x14ac:dyDescent="0.3">
      <c r="A728">
        <v>727</v>
      </c>
      <c r="B728" s="1">
        <v>40576</v>
      </c>
      <c r="C728">
        <v>1</v>
      </c>
      <c r="D728">
        <v>0</v>
      </c>
      <c r="E728">
        <v>2</v>
      </c>
      <c r="F728">
        <v>15</v>
      </c>
      <c r="G728" t="b">
        <v>0</v>
      </c>
      <c r="H728">
        <v>3</v>
      </c>
      <c r="I728">
        <v>1</v>
      </c>
      <c r="J728">
        <v>0.38</v>
      </c>
      <c r="K728">
        <v>0.39389999999999997</v>
      </c>
      <c r="L728">
        <v>0.76</v>
      </c>
      <c r="M728">
        <v>0.32840000000000003</v>
      </c>
      <c r="N728">
        <v>10</v>
      </c>
      <c r="O728">
        <v>66</v>
      </c>
      <c r="P728">
        <v>76</v>
      </c>
      <c r="Q728" t="str">
        <f t="shared" si="99"/>
        <v>Weekday</v>
      </c>
      <c r="R728" t="str">
        <f t="shared" si="100"/>
        <v>Clear</v>
      </c>
      <c r="S728" t="str">
        <f t="shared" si="101"/>
        <v>Afternoon</v>
      </c>
      <c r="T728" t="str">
        <f t="shared" si="102"/>
        <v>February</v>
      </c>
      <c r="U728" t="str">
        <f t="shared" si="103"/>
        <v>Spring</v>
      </c>
      <c r="V728">
        <f t="shared" si="104"/>
        <v>0.22929155386993369</v>
      </c>
      <c r="W728">
        <f t="shared" si="105"/>
        <v>-0.25435329828790432</v>
      </c>
      <c r="X728">
        <f t="shared" si="106"/>
        <v>0.10399668008577614</v>
      </c>
      <c r="Y728">
        <f t="shared" si="107"/>
        <v>0.36604748519325236</v>
      </c>
    </row>
    <row r="729" spans="1:25" x14ac:dyDescent="0.3">
      <c r="A729">
        <v>728</v>
      </c>
      <c r="B729" s="1">
        <v>40576</v>
      </c>
      <c r="C729">
        <v>1</v>
      </c>
      <c r="D729">
        <v>0</v>
      </c>
      <c r="E729">
        <v>2</v>
      </c>
      <c r="F729">
        <v>16</v>
      </c>
      <c r="G729" t="b">
        <v>0</v>
      </c>
      <c r="H729">
        <v>3</v>
      </c>
      <c r="I729">
        <v>1</v>
      </c>
      <c r="J729">
        <v>0.36</v>
      </c>
      <c r="K729">
        <v>0.33329999999999999</v>
      </c>
      <c r="L729">
        <v>0.71</v>
      </c>
      <c r="M729">
        <v>0.29849999999999999</v>
      </c>
      <c r="N729">
        <v>8</v>
      </c>
      <c r="O729">
        <v>95</v>
      </c>
      <c r="P729">
        <v>103</v>
      </c>
      <c r="Q729" t="str">
        <f t="shared" si="99"/>
        <v>Weekday</v>
      </c>
      <c r="R729" t="str">
        <f t="shared" si="100"/>
        <v>Clear</v>
      </c>
      <c r="S729" t="str">
        <f t="shared" si="101"/>
        <v>Afternoon</v>
      </c>
      <c r="T729" t="str">
        <f t="shared" si="102"/>
        <v>February</v>
      </c>
      <c r="U729" t="str">
        <f t="shared" si="103"/>
        <v>Spring</v>
      </c>
      <c r="V729">
        <f t="shared" si="104"/>
        <v>0.22929155386993369</v>
      </c>
      <c r="W729">
        <f t="shared" si="105"/>
        <v>-0.25435329828790432</v>
      </c>
      <c r="X729">
        <f t="shared" si="106"/>
        <v>0.10399668008577614</v>
      </c>
      <c r="Y729">
        <f t="shared" si="107"/>
        <v>0.36604748519325236</v>
      </c>
    </row>
    <row r="730" spans="1:25" x14ac:dyDescent="0.3">
      <c r="A730">
        <v>729</v>
      </c>
      <c r="B730" s="1">
        <v>40576</v>
      </c>
      <c r="C730">
        <v>1</v>
      </c>
      <c r="D730">
        <v>0</v>
      </c>
      <c r="E730">
        <v>2</v>
      </c>
      <c r="F730">
        <v>17</v>
      </c>
      <c r="G730" t="b">
        <v>0</v>
      </c>
      <c r="H730">
        <v>3</v>
      </c>
      <c r="I730">
        <v>1</v>
      </c>
      <c r="J730">
        <v>0.36</v>
      </c>
      <c r="K730">
        <v>0.31819999999999998</v>
      </c>
      <c r="L730">
        <v>0.53</v>
      </c>
      <c r="M730">
        <v>0.52239999999999998</v>
      </c>
      <c r="N730">
        <v>7</v>
      </c>
      <c r="O730">
        <v>183</v>
      </c>
      <c r="P730">
        <v>190</v>
      </c>
      <c r="Q730" t="str">
        <f t="shared" si="99"/>
        <v>Weekday</v>
      </c>
      <c r="R730" t="str">
        <f t="shared" si="100"/>
        <v>Clear</v>
      </c>
      <c r="S730" t="str">
        <f t="shared" si="101"/>
        <v>Evening</v>
      </c>
      <c r="T730" t="str">
        <f t="shared" si="102"/>
        <v>February</v>
      </c>
      <c r="U730" t="str">
        <f t="shared" si="103"/>
        <v>Spring</v>
      </c>
      <c r="V730">
        <f t="shared" si="104"/>
        <v>0.22929155386993369</v>
      </c>
      <c r="W730">
        <f t="shared" si="105"/>
        <v>-0.25435329828790432</v>
      </c>
      <c r="X730">
        <f t="shared" si="106"/>
        <v>0.10399668008577614</v>
      </c>
      <c r="Y730">
        <f t="shared" si="107"/>
        <v>0.36604748519325236</v>
      </c>
    </row>
    <row r="731" spans="1:25" x14ac:dyDescent="0.3">
      <c r="A731">
        <v>730</v>
      </c>
      <c r="B731" s="1">
        <v>40576</v>
      </c>
      <c r="C731">
        <v>1</v>
      </c>
      <c r="D731">
        <v>0</v>
      </c>
      <c r="E731">
        <v>2</v>
      </c>
      <c r="F731">
        <v>18</v>
      </c>
      <c r="G731" t="b">
        <v>0</v>
      </c>
      <c r="H731">
        <v>3</v>
      </c>
      <c r="I731">
        <v>1</v>
      </c>
      <c r="J731">
        <v>0.34</v>
      </c>
      <c r="K731">
        <v>0.28789999999999999</v>
      </c>
      <c r="L731">
        <v>0.42</v>
      </c>
      <c r="M731">
        <v>0.55220000000000002</v>
      </c>
      <c r="N731">
        <v>7</v>
      </c>
      <c r="O731">
        <v>175</v>
      </c>
      <c r="P731">
        <v>182</v>
      </c>
      <c r="Q731" t="str">
        <f t="shared" si="99"/>
        <v>Weekday</v>
      </c>
      <c r="R731" t="str">
        <f t="shared" si="100"/>
        <v>Clear</v>
      </c>
      <c r="S731" t="str">
        <f t="shared" si="101"/>
        <v>Evening</v>
      </c>
      <c r="T731" t="str">
        <f t="shared" si="102"/>
        <v>February</v>
      </c>
      <c r="U731" t="str">
        <f t="shared" si="103"/>
        <v>Spring</v>
      </c>
      <c r="V731">
        <f t="shared" si="104"/>
        <v>0.22929155386993369</v>
      </c>
      <c r="W731">
        <f t="shared" si="105"/>
        <v>-0.25435329828790432</v>
      </c>
      <c r="X731">
        <f t="shared" si="106"/>
        <v>0.10399668008577614</v>
      </c>
      <c r="Y731">
        <f t="shared" si="107"/>
        <v>0.36604748519325236</v>
      </c>
    </row>
    <row r="732" spans="1:25" x14ac:dyDescent="0.3">
      <c r="A732">
        <v>731</v>
      </c>
      <c r="B732" s="1">
        <v>40576</v>
      </c>
      <c r="C732">
        <v>1</v>
      </c>
      <c r="D732">
        <v>0</v>
      </c>
      <c r="E732">
        <v>2</v>
      </c>
      <c r="F732">
        <v>19</v>
      </c>
      <c r="G732" t="b">
        <v>0</v>
      </c>
      <c r="H732">
        <v>3</v>
      </c>
      <c r="I732">
        <v>1</v>
      </c>
      <c r="J732">
        <v>0.28000000000000003</v>
      </c>
      <c r="K732">
        <v>0.2424</v>
      </c>
      <c r="L732">
        <v>0.45</v>
      </c>
      <c r="M732">
        <v>0.49249999999999999</v>
      </c>
      <c r="N732">
        <v>3</v>
      </c>
      <c r="O732">
        <v>88</v>
      </c>
      <c r="P732">
        <v>91</v>
      </c>
      <c r="Q732" t="str">
        <f t="shared" si="99"/>
        <v>Weekday</v>
      </c>
      <c r="R732" t="str">
        <f t="shared" si="100"/>
        <v>Clear</v>
      </c>
      <c r="S732" t="str">
        <f t="shared" si="101"/>
        <v>Evening</v>
      </c>
      <c r="T732" t="str">
        <f t="shared" si="102"/>
        <v>February</v>
      </c>
      <c r="U732" t="str">
        <f t="shared" si="103"/>
        <v>Spring</v>
      </c>
      <c r="V732">
        <f t="shared" si="104"/>
        <v>0.22929155386993369</v>
      </c>
      <c r="W732">
        <f t="shared" si="105"/>
        <v>-0.25435329828790432</v>
      </c>
      <c r="X732">
        <f t="shared" si="106"/>
        <v>0.10399668008577614</v>
      </c>
      <c r="Y732">
        <f t="shared" si="107"/>
        <v>0.36604748519325236</v>
      </c>
    </row>
    <row r="733" spans="1:25" x14ac:dyDescent="0.3">
      <c r="A733">
        <v>732</v>
      </c>
      <c r="B733" s="1">
        <v>40576</v>
      </c>
      <c r="C733">
        <v>1</v>
      </c>
      <c r="D733">
        <v>0</v>
      </c>
      <c r="E733">
        <v>2</v>
      </c>
      <c r="F733">
        <v>20</v>
      </c>
      <c r="G733" t="b">
        <v>0</v>
      </c>
      <c r="H733">
        <v>3</v>
      </c>
      <c r="I733">
        <v>1</v>
      </c>
      <c r="J733">
        <v>0.24</v>
      </c>
      <c r="K733">
        <v>0.19700000000000001</v>
      </c>
      <c r="L733">
        <v>0.48</v>
      </c>
      <c r="M733">
        <v>0.55220000000000002</v>
      </c>
      <c r="N733">
        <v>4</v>
      </c>
      <c r="O733">
        <v>71</v>
      </c>
      <c r="P733">
        <v>75</v>
      </c>
      <c r="Q733" t="str">
        <f t="shared" si="99"/>
        <v>Weekday</v>
      </c>
      <c r="R733" t="str">
        <f t="shared" si="100"/>
        <v>Clear</v>
      </c>
      <c r="S733" t="str">
        <f t="shared" si="101"/>
        <v>Evening</v>
      </c>
      <c r="T733" t="str">
        <f t="shared" si="102"/>
        <v>February</v>
      </c>
      <c r="U733" t="str">
        <f t="shared" si="103"/>
        <v>Spring</v>
      </c>
      <c r="V733">
        <f t="shared" si="104"/>
        <v>0.22929155386993369</v>
      </c>
      <c r="W733">
        <f t="shared" si="105"/>
        <v>-0.25435329828790432</v>
      </c>
      <c r="X733">
        <f t="shared" si="106"/>
        <v>0.10399668008577614</v>
      </c>
      <c r="Y733">
        <f t="shared" si="107"/>
        <v>0.36604748519325236</v>
      </c>
    </row>
    <row r="734" spans="1:25" x14ac:dyDescent="0.3">
      <c r="A734">
        <v>733</v>
      </c>
      <c r="B734" s="1">
        <v>40576</v>
      </c>
      <c r="C734">
        <v>1</v>
      </c>
      <c r="D734">
        <v>0</v>
      </c>
      <c r="E734">
        <v>2</v>
      </c>
      <c r="F734">
        <v>21</v>
      </c>
      <c r="G734" t="b">
        <v>0</v>
      </c>
      <c r="H734">
        <v>3</v>
      </c>
      <c r="I734">
        <v>1</v>
      </c>
      <c r="J734">
        <v>0.22</v>
      </c>
      <c r="K734">
        <v>0.19700000000000001</v>
      </c>
      <c r="L734">
        <v>0.47</v>
      </c>
      <c r="M734">
        <v>0.32840000000000003</v>
      </c>
      <c r="N734">
        <v>1</v>
      </c>
      <c r="O734">
        <v>62</v>
      </c>
      <c r="P734">
        <v>63</v>
      </c>
      <c r="Q734" t="str">
        <f t="shared" si="99"/>
        <v>Weekday</v>
      </c>
      <c r="R734" t="str">
        <f t="shared" si="100"/>
        <v>Clear</v>
      </c>
      <c r="S734" t="str">
        <f t="shared" si="101"/>
        <v>Night</v>
      </c>
      <c r="T734" t="str">
        <f t="shared" si="102"/>
        <v>February</v>
      </c>
      <c r="U734" t="str">
        <f t="shared" si="103"/>
        <v>Spring</v>
      </c>
      <c r="V734">
        <f t="shared" si="104"/>
        <v>0.22929155386993369</v>
      </c>
      <c r="W734">
        <f t="shared" si="105"/>
        <v>-0.25435329828790432</v>
      </c>
      <c r="X734">
        <f t="shared" si="106"/>
        <v>0.10399668008577614</v>
      </c>
      <c r="Y734">
        <f t="shared" si="107"/>
        <v>0.36604748519325236</v>
      </c>
    </row>
    <row r="735" spans="1:25" x14ac:dyDescent="0.3">
      <c r="A735">
        <v>734</v>
      </c>
      <c r="B735" s="1">
        <v>40576</v>
      </c>
      <c r="C735">
        <v>1</v>
      </c>
      <c r="D735">
        <v>0</v>
      </c>
      <c r="E735">
        <v>2</v>
      </c>
      <c r="F735">
        <v>22</v>
      </c>
      <c r="G735" t="b">
        <v>0</v>
      </c>
      <c r="H735">
        <v>3</v>
      </c>
      <c r="I735">
        <v>1</v>
      </c>
      <c r="J735">
        <v>0.22</v>
      </c>
      <c r="K735">
        <v>0.21210000000000001</v>
      </c>
      <c r="L735">
        <v>0.44</v>
      </c>
      <c r="M735">
        <v>0.25369999999999998</v>
      </c>
      <c r="N735">
        <v>5</v>
      </c>
      <c r="O735">
        <v>35</v>
      </c>
      <c r="P735">
        <v>40</v>
      </c>
      <c r="Q735" t="str">
        <f t="shared" si="99"/>
        <v>Weekday</v>
      </c>
      <c r="R735" t="str">
        <f t="shared" si="100"/>
        <v>Clear</v>
      </c>
      <c r="S735" t="str">
        <f t="shared" si="101"/>
        <v>Night</v>
      </c>
      <c r="T735" t="str">
        <f t="shared" si="102"/>
        <v>February</v>
      </c>
      <c r="U735" t="str">
        <f t="shared" si="103"/>
        <v>Spring</v>
      </c>
      <c r="V735">
        <f t="shared" si="104"/>
        <v>0.22929155386993369</v>
      </c>
      <c r="W735">
        <f t="shared" si="105"/>
        <v>-0.25435329828790432</v>
      </c>
      <c r="X735">
        <f t="shared" si="106"/>
        <v>0.10399668008577614</v>
      </c>
      <c r="Y735">
        <f t="shared" si="107"/>
        <v>0.36604748519325236</v>
      </c>
    </row>
    <row r="736" spans="1:25" x14ac:dyDescent="0.3">
      <c r="A736">
        <v>735</v>
      </c>
      <c r="B736" s="1">
        <v>40576</v>
      </c>
      <c r="C736">
        <v>1</v>
      </c>
      <c r="D736">
        <v>0</v>
      </c>
      <c r="E736">
        <v>2</v>
      </c>
      <c r="F736">
        <v>23</v>
      </c>
      <c r="G736" t="b">
        <v>0</v>
      </c>
      <c r="H736">
        <v>3</v>
      </c>
      <c r="I736">
        <v>1</v>
      </c>
      <c r="J736">
        <v>0.2</v>
      </c>
      <c r="K736">
        <v>0.16669999999999999</v>
      </c>
      <c r="L736">
        <v>0.44</v>
      </c>
      <c r="M736">
        <v>0.44779999999999998</v>
      </c>
      <c r="N736">
        <v>3</v>
      </c>
      <c r="O736">
        <v>29</v>
      </c>
      <c r="P736">
        <v>32</v>
      </c>
      <c r="Q736" t="str">
        <f t="shared" si="99"/>
        <v>Weekday</v>
      </c>
      <c r="R736" t="str">
        <f t="shared" si="100"/>
        <v>Clear</v>
      </c>
      <c r="S736" t="str">
        <f t="shared" si="101"/>
        <v>Night</v>
      </c>
      <c r="T736" t="str">
        <f t="shared" si="102"/>
        <v>February</v>
      </c>
      <c r="U736" t="str">
        <f t="shared" si="103"/>
        <v>Spring</v>
      </c>
      <c r="V736">
        <f t="shared" si="104"/>
        <v>0.22929155386993369</v>
      </c>
      <c r="W736">
        <f t="shared" si="105"/>
        <v>-0.25435329828790432</v>
      </c>
      <c r="X736">
        <f t="shared" si="106"/>
        <v>0.10399668008577614</v>
      </c>
      <c r="Y736">
        <f t="shared" si="107"/>
        <v>0.36604748519325236</v>
      </c>
    </row>
    <row r="737" spans="1:25" x14ac:dyDescent="0.3">
      <c r="A737">
        <v>736</v>
      </c>
      <c r="B737" s="1">
        <v>40577</v>
      </c>
      <c r="C737">
        <v>1</v>
      </c>
      <c r="D737">
        <v>0</v>
      </c>
      <c r="E737">
        <v>2</v>
      </c>
      <c r="F737">
        <v>0</v>
      </c>
      <c r="G737" t="b">
        <v>0</v>
      </c>
      <c r="H737">
        <v>4</v>
      </c>
      <c r="I737">
        <v>1</v>
      </c>
      <c r="J737">
        <v>0.2</v>
      </c>
      <c r="K737">
        <v>0.16669999999999999</v>
      </c>
      <c r="L737">
        <v>0.4</v>
      </c>
      <c r="M737">
        <v>0.44779999999999998</v>
      </c>
      <c r="N737">
        <v>1</v>
      </c>
      <c r="O737">
        <v>11</v>
      </c>
      <c r="P737">
        <v>12</v>
      </c>
      <c r="Q737" t="str">
        <f t="shared" si="99"/>
        <v>Weekday</v>
      </c>
      <c r="R737" t="str">
        <f t="shared" si="100"/>
        <v>Clear</v>
      </c>
      <c r="S737" t="str">
        <f t="shared" si="101"/>
        <v>Night</v>
      </c>
      <c r="T737" t="str">
        <f t="shared" si="102"/>
        <v>February</v>
      </c>
      <c r="U737" t="str">
        <f t="shared" si="103"/>
        <v>Spring</v>
      </c>
      <c r="V737">
        <f t="shared" si="104"/>
        <v>0.22929155386993369</v>
      </c>
      <c r="W737">
        <f t="shared" si="105"/>
        <v>-0.25435329828790432</v>
      </c>
      <c r="X737">
        <f t="shared" si="106"/>
        <v>0.10399668008577614</v>
      </c>
      <c r="Y737">
        <f t="shared" si="107"/>
        <v>0.36604748519325236</v>
      </c>
    </row>
    <row r="738" spans="1:25" x14ac:dyDescent="0.3">
      <c r="A738">
        <v>737</v>
      </c>
      <c r="B738" s="1">
        <v>40577</v>
      </c>
      <c r="C738">
        <v>1</v>
      </c>
      <c r="D738">
        <v>0</v>
      </c>
      <c r="E738">
        <v>2</v>
      </c>
      <c r="F738">
        <v>1</v>
      </c>
      <c r="G738" t="b">
        <v>0</v>
      </c>
      <c r="H738">
        <v>4</v>
      </c>
      <c r="I738">
        <v>1</v>
      </c>
      <c r="J738">
        <v>0.2</v>
      </c>
      <c r="K738">
        <v>0.1515</v>
      </c>
      <c r="L738">
        <v>0.44</v>
      </c>
      <c r="M738">
        <v>0.52239999999999998</v>
      </c>
      <c r="N738">
        <v>0</v>
      </c>
      <c r="O738">
        <v>5</v>
      </c>
      <c r="P738">
        <v>5</v>
      </c>
      <c r="Q738" t="str">
        <f t="shared" si="99"/>
        <v>Weekday</v>
      </c>
      <c r="R738" t="str">
        <f t="shared" si="100"/>
        <v>Clear</v>
      </c>
      <c r="S738" t="str">
        <f t="shared" si="101"/>
        <v>Night</v>
      </c>
      <c r="T738" t="str">
        <f t="shared" si="102"/>
        <v>February</v>
      </c>
      <c r="U738" t="str">
        <f t="shared" si="103"/>
        <v>Spring</v>
      </c>
      <c r="V738">
        <f t="shared" si="104"/>
        <v>0.22929155386993369</v>
      </c>
      <c r="W738">
        <f t="shared" si="105"/>
        <v>-0.25435329828790432</v>
      </c>
      <c r="X738">
        <f t="shared" si="106"/>
        <v>0.10399668008577614</v>
      </c>
      <c r="Y738">
        <f t="shared" si="107"/>
        <v>0.36604748519325236</v>
      </c>
    </row>
    <row r="739" spans="1:25" x14ac:dyDescent="0.3">
      <c r="A739">
        <v>738</v>
      </c>
      <c r="B739" s="1">
        <v>40577</v>
      </c>
      <c r="C739">
        <v>1</v>
      </c>
      <c r="D739">
        <v>0</v>
      </c>
      <c r="E739">
        <v>2</v>
      </c>
      <c r="F739">
        <v>2</v>
      </c>
      <c r="G739" t="b">
        <v>0</v>
      </c>
      <c r="H739">
        <v>4</v>
      </c>
      <c r="I739">
        <v>1</v>
      </c>
      <c r="J739">
        <v>0.18</v>
      </c>
      <c r="K739">
        <v>0.16669999999999999</v>
      </c>
      <c r="L739">
        <v>0.43</v>
      </c>
      <c r="M739">
        <v>0.25369999999999998</v>
      </c>
      <c r="N739">
        <v>0</v>
      </c>
      <c r="O739">
        <v>2</v>
      </c>
      <c r="P739">
        <v>2</v>
      </c>
      <c r="Q739" t="str">
        <f t="shared" si="99"/>
        <v>Weekday</v>
      </c>
      <c r="R739" t="str">
        <f t="shared" si="100"/>
        <v>Clear</v>
      </c>
      <c r="S739" t="str">
        <f t="shared" si="101"/>
        <v>Night</v>
      </c>
      <c r="T739" t="str">
        <f t="shared" si="102"/>
        <v>February</v>
      </c>
      <c r="U739" t="str">
        <f t="shared" si="103"/>
        <v>Spring</v>
      </c>
      <c r="V739">
        <f t="shared" si="104"/>
        <v>0.22929155386993369</v>
      </c>
      <c r="W739">
        <f t="shared" si="105"/>
        <v>-0.25435329828790432</v>
      </c>
      <c r="X739">
        <f t="shared" si="106"/>
        <v>0.10399668008577614</v>
      </c>
      <c r="Y739">
        <f t="shared" si="107"/>
        <v>0.36604748519325236</v>
      </c>
    </row>
    <row r="740" spans="1:25" x14ac:dyDescent="0.3">
      <c r="A740">
        <v>739</v>
      </c>
      <c r="B740" s="1">
        <v>40577</v>
      </c>
      <c r="C740">
        <v>1</v>
      </c>
      <c r="D740">
        <v>0</v>
      </c>
      <c r="E740">
        <v>2</v>
      </c>
      <c r="F740">
        <v>3</v>
      </c>
      <c r="G740" t="b">
        <v>0</v>
      </c>
      <c r="H740">
        <v>4</v>
      </c>
      <c r="I740">
        <v>1</v>
      </c>
      <c r="J740">
        <v>0.18</v>
      </c>
      <c r="K740">
        <v>0.16669999999999999</v>
      </c>
      <c r="L740">
        <v>0.43</v>
      </c>
      <c r="M740">
        <v>0.25369999999999998</v>
      </c>
      <c r="N740">
        <v>0</v>
      </c>
      <c r="O740">
        <v>1</v>
      </c>
      <c r="P740">
        <v>1</v>
      </c>
      <c r="Q740" t="str">
        <f t="shared" si="99"/>
        <v>Weekday</v>
      </c>
      <c r="R740" t="str">
        <f t="shared" si="100"/>
        <v>Clear</v>
      </c>
      <c r="S740" t="str">
        <f t="shared" si="101"/>
        <v>Night</v>
      </c>
      <c r="T740" t="str">
        <f t="shared" si="102"/>
        <v>February</v>
      </c>
      <c r="U740" t="str">
        <f t="shared" si="103"/>
        <v>Spring</v>
      </c>
      <c r="V740">
        <f t="shared" si="104"/>
        <v>0.22929155386993369</v>
      </c>
      <c r="W740">
        <f t="shared" si="105"/>
        <v>-0.25435329828790432</v>
      </c>
      <c r="X740">
        <f t="shared" si="106"/>
        <v>0.10399668008577614</v>
      </c>
      <c r="Y740">
        <f t="shared" si="107"/>
        <v>0.36604748519325236</v>
      </c>
    </row>
    <row r="741" spans="1:25" x14ac:dyDescent="0.3">
      <c r="A741">
        <v>740</v>
      </c>
      <c r="B741" s="1">
        <v>40577</v>
      </c>
      <c r="C741">
        <v>1</v>
      </c>
      <c r="D741">
        <v>0</v>
      </c>
      <c r="E741">
        <v>2</v>
      </c>
      <c r="F741">
        <v>5</v>
      </c>
      <c r="G741" t="b">
        <v>0</v>
      </c>
      <c r="H741">
        <v>4</v>
      </c>
      <c r="I741">
        <v>1</v>
      </c>
      <c r="J741">
        <v>0.16</v>
      </c>
      <c r="K741">
        <v>0.13639999999999999</v>
      </c>
      <c r="L741">
        <v>0.5</v>
      </c>
      <c r="M741">
        <v>0.29849999999999999</v>
      </c>
      <c r="N741">
        <v>0</v>
      </c>
      <c r="O741">
        <v>2</v>
      </c>
      <c r="P741">
        <v>2</v>
      </c>
      <c r="Q741" t="str">
        <f t="shared" si="99"/>
        <v>Weekday</v>
      </c>
      <c r="R741" t="str">
        <f t="shared" si="100"/>
        <v>Clear</v>
      </c>
      <c r="S741" t="str">
        <f t="shared" si="101"/>
        <v>Night</v>
      </c>
      <c r="T741" t="str">
        <f t="shared" si="102"/>
        <v>February</v>
      </c>
      <c r="U741" t="str">
        <f t="shared" si="103"/>
        <v>Spring</v>
      </c>
      <c r="V741">
        <f t="shared" si="104"/>
        <v>0.22929155386993369</v>
      </c>
      <c r="W741">
        <f t="shared" si="105"/>
        <v>-0.25435329828790432</v>
      </c>
      <c r="X741">
        <f t="shared" si="106"/>
        <v>0.10399668008577614</v>
      </c>
      <c r="Y741">
        <f t="shared" si="107"/>
        <v>0.36604748519325236</v>
      </c>
    </row>
    <row r="742" spans="1:25" x14ac:dyDescent="0.3">
      <c r="A742">
        <v>741</v>
      </c>
      <c r="B742" s="1">
        <v>40577</v>
      </c>
      <c r="C742">
        <v>1</v>
      </c>
      <c r="D742">
        <v>0</v>
      </c>
      <c r="E742">
        <v>2</v>
      </c>
      <c r="F742">
        <v>6</v>
      </c>
      <c r="G742" t="b">
        <v>0</v>
      </c>
      <c r="H742">
        <v>4</v>
      </c>
      <c r="I742">
        <v>1</v>
      </c>
      <c r="J742">
        <v>0.16</v>
      </c>
      <c r="K742">
        <v>0.13639999999999999</v>
      </c>
      <c r="L742">
        <v>0.43</v>
      </c>
      <c r="M742">
        <v>0.35820000000000002</v>
      </c>
      <c r="N742">
        <v>0</v>
      </c>
      <c r="O742">
        <v>39</v>
      </c>
      <c r="P742">
        <v>39</v>
      </c>
      <c r="Q742" t="str">
        <f t="shared" si="99"/>
        <v>Weekday</v>
      </c>
      <c r="R742" t="str">
        <f t="shared" si="100"/>
        <v>Clear</v>
      </c>
      <c r="S742" t="str">
        <f t="shared" si="101"/>
        <v>Morning</v>
      </c>
      <c r="T742" t="str">
        <f t="shared" si="102"/>
        <v>February</v>
      </c>
      <c r="U742" t="str">
        <f t="shared" si="103"/>
        <v>Spring</v>
      </c>
      <c r="V742">
        <f t="shared" si="104"/>
        <v>0.22929155386993369</v>
      </c>
      <c r="W742">
        <f t="shared" si="105"/>
        <v>-0.25435329828790432</v>
      </c>
      <c r="X742">
        <f t="shared" si="106"/>
        <v>0.10399668008577614</v>
      </c>
      <c r="Y742">
        <f t="shared" si="107"/>
        <v>0.36604748519325236</v>
      </c>
    </row>
    <row r="743" spans="1:25" x14ac:dyDescent="0.3">
      <c r="A743">
        <v>742</v>
      </c>
      <c r="B743" s="1">
        <v>40577</v>
      </c>
      <c r="C743">
        <v>1</v>
      </c>
      <c r="D743">
        <v>0</v>
      </c>
      <c r="E743">
        <v>2</v>
      </c>
      <c r="F743">
        <v>7</v>
      </c>
      <c r="G743" t="b">
        <v>0</v>
      </c>
      <c r="H743">
        <v>4</v>
      </c>
      <c r="I743">
        <v>1</v>
      </c>
      <c r="J743">
        <v>0.14000000000000001</v>
      </c>
      <c r="K743">
        <v>0.1212</v>
      </c>
      <c r="L743">
        <v>0.5</v>
      </c>
      <c r="M743">
        <v>0.32840000000000003</v>
      </c>
      <c r="N743">
        <v>1</v>
      </c>
      <c r="O743">
        <v>86</v>
      </c>
      <c r="P743">
        <v>87</v>
      </c>
      <c r="Q743" t="str">
        <f t="shared" si="99"/>
        <v>Weekday</v>
      </c>
      <c r="R743" t="str">
        <f t="shared" si="100"/>
        <v>Clear</v>
      </c>
      <c r="S743" t="str">
        <f t="shared" si="101"/>
        <v>Morning</v>
      </c>
      <c r="T743" t="str">
        <f t="shared" si="102"/>
        <v>February</v>
      </c>
      <c r="U743" t="str">
        <f t="shared" si="103"/>
        <v>Spring</v>
      </c>
      <c r="V743">
        <f t="shared" si="104"/>
        <v>0.22929155386993369</v>
      </c>
      <c r="W743">
        <f t="shared" si="105"/>
        <v>-0.25435329828790432</v>
      </c>
      <c r="X743">
        <f t="shared" si="106"/>
        <v>0.10399668008577614</v>
      </c>
      <c r="Y743">
        <f t="shared" si="107"/>
        <v>0.36604748519325236</v>
      </c>
    </row>
    <row r="744" spans="1:25" x14ac:dyDescent="0.3">
      <c r="A744">
        <v>743</v>
      </c>
      <c r="B744" s="1">
        <v>40577</v>
      </c>
      <c r="C744">
        <v>1</v>
      </c>
      <c r="D744">
        <v>0</v>
      </c>
      <c r="E744">
        <v>2</v>
      </c>
      <c r="F744">
        <v>8</v>
      </c>
      <c r="G744" t="b">
        <v>0</v>
      </c>
      <c r="H744">
        <v>4</v>
      </c>
      <c r="I744">
        <v>1</v>
      </c>
      <c r="J744">
        <v>0.14000000000000001</v>
      </c>
      <c r="K744">
        <v>0.1212</v>
      </c>
      <c r="L744">
        <v>0.5</v>
      </c>
      <c r="M744">
        <v>0.35820000000000002</v>
      </c>
      <c r="N744">
        <v>4</v>
      </c>
      <c r="O744">
        <v>184</v>
      </c>
      <c r="P744">
        <v>188</v>
      </c>
      <c r="Q744" t="str">
        <f t="shared" si="99"/>
        <v>Weekday</v>
      </c>
      <c r="R744" t="str">
        <f t="shared" si="100"/>
        <v>Clear</v>
      </c>
      <c r="S744" t="str">
        <f t="shared" si="101"/>
        <v>Morning</v>
      </c>
      <c r="T744" t="str">
        <f t="shared" si="102"/>
        <v>February</v>
      </c>
      <c r="U744" t="str">
        <f t="shared" si="103"/>
        <v>Spring</v>
      </c>
      <c r="V744">
        <f t="shared" si="104"/>
        <v>0.22929155386993369</v>
      </c>
      <c r="W744">
        <f t="shared" si="105"/>
        <v>-0.25435329828790432</v>
      </c>
      <c r="X744">
        <f t="shared" si="106"/>
        <v>0.10399668008577614</v>
      </c>
      <c r="Y744">
        <f t="shared" si="107"/>
        <v>0.36604748519325236</v>
      </c>
    </row>
    <row r="745" spans="1:25" x14ac:dyDescent="0.3">
      <c r="A745">
        <v>744</v>
      </c>
      <c r="B745" s="1">
        <v>40577</v>
      </c>
      <c r="C745">
        <v>1</v>
      </c>
      <c r="D745">
        <v>0</v>
      </c>
      <c r="E745">
        <v>2</v>
      </c>
      <c r="F745">
        <v>9</v>
      </c>
      <c r="G745" t="b">
        <v>0</v>
      </c>
      <c r="H745">
        <v>4</v>
      </c>
      <c r="I745">
        <v>1</v>
      </c>
      <c r="J745">
        <v>0.16</v>
      </c>
      <c r="K745">
        <v>0.13639999999999999</v>
      </c>
      <c r="L745">
        <v>0.47</v>
      </c>
      <c r="M745">
        <v>0.29849999999999999</v>
      </c>
      <c r="N745">
        <v>6</v>
      </c>
      <c r="O745">
        <v>127</v>
      </c>
      <c r="P745">
        <v>133</v>
      </c>
      <c r="Q745" t="str">
        <f t="shared" si="99"/>
        <v>Weekday</v>
      </c>
      <c r="R745" t="str">
        <f t="shared" si="100"/>
        <v>Clear</v>
      </c>
      <c r="S745" t="str">
        <f t="shared" si="101"/>
        <v>Morning</v>
      </c>
      <c r="T745" t="str">
        <f t="shared" si="102"/>
        <v>February</v>
      </c>
      <c r="U745" t="str">
        <f t="shared" si="103"/>
        <v>Spring</v>
      </c>
      <c r="V745">
        <f t="shared" si="104"/>
        <v>0.22929155386993369</v>
      </c>
      <c r="W745">
        <f t="shared" si="105"/>
        <v>-0.25435329828790432</v>
      </c>
      <c r="X745">
        <f t="shared" si="106"/>
        <v>0.10399668008577614</v>
      </c>
      <c r="Y745">
        <f t="shared" si="107"/>
        <v>0.36604748519325236</v>
      </c>
    </row>
    <row r="746" spans="1:25" x14ac:dyDescent="0.3">
      <c r="A746">
        <v>745</v>
      </c>
      <c r="B746" s="1">
        <v>40577</v>
      </c>
      <c r="C746">
        <v>1</v>
      </c>
      <c r="D746">
        <v>0</v>
      </c>
      <c r="E746">
        <v>2</v>
      </c>
      <c r="F746">
        <v>10</v>
      </c>
      <c r="G746" t="b">
        <v>0</v>
      </c>
      <c r="H746">
        <v>4</v>
      </c>
      <c r="I746">
        <v>1</v>
      </c>
      <c r="J746">
        <v>0.18</v>
      </c>
      <c r="K746">
        <v>0.1515</v>
      </c>
      <c r="L746">
        <v>0.43</v>
      </c>
      <c r="M746">
        <v>0.32840000000000003</v>
      </c>
      <c r="N746">
        <v>2</v>
      </c>
      <c r="O746">
        <v>50</v>
      </c>
      <c r="P746">
        <v>52</v>
      </c>
      <c r="Q746" t="str">
        <f t="shared" si="99"/>
        <v>Weekday</v>
      </c>
      <c r="R746" t="str">
        <f t="shared" si="100"/>
        <v>Clear</v>
      </c>
      <c r="S746" t="str">
        <f t="shared" si="101"/>
        <v>Morning</v>
      </c>
      <c r="T746" t="str">
        <f t="shared" si="102"/>
        <v>February</v>
      </c>
      <c r="U746" t="str">
        <f t="shared" si="103"/>
        <v>Spring</v>
      </c>
      <c r="V746">
        <f t="shared" si="104"/>
        <v>0.22929155386993369</v>
      </c>
      <c r="W746">
        <f t="shared" si="105"/>
        <v>-0.25435329828790432</v>
      </c>
      <c r="X746">
        <f t="shared" si="106"/>
        <v>0.10399668008577614</v>
      </c>
      <c r="Y746">
        <f t="shared" si="107"/>
        <v>0.36604748519325236</v>
      </c>
    </row>
    <row r="747" spans="1:25" x14ac:dyDescent="0.3">
      <c r="A747">
        <v>746</v>
      </c>
      <c r="B747" s="1">
        <v>40577</v>
      </c>
      <c r="C747">
        <v>1</v>
      </c>
      <c r="D747">
        <v>0</v>
      </c>
      <c r="E747">
        <v>2</v>
      </c>
      <c r="F747">
        <v>11</v>
      </c>
      <c r="G747" t="b">
        <v>0</v>
      </c>
      <c r="H747">
        <v>4</v>
      </c>
      <c r="I747">
        <v>1</v>
      </c>
      <c r="J747">
        <v>0.18</v>
      </c>
      <c r="K747">
        <v>0.13639999999999999</v>
      </c>
      <c r="L747">
        <v>0.43</v>
      </c>
      <c r="M747">
        <v>0.44779999999999998</v>
      </c>
      <c r="N747">
        <v>9</v>
      </c>
      <c r="O747">
        <v>55</v>
      </c>
      <c r="P747">
        <v>64</v>
      </c>
      <c r="Q747" t="str">
        <f t="shared" si="99"/>
        <v>Weekday</v>
      </c>
      <c r="R747" t="str">
        <f t="shared" si="100"/>
        <v>Clear</v>
      </c>
      <c r="S747" t="str">
        <f t="shared" si="101"/>
        <v>Morning</v>
      </c>
      <c r="T747" t="str">
        <f t="shared" si="102"/>
        <v>February</v>
      </c>
      <c r="U747" t="str">
        <f t="shared" si="103"/>
        <v>Spring</v>
      </c>
      <c r="V747">
        <f t="shared" si="104"/>
        <v>0.22929155386993369</v>
      </c>
      <c r="W747">
        <f t="shared" si="105"/>
        <v>-0.25435329828790432</v>
      </c>
      <c r="X747">
        <f t="shared" si="106"/>
        <v>0.10399668008577614</v>
      </c>
      <c r="Y747">
        <f t="shared" si="107"/>
        <v>0.36604748519325236</v>
      </c>
    </row>
    <row r="748" spans="1:25" x14ac:dyDescent="0.3">
      <c r="A748">
        <v>747</v>
      </c>
      <c r="B748" s="1">
        <v>40577</v>
      </c>
      <c r="C748">
        <v>1</v>
      </c>
      <c r="D748">
        <v>0</v>
      </c>
      <c r="E748">
        <v>2</v>
      </c>
      <c r="F748">
        <v>12</v>
      </c>
      <c r="G748" t="b">
        <v>0</v>
      </c>
      <c r="H748">
        <v>4</v>
      </c>
      <c r="I748">
        <v>1</v>
      </c>
      <c r="J748">
        <v>0.2</v>
      </c>
      <c r="K748">
        <v>0.18179999999999999</v>
      </c>
      <c r="L748">
        <v>0.4</v>
      </c>
      <c r="M748">
        <v>0.35820000000000002</v>
      </c>
      <c r="N748">
        <v>2</v>
      </c>
      <c r="O748">
        <v>67</v>
      </c>
      <c r="P748">
        <v>69</v>
      </c>
      <c r="Q748" t="str">
        <f t="shared" si="99"/>
        <v>Weekday</v>
      </c>
      <c r="R748" t="str">
        <f t="shared" si="100"/>
        <v>Clear</v>
      </c>
      <c r="S748" t="str">
        <f t="shared" si="101"/>
        <v>Afternoon</v>
      </c>
      <c r="T748" t="str">
        <f t="shared" si="102"/>
        <v>February</v>
      </c>
      <c r="U748" t="str">
        <f t="shared" si="103"/>
        <v>Spring</v>
      </c>
      <c r="V748">
        <f t="shared" si="104"/>
        <v>0.22929155386993369</v>
      </c>
      <c r="W748">
        <f t="shared" si="105"/>
        <v>-0.25435329828790432</v>
      </c>
      <c r="X748">
        <f t="shared" si="106"/>
        <v>0.10399668008577614</v>
      </c>
      <c r="Y748">
        <f t="shared" si="107"/>
        <v>0.36604748519325236</v>
      </c>
    </row>
    <row r="749" spans="1:25" x14ac:dyDescent="0.3">
      <c r="A749">
        <v>748</v>
      </c>
      <c r="B749" s="1">
        <v>40577</v>
      </c>
      <c r="C749">
        <v>1</v>
      </c>
      <c r="D749">
        <v>0</v>
      </c>
      <c r="E749">
        <v>2</v>
      </c>
      <c r="F749">
        <v>13</v>
      </c>
      <c r="G749" t="b">
        <v>0</v>
      </c>
      <c r="H749">
        <v>4</v>
      </c>
      <c r="I749">
        <v>1</v>
      </c>
      <c r="J749">
        <v>0.2</v>
      </c>
      <c r="K749">
        <v>0.16669999999999999</v>
      </c>
      <c r="L749">
        <v>0.4</v>
      </c>
      <c r="M749">
        <v>0.41789999999999999</v>
      </c>
      <c r="N749">
        <v>4</v>
      </c>
      <c r="O749">
        <v>47</v>
      </c>
      <c r="P749">
        <v>51</v>
      </c>
      <c r="Q749" t="str">
        <f t="shared" si="99"/>
        <v>Weekday</v>
      </c>
      <c r="R749" t="str">
        <f t="shared" si="100"/>
        <v>Clear</v>
      </c>
      <c r="S749" t="str">
        <f t="shared" si="101"/>
        <v>Afternoon</v>
      </c>
      <c r="T749" t="str">
        <f t="shared" si="102"/>
        <v>February</v>
      </c>
      <c r="U749" t="str">
        <f t="shared" si="103"/>
        <v>Spring</v>
      </c>
      <c r="V749">
        <f t="shared" si="104"/>
        <v>0.22929155386993369</v>
      </c>
      <c r="W749">
        <f t="shared" si="105"/>
        <v>-0.25435329828790432</v>
      </c>
      <c r="X749">
        <f t="shared" si="106"/>
        <v>0.10399668008577614</v>
      </c>
      <c r="Y749">
        <f t="shared" si="107"/>
        <v>0.36604748519325236</v>
      </c>
    </row>
    <row r="750" spans="1:25" x14ac:dyDescent="0.3">
      <c r="A750">
        <v>749</v>
      </c>
      <c r="B750" s="1">
        <v>40577</v>
      </c>
      <c r="C750">
        <v>1</v>
      </c>
      <c r="D750">
        <v>0</v>
      </c>
      <c r="E750">
        <v>2</v>
      </c>
      <c r="F750">
        <v>14</v>
      </c>
      <c r="G750" t="b">
        <v>0</v>
      </c>
      <c r="H750">
        <v>4</v>
      </c>
      <c r="I750">
        <v>1</v>
      </c>
      <c r="J750">
        <v>0.22</v>
      </c>
      <c r="K750">
        <v>0.19700000000000001</v>
      </c>
      <c r="L750">
        <v>0.37</v>
      </c>
      <c r="M750">
        <v>0.3881</v>
      </c>
      <c r="N750">
        <v>4</v>
      </c>
      <c r="O750">
        <v>43</v>
      </c>
      <c r="P750">
        <v>47</v>
      </c>
      <c r="Q750" t="str">
        <f t="shared" si="99"/>
        <v>Weekday</v>
      </c>
      <c r="R750" t="str">
        <f t="shared" si="100"/>
        <v>Clear</v>
      </c>
      <c r="S750" t="str">
        <f t="shared" si="101"/>
        <v>Afternoon</v>
      </c>
      <c r="T750" t="str">
        <f t="shared" si="102"/>
        <v>February</v>
      </c>
      <c r="U750" t="str">
        <f t="shared" si="103"/>
        <v>Spring</v>
      </c>
      <c r="V750">
        <f t="shared" si="104"/>
        <v>0.22929155386993369</v>
      </c>
      <c r="W750">
        <f t="shared" si="105"/>
        <v>-0.25435329828790432</v>
      </c>
      <c r="X750">
        <f t="shared" si="106"/>
        <v>0.10399668008577614</v>
      </c>
      <c r="Y750">
        <f t="shared" si="107"/>
        <v>0.36604748519325236</v>
      </c>
    </row>
    <row r="751" spans="1:25" x14ac:dyDescent="0.3">
      <c r="A751">
        <v>750</v>
      </c>
      <c r="B751" s="1">
        <v>40577</v>
      </c>
      <c r="C751">
        <v>1</v>
      </c>
      <c r="D751">
        <v>0</v>
      </c>
      <c r="E751">
        <v>2</v>
      </c>
      <c r="F751">
        <v>15</v>
      </c>
      <c r="G751" t="b">
        <v>0</v>
      </c>
      <c r="H751">
        <v>4</v>
      </c>
      <c r="I751">
        <v>1</v>
      </c>
      <c r="J751">
        <v>0.22</v>
      </c>
      <c r="K751">
        <v>0.19700000000000001</v>
      </c>
      <c r="L751">
        <v>0.37</v>
      </c>
      <c r="M751">
        <v>0.32840000000000003</v>
      </c>
      <c r="N751">
        <v>4</v>
      </c>
      <c r="O751">
        <v>56</v>
      </c>
      <c r="P751">
        <v>60</v>
      </c>
      <c r="Q751" t="str">
        <f t="shared" si="99"/>
        <v>Weekday</v>
      </c>
      <c r="R751" t="str">
        <f t="shared" si="100"/>
        <v>Clear</v>
      </c>
      <c r="S751" t="str">
        <f t="shared" si="101"/>
        <v>Afternoon</v>
      </c>
      <c r="T751" t="str">
        <f t="shared" si="102"/>
        <v>February</v>
      </c>
      <c r="U751" t="str">
        <f t="shared" si="103"/>
        <v>Spring</v>
      </c>
      <c r="V751">
        <f t="shared" si="104"/>
        <v>0.22929155386993369</v>
      </c>
      <c r="W751">
        <f t="shared" si="105"/>
        <v>-0.25435329828790432</v>
      </c>
      <c r="X751">
        <f t="shared" si="106"/>
        <v>0.10399668008577614</v>
      </c>
      <c r="Y751">
        <f t="shared" si="107"/>
        <v>0.36604748519325236</v>
      </c>
    </row>
    <row r="752" spans="1:25" x14ac:dyDescent="0.3">
      <c r="A752">
        <v>751</v>
      </c>
      <c r="B752" s="1">
        <v>40577</v>
      </c>
      <c r="C752">
        <v>1</v>
      </c>
      <c r="D752">
        <v>0</v>
      </c>
      <c r="E752">
        <v>2</v>
      </c>
      <c r="F752">
        <v>16</v>
      </c>
      <c r="G752" t="b">
        <v>0</v>
      </c>
      <c r="H752">
        <v>4</v>
      </c>
      <c r="I752">
        <v>1</v>
      </c>
      <c r="J752">
        <v>0.22</v>
      </c>
      <c r="K752">
        <v>0.21210000000000001</v>
      </c>
      <c r="L752">
        <v>0.37</v>
      </c>
      <c r="M752">
        <v>0.25369999999999998</v>
      </c>
      <c r="N752">
        <v>5</v>
      </c>
      <c r="O752">
        <v>73</v>
      </c>
      <c r="P752">
        <v>78</v>
      </c>
      <c r="Q752" t="str">
        <f t="shared" si="99"/>
        <v>Weekday</v>
      </c>
      <c r="R752" t="str">
        <f t="shared" si="100"/>
        <v>Clear</v>
      </c>
      <c r="S752" t="str">
        <f t="shared" si="101"/>
        <v>Afternoon</v>
      </c>
      <c r="T752" t="str">
        <f t="shared" si="102"/>
        <v>February</v>
      </c>
      <c r="U752" t="str">
        <f t="shared" si="103"/>
        <v>Spring</v>
      </c>
      <c r="V752">
        <f t="shared" si="104"/>
        <v>0.22929155386993369</v>
      </c>
      <c r="W752">
        <f t="shared" si="105"/>
        <v>-0.25435329828790432</v>
      </c>
      <c r="X752">
        <f t="shared" si="106"/>
        <v>0.10399668008577614</v>
      </c>
      <c r="Y752">
        <f t="shared" si="107"/>
        <v>0.36604748519325236</v>
      </c>
    </row>
    <row r="753" spans="1:25" x14ac:dyDescent="0.3">
      <c r="A753">
        <v>752</v>
      </c>
      <c r="B753" s="1">
        <v>40577</v>
      </c>
      <c r="C753">
        <v>1</v>
      </c>
      <c r="D753">
        <v>0</v>
      </c>
      <c r="E753">
        <v>2</v>
      </c>
      <c r="F753">
        <v>17</v>
      </c>
      <c r="G753" t="b">
        <v>0</v>
      </c>
      <c r="H753">
        <v>4</v>
      </c>
      <c r="I753">
        <v>1</v>
      </c>
      <c r="J753">
        <v>0.2</v>
      </c>
      <c r="K753">
        <v>0.19700000000000001</v>
      </c>
      <c r="L753">
        <v>0.4</v>
      </c>
      <c r="M753">
        <v>0.19400000000000001</v>
      </c>
      <c r="N753">
        <v>5</v>
      </c>
      <c r="O753">
        <v>170</v>
      </c>
      <c r="P753">
        <v>175</v>
      </c>
      <c r="Q753" t="str">
        <f t="shared" si="99"/>
        <v>Weekday</v>
      </c>
      <c r="R753" t="str">
        <f t="shared" si="100"/>
        <v>Clear</v>
      </c>
      <c r="S753" t="str">
        <f t="shared" si="101"/>
        <v>Evening</v>
      </c>
      <c r="T753" t="str">
        <f t="shared" si="102"/>
        <v>February</v>
      </c>
      <c r="U753" t="str">
        <f t="shared" si="103"/>
        <v>Spring</v>
      </c>
      <c r="V753">
        <f t="shared" si="104"/>
        <v>0.22929155386993369</v>
      </c>
      <c r="W753">
        <f t="shared" si="105"/>
        <v>-0.25435329828790432</v>
      </c>
      <c r="X753">
        <f t="shared" si="106"/>
        <v>0.10399668008577614</v>
      </c>
      <c r="Y753">
        <f t="shared" si="107"/>
        <v>0.36604748519325236</v>
      </c>
    </row>
    <row r="754" spans="1:25" x14ac:dyDescent="0.3">
      <c r="A754">
        <v>753</v>
      </c>
      <c r="B754" s="1">
        <v>40577</v>
      </c>
      <c r="C754">
        <v>1</v>
      </c>
      <c r="D754">
        <v>0</v>
      </c>
      <c r="E754">
        <v>2</v>
      </c>
      <c r="F754">
        <v>18</v>
      </c>
      <c r="G754" t="b">
        <v>0</v>
      </c>
      <c r="H754">
        <v>4</v>
      </c>
      <c r="I754">
        <v>1</v>
      </c>
      <c r="J754">
        <v>0.2</v>
      </c>
      <c r="K754">
        <v>0.21210000000000001</v>
      </c>
      <c r="L754">
        <v>0.4</v>
      </c>
      <c r="M754">
        <v>0.16420000000000001</v>
      </c>
      <c r="N754">
        <v>2</v>
      </c>
      <c r="O754">
        <v>145</v>
      </c>
      <c r="P754">
        <v>147</v>
      </c>
      <c r="Q754" t="str">
        <f t="shared" si="99"/>
        <v>Weekday</v>
      </c>
      <c r="R754" t="str">
        <f t="shared" si="100"/>
        <v>Clear</v>
      </c>
      <c r="S754" t="str">
        <f t="shared" si="101"/>
        <v>Evening</v>
      </c>
      <c r="T754" t="str">
        <f t="shared" si="102"/>
        <v>February</v>
      </c>
      <c r="U754" t="str">
        <f t="shared" si="103"/>
        <v>Spring</v>
      </c>
      <c r="V754">
        <f t="shared" si="104"/>
        <v>0.22929155386993369</v>
      </c>
      <c r="W754">
        <f t="shared" si="105"/>
        <v>-0.25435329828790432</v>
      </c>
      <c r="X754">
        <f t="shared" si="106"/>
        <v>0.10399668008577614</v>
      </c>
      <c r="Y754">
        <f t="shared" si="107"/>
        <v>0.36604748519325236</v>
      </c>
    </row>
    <row r="755" spans="1:25" x14ac:dyDescent="0.3">
      <c r="A755">
        <v>754</v>
      </c>
      <c r="B755" s="1">
        <v>40577</v>
      </c>
      <c r="C755">
        <v>1</v>
      </c>
      <c r="D755">
        <v>0</v>
      </c>
      <c r="E755">
        <v>2</v>
      </c>
      <c r="F755">
        <v>19</v>
      </c>
      <c r="G755" t="b">
        <v>0</v>
      </c>
      <c r="H755">
        <v>4</v>
      </c>
      <c r="I755">
        <v>1</v>
      </c>
      <c r="J755">
        <v>0.2</v>
      </c>
      <c r="K755">
        <v>0.2576</v>
      </c>
      <c r="L755">
        <v>0.4</v>
      </c>
      <c r="M755">
        <v>0</v>
      </c>
      <c r="N755">
        <v>4</v>
      </c>
      <c r="O755">
        <v>92</v>
      </c>
      <c r="P755">
        <v>96</v>
      </c>
      <c r="Q755" t="str">
        <f t="shared" si="99"/>
        <v>Weekday</v>
      </c>
      <c r="R755" t="str">
        <f t="shared" si="100"/>
        <v>Clear</v>
      </c>
      <c r="S755" t="str">
        <f t="shared" si="101"/>
        <v>Evening</v>
      </c>
      <c r="T755" t="str">
        <f t="shared" si="102"/>
        <v>February</v>
      </c>
      <c r="U755" t="str">
        <f t="shared" si="103"/>
        <v>Spring</v>
      </c>
      <c r="V755">
        <f t="shared" si="104"/>
        <v>0.22929155386993369</v>
      </c>
      <c r="W755">
        <f t="shared" si="105"/>
        <v>-0.25435329828790432</v>
      </c>
      <c r="X755">
        <f t="shared" si="106"/>
        <v>0.10399668008577614</v>
      </c>
      <c r="Y755">
        <f t="shared" si="107"/>
        <v>0.36604748519325236</v>
      </c>
    </row>
    <row r="756" spans="1:25" x14ac:dyDescent="0.3">
      <c r="A756">
        <v>755</v>
      </c>
      <c r="B756" s="1">
        <v>40577</v>
      </c>
      <c r="C756">
        <v>1</v>
      </c>
      <c r="D756">
        <v>0</v>
      </c>
      <c r="E756">
        <v>2</v>
      </c>
      <c r="F756">
        <v>20</v>
      </c>
      <c r="G756" t="b">
        <v>0</v>
      </c>
      <c r="H756">
        <v>4</v>
      </c>
      <c r="I756">
        <v>1</v>
      </c>
      <c r="J756">
        <v>0.2</v>
      </c>
      <c r="K756">
        <v>0.2273</v>
      </c>
      <c r="L756">
        <v>0.47</v>
      </c>
      <c r="M756">
        <v>8.9599999999999999E-2</v>
      </c>
      <c r="N756">
        <v>1</v>
      </c>
      <c r="O756">
        <v>108</v>
      </c>
      <c r="P756">
        <v>109</v>
      </c>
      <c r="Q756" t="str">
        <f t="shared" si="99"/>
        <v>Weekday</v>
      </c>
      <c r="R756" t="str">
        <f t="shared" si="100"/>
        <v>Clear</v>
      </c>
      <c r="S756" t="str">
        <f t="shared" si="101"/>
        <v>Evening</v>
      </c>
      <c r="T756" t="str">
        <f t="shared" si="102"/>
        <v>February</v>
      </c>
      <c r="U756" t="str">
        <f t="shared" si="103"/>
        <v>Spring</v>
      </c>
      <c r="V756">
        <f t="shared" si="104"/>
        <v>0.22929155386993369</v>
      </c>
      <c r="W756">
        <f t="shared" si="105"/>
        <v>-0.25435329828790432</v>
      </c>
      <c r="X756">
        <f t="shared" si="106"/>
        <v>0.10399668008577614</v>
      </c>
      <c r="Y756">
        <f t="shared" si="107"/>
        <v>0.36604748519325236</v>
      </c>
    </row>
    <row r="757" spans="1:25" x14ac:dyDescent="0.3">
      <c r="A757">
        <v>756</v>
      </c>
      <c r="B757" s="1">
        <v>40577</v>
      </c>
      <c r="C757">
        <v>1</v>
      </c>
      <c r="D757">
        <v>0</v>
      </c>
      <c r="E757">
        <v>2</v>
      </c>
      <c r="F757">
        <v>21</v>
      </c>
      <c r="G757" t="b">
        <v>0</v>
      </c>
      <c r="H757">
        <v>4</v>
      </c>
      <c r="I757">
        <v>1</v>
      </c>
      <c r="J757">
        <v>0.18</v>
      </c>
      <c r="K757">
        <v>0.21210000000000001</v>
      </c>
      <c r="L757">
        <v>0.55000000000000004</v>
      </c>
      <c r="M757">
        <v>0.1045</v>
      </c>
      <c r="N757">
        <v>1</v>
      </c>
      <c r="O757">
        <v>53</v>
      </c>
      <c r="P757">
        <v>54</v>
      </c>
      <c r="Q757" t="str">
        <f t="shared" si="99"/>
        <v>Weekday</v>
      </c>
      <c r="R757" t="str">
        <f t="shared" si="100"/>
        <v>Clear</v>
      </c>
      <c r="S757" t="str">
        <f t="shared" si="101"/>
        <v>Night</v>
      </c>
      <c r="T757" t="str">
        <f t="shared" si="102"/>
        <v>February</v>
      </c>
      <c r="U757" t="str">
        <f t="shared" si="103"/>
        <v>Spring</v>
      </c>
      <c r="V757">
        <f t="shared" si="104"/>
        <v>0.22929155386993369</v>
      </c>
      <c r="W757">
        <f t="shared" si="105"/>
        <v>-0.25435329828790432</v>
      </c>
      <c r="X757">
        <f t="shared" si="106"/>
        <v>0.10399668008577614</v>
      </c>
      <c r="Y757">
        <f t="shared" si="107"/>
        <v>0.36604748519325236</v>
      </c>
    </row>
    <row r="758" spans="1:25" x14ac:dyDescent="0.3">
      <c r="A758">
        <v>757</v>
      </c>
      <c r="B758" s="1">
        <v>40577</v>
      </c>
      <c r="C758">
        <v>1</v>
      </c>
      <c r="D758">
        <v>0</v>
      </c>
      <c r="E758">
        <v>2</v>
      </c>
      <c r="F758">
        <v>22</v>
      </c>
      <c r="G758" t="b">
        <v>0</v>
      </c>
      <c r="H758">
        <v>4</v>
      </c>
      <c r="I758">
        <v>1</v>
      </c>
      <c r="J758">
        <v>0.18</v>
      </c>
      <c r="K758">
        <v>0.21210000000000001</v>
      </c>
      <c r="L758">
        <v>0.51</v>
      </c>
      <c r="M758">
        <v>8.9599999999999999E-2</v>
      </c>
      <c r="N758">
        <v>2</v>
      </c>
      <c r="O758">
        <v>39</v>
      </c>
      <c r="P758">
        <v>41</v>
      </c>
      <c r="Q758" t="str">
        <f t="shared" si="99"/>
        <v>Weekday</v>
      </c>
      <c r="R758" t="str">
        <f t="shared" si="100"/>
        <v>Clear</v>
      </c>
      <c r="S758" t="str">
        <f t="shared" si="101"/>
        <v>Night</v>
      </c>
      <c r="T758" t="str">
        <f t="shared" si="102"/>
        <v>February</v>
      </c>
      <c r="U758" t="str">
        <f t="shared" si="103"/>
        <v>Spring</v>
      </c>
      <c r="V758">
        <f t="shared" si="104"/>
        <v>0.22929155386993369</v>
      </c>
      <c r="W758">
        <f t="shared" si="105"/>
        <v>-0.25435329828790432</v>
      </c>
      <c r="X758">
        <f t="shared" si="106"/>
        <v>0.10399668008577614</v>
      </c>
      <c r="Y758">
        <f t="shared" si="107"/>
        <v>0.36604748519325236</v>
      </c>
    </row>
    <row r="759" spans="1:25" x14ac:dyDescent="0.3">
      <c r="A759">
        <v>758</v>
      </c>
      <c r="B759" s="1">
        <v>40577</v>
      </c>
      <c r="C759">
        <v>1</v>
      </c>
      <c r="D759">
        <v>0</v>
      </c>
      <c r="E759">
        <v>2</v>
      </c>
      <c r="F759">
        <v>23</v>
      </c>
      <c r="G759" t="b">
        <v>0</v>
      </c>
      <c r="H759">
        <v>4</v>
      </c>
      <c r="I759">
        <v>1</v>
      </c>
      <c r="J759">
        <v>0.2</v>
      </c>
      <c r="K759">
        <v>0.2273</v>
      </c>
      <c r="L759">
        <v>0.47</v>
      </c>
      <c r="M759">
        <v>0.1045</v>
      </c>
      <c r="N759">
        <v>4</v>
      </c>
      <c r="O759">
        <v>34</v>
      </c>
      <c r="P759">
        <v>38</v>
      </c>
      <c r="Q759" t="str">
        <f t="shared" si="99"/>
        <v>Weekday</v>
      </c>
      <c r="R759" t="str">
        <f t="shared" si="100"/>
        <v>Clear</v>
      </c>
      <c r="S759" t="str">
        <f t="shared" si="101"/>
        <v>Night</v>
      </c>
      <c r="T759" t="str">
        <f t="shared" si="102"/>
        <v>February</v>
      </c>
      <c r="U759" t="str">
        <f t="shared" si="103"/>
        <v>Spring</v>
      </c>
      <c r="V759">
        <f t="shared" si="104"/>
        <v>0.22929155386993369</v>
      </c>
      <c r="W759">
        <f t="shared" si="105"/>
        <v>-0.25435329828790432</v>
      </c>
      <c r="X759">
        <f t="shared" si="106"/>
        <v>0.10399668008577614</v>
      </c>
      <c r="Y759">
        <f t="shared" si="107"/>
        <v>0.36604748519325236</v>
      </c>
    </row>
    <row r="760" spans="1:25" x14ac:dyDescent="0.3">
      <c r="A760">
        <v>759</v>
      </c>
      <c r="B760" s="1">
        <v>40578</v>
      </c>
      <c r="C760">
        <v>1</v>
      </c>
      <c r="D760">
        <v>0</v>
      </c>
      <c r="E760">
        <v>2</v>
      </c>
      <c r="F760">
        <v>0</v>
      </c>
      <c r="G760" t="b">
        <v>0</v>
      </c>
      <c r="H760">
        <v>5</v>
      </c>
      <c r="I760">
        <v>2</v>
      </c>
      <c r="J760">
        <v>0.2</v>
      </c>
      <c r="K760">
        <v>0.2576</v>
      </c>
      <c r="L760">
        <v>0.44</v>
      </c>
      <c r="M760">
        <v>0</v>
      </c>
      <c r="N760">
        <v>3</v>
      </c>
      <c r="O760">
        <v>10</v>
      </c>
      <c r="P760">
        <v>13</v>
      </c>
      <c r="Q760" t="str">
        <f t="shared" si="99"/>
        <v>Weekday</v>
      </c>
      <c r="R760" t="str">
        <f t="shared" si="100"/>
        <v>Mist/Cloudy</v>
      </c>
      <c r="S760" t="str">
        <f t="shared" si="101"/>
        <v>Night</v>
      </c>
      <c r="T760" t="str">
        <f t="shared" si="102"/>
        <v>February</v>
      </c>
      <c r="U760" t="str">
        <f t="shared" si="103"/>
        <v>Spring</v>
      </c>
      <c r="V760">
        <f t="shared" si="104"/>
        <v>0.22929155386993369</v>
      </c>
      <c r="W760">
        <f t="shared" si="105"/>
        <v>-0.25435329828790432</v>
      </c>
      <c r="X760">
        <f t="shared" si="106"/>
        <v>0.10399668008577614</v>
      </c>
      <c r="Y760">
        <f t="shared" si="107"/>
        <v>0.36604748519325236</v>
      </c>
    </row>
    <row r="761" spans="1:25" x14ac:dyDescent="0.3">
      <c r="A761">
        <v>760</v>
      </c>
      <c r="B761" s="1">
        <v>40578</v>
      </c>
      <c r="C761">
        <v>1</v>
      </c>
      <c r="D761">
        <v>0</v>
      </c>
      <c r="E761">
        <v>2</v>
      </c>
      <c r="F761">
        <v>1</v>
      </c>
      <c r="G761" t="b">
        <v>0</v>
      </c>
      <c r="H761">
        <v>5</v>
      </c>
      <c r="I761">
        <v>2</v>
      </c>
      <c r="J761">
        <v>0.16</v>
      </c>
      <c r="K761">
        <v>0.2273</v>
      </c>
      <c r="L761">
        <v>0.59</v>
      </c>
      <c r="M761">
        <v>0</v>
      </c>
      <c r="N761">
        <v>0</v>
      </c>
      <c r="O761">
        <v>7</v>
      </c>
      <c r="P761">
        <v>7</v>
      </c>
      <c r="Q761" t="str">
        <f t="shared" si="99"/>
        <v>Weekday</v>
      </c>
      <c r="R761" t="str">
        <f t="shared" si="100"/>
        <v>Mist/Cloudy</v>
      </c>
      <c r="S761" t="str">
        <f t="shared" si="101"/>
        <v>Night</v>
      </c>
      <c r="T761" t="str">
        <f t="shared" si="102"/>
        <v>February</v>
      </c>
      <c r="U761" t="str">
        <f t="shared" si="103"/>
        <v>Spring</v>
      </c>
      <c r="V761">
        <f t="shared" si="104"/>
        <v>0.22929155386993369</v>
      </c>
      <c r="W761">
        <f t="shared" si="105"/>
        <v>-0.25435329828790432</v>
      </c>
      <c r="X761">
        <f t="shared" si="106"/>
        <v>0.10399668008577614</v>
      </c>
      <c r="Y761">
        <f t="shared" si="107"/>
        <v>0.36604748519325236</v>
      </c>
    </row>
    <row r="762" spans="1:25" x14ac:dyDescent="0.3">
      <c r="A762">
        <v>761</v>
      </c>
      <c r="B762" s="1">
        <v>40578</v>
      </c>
      <c r="C762">
        <v>1</v>
      </c>
      <c r="D762">
        <v>0</v>
      </c>
      <c r="E762">
        <v>2</v>
      </c>
      <c r="F762">
        <v>2</v>
      </c>
      <c r="G762" t="b">
        <v>0</v>
      </c>
      <c r="H762">
        <v>5</v>
      </c>
      <c r="I762">
        <v>2</v>
      </c>
      <c r="J762">
        <v>0.14000000000000001</v>
      </c>
      <c r="K762">
        <v>0.16669999999999999</v>
      </c>
      <c r="L762">
        <v>0.63</v>
      </c>
      <c r="M762">
        <v>0.1045</v>
      </c>
      <c r="N762">
        <v>0</v>
      </c>
      <c r="O762">
        <v>1</v>
      </c>
      <c r="P762">
        <v>1</v>
      </c>
      <c r="Q762" t="str">
        <f t="shared" si="99"/>
        <v>Weekday</v>
      </c>
      <c r="R762" t="str">
        <f t="shared" si="100"/>
        <v>Mist/Cloudy</v>
      </c>
      <c r="S762" t="str">
        <f t="shared" si="101"/>
        <v>Night</v>
      </c>
      <c r="T762" t="str">
        <f t="shared" si="102"/>
        <v>February</v>
      </c>
      <c r="U762" t="str">
        <f t="shared" si="103"/>
        <v>Spring</v>
      </c>
      <c r="V762">
        <f t="shared" si="104"/>
        <v>0.22929155386993369</v>
      </c>
      <c r="W762">
        <f t="shared" si="105"/>
        <v>-0.25435329828790432</v>
      </c>
      <c r="X762">
        <f t="shared" si="106"/>
        <v>0.10399668008577614</v>
      </c>
      <c r="Y762">
        <f t="shared" si="107"/>
        <v>0.36604748519325236</v>
      </c>
    </row>
    <row r="763" spans="1:25" x14ac:dyDescent="0.3">
      <c r="A763">
        <v>762</v>
      </c>
      <c r="B763" s="1">
        <v>40578</v>
      </c>
      <c r="C763">
        <v>1</v>
      </c>
      <c r="D763">
        <v>0</v>
      </c>
      <c r="E763">
        <v>2</v>
      </c>
      <c r="F763">
        <v>3</v>
      </c>
      <c r="G763" t="b">
        <v>0</v>
      </c>
      <c r="H763">
        <v>5</v>
      </c>
      <c r="I763">
        <v>2</v>
      </c>
      <c r="J763">
        <v>0.14000000000000001</v>
      </c>
      <c r="K763">
        <v>0.16669999999999999</v>
      </c>
      <c r="L763">
        <v>0.63</v>
      </c>
      <c r="M763">
        <v>0.1045</v>
      </c>
      <c r="N763">
        <v>0</v>
      </c>
      <c r="O763">
        <v>1</v>
      </c>
      <c r="P763">
        <v>1</v>
      </c>
      <c r="Q763" t="str">
        <f t="shared" si="99"/>
        <v>Weekday</v>
      </c>
      <c r="R763" t="str">
        <f t="shared" si="100"/>
        <v>Mist/Cloudy</v>
      </c>
      <c r="S763" t="str">
        <f t="shared" si="101"/>
        <v>Night</v>
      </c>
      <c r="T763" t="str">
        <f t="shared" si="102"/>
        <v>February</v>
      </c>
      <c r="U763" t="str">
        <f t="shared" si="103"/>
        <v>Spring</v>
      </c>
      <c r="V763">
        <f t="shared" si="104"/>
        <v>0.22929155386993369</v>
      </c>
      <c r="W763">
        <f t="shared" si="105"/>
        <v>-0.25435329828790432</v>
      </c>
      <c r="X763">
        <f t="shared" si="106"/>
        <v>0.10399668008577614</v>
      </c>
      <c r="Y763">
        <f t="shared" si="107"/>
        <v>0.36604748519325236</v>
      </c>
    </row>
    <row r="764" spans="1:25" x14ac:dyDescent="0.3">
      <c r="A764">
        <v>763</v>
      </c>
      <c r="B764" s="1">
        <v>40578</v>
      </c>
      <c r="C764">
        <v>1</v>
      </c>
      <c r="D764">
        <v>0</v>
      </c>
      <c r="E764">
        <v>2</v>
      </c>
      <c r="F764">
        <v>5</v>
      </c>
      <c r="G764" t="b">
        <v>0</v>
      </c>
      <c r="H764">
        <v>5</v>
      </c>
      <c r="I764">
        <v>2</v>
      </c>
      <c r="J764">
        <v>0.14000000000000001</v>
      </c>
      <c r="K764">
        <v>0.1515</v>
      </c>
      <c r="L764">
        <v>0.63</v>
      </c>
      <c r="M764">
        <v>0.1343</v>
      </c>
      <c r="N764">
        <v>0</v>
      </c>
      <c r="O764">
        <v>7</v>
      </c>
      <c r="P764">
        <v>7</v>
      </c>
      <c r="Q764" t="str">
        <f t="shared" si="99"/>
        <v>Weekday</v>
      </c>
      <c r="R764" t="str">
        <f t="shared" si="100"/>
        <v>Mist/Cloudy</v>
      </c>
      <c r="S764" t="str">
        <f t="shared" si="101"/>
        <v>Night</v>
      </c>
      <c r="T764" t="str">
        <f t="shared" si="102"/>
        <v>February</v>
      </c>
      <c r="U764" t="str">
        <f t="shared" si="103"/>
        <v>Spring</v>
      </c>
      <c r="V764">
        <f t="shared" si="104"/>
        <v>0.22929155386993369</v>
      </c>
      <c r="W764">
        <f t="shared" si="105"/>
        <v>-0.25435329828790432</v>
      </c>
      <c r="X764">
        <f t="shared" si="106"/>
        <v>0.10399668008577614</v>
      </c>
      <c r="Y764">
        <f t="shared" si="107"/>
        <v>0.36604748519325236</v>
      </c>
    </row>
    <row r="765" spans="1:25" x14ac:dyDescent="0.3">
      <c r="A765">
        <v>764</v>
      </c>
      <c r="B765" s="1">
        <v>40578</v>
      </c>
      <c r="C765">
        <v>1</v>
      </c>
      <c r="D765">
        <v>0</v>
      </c>
      <c r="E765">
        <v>2</v>
      </c>
      <c r="F765">
        <v>6</v>
      </c>
      <c r="G765" t="b">
        <v>0</v>
      </c>
      <c r="H765">
        <v>5</v>
      </c>
      <c r="I765">
        <v>2</v>
      </c>
      <c r="J765">
        <v>0.16</v>
      </c>
      <c r="K765">
        <v>0.2273</v>
      </c>
      <c r="L765">
        <v>0.55000000000000004</v>
      </c>
      <c r="M765">
        <v>0</v>
      </c>
      <c r="N765">
        <v>2</v>
      </c>
      <c r="O765">
        <v>26</v>
      </c>
      <c r="P765">
        <v>28</v>
      </c>
      <c r="Q765" t="str">
        <f t="shared" si="99"/>
        <v>Weekday</v>
      </c>
      <c r="R765" t="str">
        <f t="shared" si="100"/>
        <v>Mist/Cloudy</v>
      </c>
      <c r="S765" t="str">
        <f t="shared" si="101"/>
        <v>Morning</v>
      </c>
      <c r="T765" t="str">
        <f t="shared" si="102"/>
        <v>February</v>
      </c>
      <c r="U765" t="str">
        <f t="shared" si="103"/>
        <v>Spring</v>
      </c>
      <c r="V765">
        <f t="shared" si="104"/>
        <v>0.22929155386993369</v>
      </c>
      <c r="W765">
        <f t="shared" si="105"/>
        <v>-0.25435329828790432</v>
      </c>
      <c r="X765">
        <f t="shared" si="106"/>
        <v>0.10399668008577614</v>
      </c>
      <c r="Y765">
        <f t="shared" si="107"/>
        <v>0.36604748519325236</v>
      </c>
    </row>
    <row r="766" spans="1:25" x14ac:dyDescent="0.3">
      <c r="A766">
        <v>765</v>
      </c>
      <c r="B766" s="1">
        <v>40578</v>
      </c>
      <c r="C766">
        <v>1</v>
      </c>
      <c r="D766">
        <v>0</v>
      </c>
      <c r="E766">
        <v>2</v>
      </c>
      <c r="F766">
        <v>7</v>
      </c>
      <c r="G766" t="b">
        <v>0</v>
      </c>
      <c r="H766">
        <v>5</v>
      </c>
      <c r="I766">
        <v>1</v>
      </c>
      <c r="J766">
        <v>0.14000000000000001</v>
      </c>
      <c r="K766">
        <v>0.21210000000000001</v>
      </c>
      <c r="L766">
        <v>0.59</v>
      </c>
      <c r="M766">
        <v>0</v>
      </c>
      <c r="N766">
        <v>0</v>
      </c>
      <c r="O766">
        <v>87</v>
      </c>
      <c r="P766">
        <v>87</v>
      </c>
      <c r="Q766" t="str">
        <f t="shared" si="99"/>
        <v>Weekday</v>
      </c>
      <c r="R766" t="str">
        <f t="shared" si="100"/>
        <v>Clear</v>
      </c>
      <c r="S766" t="str">
        <f t="shared" si="101"/>
        <v>Morning</v>
      </c>
      <c r="T766" t="str">
        <f t="shared" si="102"/>
        <v>February</v>
      </c>
      <c r="U766" t="str">
        <f t="shared" si="103"/>
        <v>Spring</v>
      </c>
      <c r="V766">
        <f t="shared" si="104"/>
        <v>0.22929155386993369</v>
      </c>
      <c r="W766">
        <f t="shared" si="105"/>
        <v>-0.25435329828790432</v>
      </c>
      <c r="X766">
        <f t="shared" si="106"/>
        <v>0.10399668008577614</v>
      </c>
      <c r="Y766">
        <f t="shared" si="107"/>
        <v>0.36604748519325236</v>
      </c>
    </row>
    <row r="767" spans="1:25" x14ac:dyDescent="0.3">
      <c r="A767">
        <v>766</v>
      </c>
      <c r="B767" s="1">
        <v>40578</v>
      </c>
      <c r="C767">
        <v>1</v>
      </c>
      <c r="D767">
        <v>0</v>
      </c>
      <c r="E767">
        <v>2</v>
      </c>
      <c r="F767">
        <v>8</v>
      </c>
      <c r="G767" t="b">
        <v>0</v>
      </c>
      <c r="H767">
        <v>5</v>
      </c>
      <c r="I767">
        <v>1</v>
      </c>
      <c r="J767">
        <v>0.14000000000000001</v>
      </c>
      <c r="K767">
        <v>0.1515</v>
      </c>
      <c r="L767">
        <v>0.74</v>
      </c>
      <c r="M767">
        <v>0.1343</v>
      </c>
      <c r="N767">
        <v>3</v>
      </c>
      <c r="O767">
        <v>217</v>
      </c>
      <c r="P767">
        <v>220</v>
      </c>
      <c r="Q767" t="str">
        <f t="shared" si="99"/>
        <v>Weekday</v>
      </c>
      <c r="R767" t="str">
        <f t="shared" si="100"/>
        <v>Clear</v>
      </c>
      <c r="S767" t="str">
        <f t="shared" si="101"/>
        <v>Morning</v>
      </c>
      <c r="T767" t="str">
        <f t="shared" si="102"/>
        <v>February</v>
      </c>
      <c r="U767" t="str">
        <f t="shared" si="103"/>
        <v>Spring</v>
      </c>
      <c r="V767">
        <f t="shared" si="104"/>
        <v>0.22929155386993369</v>
      </c>
      <c r="W767">
        <f t="shared" si="105"/>
        <v>-0.25435329828790432</v>
      </c>
      <c r="X767">
        <f t="shared" si="106"/>
        <v>0.10399668008577614</v>
      </c>
      <c r="Y767">
        <f t="shared" si="107"/>
        <v>0.36604748519325236</v>
      </c>
    </row>
    <row r="768" spans="1:25" x14ac:dyDescent="0.3">
      <c r="A768">
        <v>767</v>
      </c>
      <c r="B768" s="1">
        <v>40578</v>
      </c>
      <c r="C768">
        <v>1</v>
      </c>
      <c r="D768">
        <v>0</v>
      </c>
      <c r="E768">
        <v>2</v>
      </c>
      <c r="F768">
        <v>9</v>
      </c>
      <c r="G768" t="b">
        <v>0</v>
      </c>
      <c r="H768">
        <v>5</v>
      </c>
      <c r="I768">
        <v>2</v>
      </c>
      <c r="J768">
        <v>0.16</v>
      </c>
      <c r="K768">
        <v>0.18179999999999999</v>
      </c>
      <c r="L768">
        <v>0.8</v>
      </c>
      <c r="M768">
        <v>0.1343</v>
      </c>
      <c r="N768">
        <v>3</v>
      </c>
      <c r="O768">
        <v>124</v>
      </c>
      <c r="P768">
        <v>127</v>
      </c>
      <c r="Q768" t="str">
        <f t="shared" si="99"/>
        <v>Weekday</v>
      </c>
      <c r="R768" t="str">
        <f t="shared" si="100"/>
        <v>Mist/Cloudy</v>
      </c>
      <c r="S768" t="str">
        <f t="shared" si="101"/>
        <v>Morning</v>
      </c>
      <c r="T768" t="str">
        <f t="shared" si="102"/>
        <v>February</v>
      </c>
      <c r="U768" t="str">
        <f t="shared" si="103"/>
        <v>Spring</v>
      </c>
      <c r="V768">
        <f t="shared" si="104"/>
        <v>0.22929155386993369</v>
      </c>
      <c r="W768">
        <f t="shared" si="105"/>
        <v>-0.25435329828790432</v>
      </c>
      <c r="X768">
        <f t="shared" si="106"/>
        <v>0.10399668008577614</v>
      </c>
      <c r="Y768">
        <f t="shared" si="107"/>
        <v>0.36604748519325236</v>
      </c>
    </row>
    <row r="769" spans="1:25" x14ac:dyDescent="0.3">
      <c r="A769">
        <v>768</v>
      </c>
      <c r="B769" s="1">
        <v>40578</v>
      </c>
      <c r="C769">
        <v>1</v>
      </c>
      <c r="D769">
        <v>0</v>
      </c>
      <c r="E769">
        <v>2</v>
      </c>
      <c r="F769">
        <v>10</v>
      </c>
      <c r="G769" t="b">
        <v>0</v>
      </c>
      <c r="H769">
        <v>5</v>
      </c>
      <c r="I769">
        <v>2</v>
      </c>
      <c r="J769">
        <v>0.2</v>
      </c>
      <c r="K769">
        <v>0.21210000000000001</v>
      </c>
      <c r="L769">
        <v>0.51</v>
      </c>
      <c r="M769">
        <v>0.1343</v>
      </c>
      <c r="N769">
        <v>5</v>
      </c>
      <c r="O769">
        <v>46</v>
      </c>
      <c r="P769">
        <v>51</v>
      </c>
      <c r="Q769" t="str">
        <f t="shared" si="99"/>
        <v>Weekday</v>
      </c>
      <c r="R769" t="str">
        <f t="shared" si="100"/>
        <v>Mist/Cloudy</v>
      </c>
      <c r="S769" t="str">
        <f t="shared" si="101"/>
        <v>Morning</v>
      </c>
      <c r="T769" t="str">
        <f t="shared" si="102"/>
        <v>February</v>
      </c>
      <c r="U769" t="str">
        <f t="shared" si="103"/>
        <v>Spring</v>
      </c>
      <c r="V769">
        <f t="shared" si="104"/>
        <v>0.22929155386993369</v>
      </c>
      <c r="W769">
        <f t="shared" si="105"/>
        <v>-0.25435329828790432</v>
      </c>
      <c r="X769">
        <f t="shared" si="106"/>
        <v>0.10399668008577614</v>
      </c>
      <c r="Y769">
        <f t="shared" si="107"/>
        <v>0.36604748519325236</v>
      </c>
    </row>
    <row r="770" spans="1:25" x14ac:dyDescent="0.3">
      <c r="A770">
        <v>769</v>
      </c>
      <c r="B770" s="1">
        <v>40578</v>
      </c>
      <c r="C770">
        <v>1</v>
      </c>
      <c r="D770">
        <v>0</v>
      </c>
      <c r="E770">
        <v>2</v>
      </c>
      <c r="F770">
        <v>11</v>
      </c>
      <c r="G770" t="b">
        <v>0</v>
      </c>
      <c r="H770">
        <v>5</v>
      </c>
      <c r="I770">
        <v>1</v>
      </c>
      <c r="J770">
        <v>0.22</v>
      </c>
      <c r="K770">
        <v>0.2273</v>
      </c>
      <c r="L770">
        <v>0.51</v>
      </c>
      <c r="M770">
        <v>0.16420000000000001</v>
      </c>
      <c r="N770">
        <v>3</v>
      </c>
      <c r="O770">
        <v>61</v>
      </c>
      <c r="P770">
        <v>64</v>
      </c>
      <c r="Q770" t="str">
        <f t="shared" ref="Q770:Q833" si="108">IF(OR(WEEKDAY(B770)=1, WEEKDAY(B770)=7), "Weekend", "Weekday")</f>
        <v>Weekday</v>
      </c>
      <c r="R770" t="str">
        <f t="shared" ref="R770:R833" si="109">IF(I770=1,"Clear",IF(I770=2,"Mist/Cloudy",IF(I770=3,"Light Rain/Snow","Heavy Rain/Snow")))</f>
        <v>Clear</v>
      </c>
      <c r="S770" t="str">
        <f t="shared" ref="S770:S833" si="110">IF(AND(F770&gt;=6, F770&lt;12), "Morning", IF(AND(F770&gt;=12, F770&lt;17), "Afternoon", IF(AND(F770&gt;=17, F770&lt;21), "Evening", "Night")))</f>
        <v>Morning</v>
      </c>
      <c r="T770" t="str">
        <f t="shared" ref="T770:T833" si="111">TEXT(B770, "mmmm")</f>
        <v>February</v>
      </c>
      <c r="U770" t="str">
        <f t="shared" ref="U770:U833" si="112">CHOOSE(C770, "Spring", "Summer", "Fall", "Winter")</f>
        <v>Spring</v>
      </c>
      <c r="V770">
        <f t="shared" ref="V770:V833" si="113">CORREL($J$2:$J$1001, $P$2:$P$1001)</f>
        <v>0.22929155386993369</v>
      </c>
      <c r="W770">
        <f t="shared" ref="W770:W833" si="114">CORREL($L$2:$L$1001, $P$2:$P$1001)</f>
        <v>-0.25435329828790432</v>
      </c>
      <c r="X770">
        <f t="shared" ref="X770:X833" si="115">CORREL($M$2:$M$1001, $P$2:$P$1001)</f>
        <v>0.10399668008577614</v>
      </c>
      <c r="Y770">
        <f t="shared" ref="Y770:Y833" si="116">CORREL($F$2:$F$1001, $P$2:$P$1001)</f>
        <v>0.36604748519325236</v>
      </c>
    </row>
    <row r="771" spans="1:25" x14ac:dyDescent="0.3">
      <c r="A771">
        <v>770</v>
      </c>
      <c r="B771" s="1">
        <v>40578</v>
      </c>
      <c r="C771">
        <v>1</v>
      </c>
      <c r="D771">
        <v>0</v>
      </c>
      <c r="E771">
        <v>2</v>
      </c>
      <c r="F771">
        <v>12</v>
      </c>
      <c r="G771" t="b">
        <v>0</v>
      </c>
      <c r="H771">
        <v>5</v>
      </c>
      <c r="I771">
        <v>2</v>
      </c>
      <c r="J771">
        <v>0.24</v>
      </c>
      <c r="K771">
        <v>0.2424</v>
      </c>
      <c r="L771">
        <v>0.48</v>
      </c>
      <c r="M771">
        <v>0.16420000000000001</v>
      </c>
      <c r="N771">
        <v>8</v>
      </c>
      <c r="O771">
        <v>78</v>
      </c>
      <c r="P771">
        <v>86</v>
      </c>
      <c r="Q771" t="str">
        <f t="shared" si="108"/>
        <v>Weekday</v>
      </c>
      <c r="R771" t="str">
        <f t="shared" si="109"/>
        <v>Mist/Cloudy</v>
      </c>
      <c r="S771" t="str">
        <f t="shared" si="110"/>
        <v>Afternoon</v>
      </c>
      <c r="T771" t="str">
        <f t="shared" si="111"/>
        <v>February</v>
      </c>
      <c r="U771" t="str">
        <f t="shared" si="112"/>
        <v>Spring</v>
      </c>
      <c r="V771">
        <f t="shared" si="113"/>
        <v>0.22929155386993369</v>
      </c>
      <c r="W771">
        <f t="shared" si="114"/>
        <v>-0.25435329828790432</v>
      </c>
      <c r="X771">
        <f t="shared" si="115"/>
        <v>0.10399668008577614</v>
      </c>
      <c r="Y771">
        <f t="shared" si="116"/>
        <v>0.36604748519325236</v>
      </c>
    </row>
    <row r="772" spans="1:25" x14ac:dyDescent="0.3">
      <c r="A772">
        <v>771</v>
      </c>
      <c r="B772" s="1">
        <v>40578</v>
      </c>
      <c r="C772">
        <v>1</v>
      </c>
      <c r="D772">
        <v>0</v>
      </c>
      <c r="E772">
        <v>2</v>
      </c>
      <c r="F772">
        <v>13</v>
      </c>
      <c r="G772" t="b">
        <v>0</v>
      </c>
      <c r="H772">
        <v>5</v>
      </c>
      <c r="I772">
        <v>2</v>
      </c>
      <c r="J772">
        <v>0.26</v>
      </c>
      <c r="K772">
        <v>0.2576</v>
      </c>
      <c r="L772">
        <v>0.5</v>
      </c>
      <c r="M772">
        <v>0.22389999999999999</v>
      </c>
      <c r="N772">
        <v>9</v>
      </c>
      <c r="O772">
        <v>73</v>
      </c>
      <c r="P772">
        <v>82</v>
      </c>
      <c r="Q772" t="str">
        <f t="shared" si="108"/>
        <v>Weekday</v>
      </c>
      <c r="R772" t="str">
        <f t="shared" si="109"/>
        <v>Mist/Cloudy</v>
      </c>
      <c r="S772" t="str">
        <f t="shared" si="110"/>
        <v>Afternoon</v>
      </c>
      <c r="T772" t="str">
        <f t="shared" si="111"/>
        <v>February</v>
      </c>
      <c r="U772" t="str">
        <f t="shared" si="112"/>
        <v>Spring</v>
      </c>
      <c r="V772">
        <f t="shared" si="113"/>
        <v>0.22929155386993369</v>
      </c>
      <c r="W772">
        <f t="shared" si="114"/>
        <v>-0.25435329828790432</v>
      </c>
      <c r="X772">
        <f t="shared" si="115"/>
        <v>0.10399668008577614</v>
      </c>
      <c r="Y772">
        <f t="shared" si="116"/>
        <v>0.36604748519325236</v>
      </c>
    </row>
    <row r="773" spans="1:25" x14ac:dyDescent="0.3">
      <c r="A773">
        <v>772</v>
      </c>
      <c r="B773" s="1">
        <v>40578</v>
      </c>
      <c r="C773">
        <v>1</v>
      </c>
      <c r="D773">
        <v>0</v>
      </c>
      <c r="E773">
        <v>2</v>
      </c>
      <c r="F773">
        <v>14</v>
      </c>
      <c r="G773" t="b">
        <v>0</v>
      </c>
      <c r="H773">
        <v>5</v>
      </c>
      <c r="I773">
        <v>2</v>
      </c>
      <c r="J773">
        <v>0.28000000000000003</v>
      </c>
      <c r="K773">
        <v>0.2727</v>
      </c>
      <c r="L773">
        <v>0.45</v>
      </c>
      <c r="M773">
        <v>0.16420000000000001</v>
      </c>
      <c r="N773">
        <v>15</v>
      </c>
      <c r="O773">
        <v>76</v>
      </c>
      <c r="P773">
        <v>91</v>
      </c>
      <c r="Q773" t="str">
        <f t="shared" si="108"/>
        <v>Weekday</v>
      </c>
      <c r="R773" t="str">
        <f t="shared" si="109"/>
        <v>Mist/Cloudy</v>
      </c>
      <c r="S773" t="str">
        <f t="shared" si="110"/>
        <v>Afternoon</v>
      </c>
      <c r="T773" t="str">
        <f t="shared" si="111"/>
        <v>February</v>
      </c>
      <c r="U773" t="str">
        <f t="shared" si="112"/>
        <v>Spring</v>
      </c>
      <c r="V773">
        <f t="shared" si="113"/>
        <v>0.22929155386993369</v>
      </c>
      <c r="W773">
        <f t="shared" si="114"/>
        <v>-0.25435329828790432</v>
      </c>
      <c r="X773">
        <f t="shared" si="115"/>
        <v>0.10399668008577614</v>
      </c>
      <c r="Y773">
        <f t="shared" si="116"/>
        <v>0.36604748519325236</v>
      </c>
    </row>
    <row r="774" spans="1:25" x14ac:dyDescent="0.3">
      <c r="A774">
        <v>773</v>
      </c>
      <c r="B774" s="1">
        <v>40578</v>
      </c>
      <c r="C774">
        <v>1</v>
      </c>
      <c r="D774">
        <v>0</v>
      </c>
      <c r="E774">
        <v>2</v>
      </c>
      <c r="F774">
        <v>15</v>
      </c>
      <c r="G774" t="b">
        <v>0</v>
      </c>
      <c r="H774">
        <v>5</v>
      </c>
      <c r="I774">
        <v>2</v>
      </c>
      <c r="J774">
        <v>0.28000000000000003</v>
      </c>
      <c r="K774">
        <v>0.2727</v>
      </c>
      <c r="L774">
        <v>0.48</v>
      </c>
      <c r="M774">
        <v>0.25369999999999998</v>
      </c>
      <c r="N774">
        <v>9</v>
      </c>
      <c r="O774">
        <v>81</v>
      </c>
      <c r="P774">
        <v>90</v>
      </c>
      <c r="Q774" t="str">
        <f t="shared" si="108"/>
        <v>Weekday</v>
      </c>
      <c r="R774" t="str">
        <f t="shared" si="109"/>
        <v>Mist/Cloudy</v>
      </c>
      <c r="S774" t="str">
        <f t="shared" si="110"/>
        <v>Afternoon</v>
      </c>
      <c r="T774" t="str">
        <f t="shared" si="111"/>
        <v>February</v>
      </c>
      <c r="U774" t="str">
        <f t="shared" si="112"/>
        <v>Spring</v>
      </c>
      <c r="V774">
        <f t="shared" si="113"/>
        <v>0.22929155386993369</v>
      </c>
      <c r="W774">
        <f t="shared" si="114"/>
        <v>-0.25435329828790432</v>
      </c>
      <c r="X774">
        <f t="shared" si="115"/>
        <v>0.10399668008577614</v>
      </c>
      <c r="Y774">
        <f t="shared" si="116"/>
        <v>0.36604748519325236</v>
      </c>
    </row>
    <row r="775" spans="1:25" x14ac:dyDescent="0.3">
      <c r="A775">
        <v>774</v>
      </c>
      <c r="B775" s="1">
        <v>40578</v>
      </c>
      <c r="C775">
        <v>1</v>
      </c>
      <c r="D775">
        <v>0</v>
      </c>
      <c r="E775">
        <v>2</v>
      </c>
      <c r="F775">
        <v>16</v>
      </c>
      <c r="G775" t="b">
        <v>0</v>
      </c>
      <c r="H775">
        <v>5</v>
      </c>
      <c r="I775">
        <v>2</v>
      </c>
      <c r="J775">
        <v>0.3</v>
      </c>
      <c r="K775">
        <v>0.28789999999999999</v>
      </c>
      <c r="L775">
        <v>0.42</v>
      </c>
      <c r="M775">
        <v>0.22389999999999999</v>
      </c>
      <c r="N775">
        <v>8</v>
      </c>
      <c r="O775">
        <v>91</v>
      </c>
      <c r="P775">
        <v>99</v>
      </c>
      <c r="Q775" t="str">
        <f t="shared" si="108"/>
        <v>Weekday</v>
      </c>
      <c r="R775" t="str">
        <f t="shared" si="109"/>
        <v>Mist/Cloudy</v>
      </c>
      <c r="S775" t="str">
        <f t="shared" si="110"/>
        <v>Afternoon</v>
      </c>
      <c r="T775" t="str">
        <f t="shared" si="111"/>
        <v>February</v>
      </c>
      <c r="U775" t="str">
        <f t="shared" si="112"/>
        <v>Spring</v>
      </c>
      <c r="V775">
        <f t="shared" si="113"/>
        <v>0.22929155386993369</v>
      </c>
      <c r="W775">
        <f t="shared" si="114"/>
        <v>-0.25435329828790432</v>
      </c>
      <c r="X775">
        <f t="shared" si="115"/>
        <v>0.10399668008577614</v>
      </c>
      <c r="Y775">
        <f t="shared" si="116"/>
        <v>0.36604748519325236</v>
      </c>
    </row>
    <row r="776" spans="1:25" x14ac:dyDescent="0.3">
      <c r="A776">
        <v>775</v>
      </c>
      <c r="B776" s="1">
        <v>40578</v>
      </c>
      <c r="C776">
        <v>1</v>
      </c>
      <c r="D776">
        <v>0</v>
      </c>
      <c r="E776">
        <v>2</v>
      </c>
      <c r="F776">
        <v>17</v>
      </c>
      <c r="G776" t="b">
        <v>0</v>
      </c>
      <c r="H776">
        <v>5</v>
      </c>
      <c r="I776">
        <v>2</v>
      </c>
      <c r="J776">
        <v>0.26</v>
      </c>
      <c r="K776">
        <v>0.2727</v>
      </c>
      <c r="L776">
        <v>0.56000000000000005</v>
      </c>
      <c r="M776">
        <v>0.1343</v>
      </c>
      <c r="N776">
        <v>10</v>
      </c>
      <c r="O776">
        <v>195</v>
      </c>
      <c r="P776">
        <v>205</v>
      </c>
      <c r="Q776" t="str">
        <f t="shared" si="108"/>
        <v>Weekday</v>
      </c>
      <c r="R776" t="str">
        <f t="shared" si="109"/>
        <v>Mist/Cloudy</v>
      </c>
      <c r="S776" t="str">
        <f t="shared" si="110"/>
        <v>Evening</v>
      </c>
      <c r="T776" t="str">
        <f t="shared" si="111"/>
        <v>February</v>
      </c>
      <c r="U776" t="str">
        <f t="shared" si="112"/>
        <v>Spring</v>
      </c>
      <c r="V776">
        <f t="shared" si="113"/>
        <v>0.22929155386993369</v>
      </c>
      <c r="W776">
        <f t="shared" si="114"/>
        <v>-0.25435329828790432</v>
      </c>
      <c r="X776">
        <f t="shared" si="115"/>
        <v>0.10399668008577614</v>
      </c>
      <c r="Y776">
        <f t="shared" si="116"/>
        <v>0.36604748519325236</v>
      </c>
    </row>
    <row r="777" spans="1:25" x14ac:dyDescent="0.3">
      <c r="A777">
        <v>776</v>
      </c>
      <c r="B777" s="1">
        <v>40578</v>
      </c>
      <c r="C777">
        <v>1</v>
      </c>
      <c r="D777">
        <v>0</v>
      </c>
      <c r="E777">
        <v>2</v>
      </c>
      <c r="F777">
        <v>18</v>
      </c>
      <c r="G777" t="b">
        <v>0</v>
      </c>
      <c r="H777">
        <v>5</v>
      </c>
      <c r="I777">
        <v>2</v>
      </c>
      <c r="J777">
        <v>0.24</v>
      </c>
      <c r="K777">
        <v>0.2576</v>
      </c>
      <c r="L777">
        <v>0.6</v>
      </c>
      <c r="M777">
        <v>0.1045</v>
      </c>
      <c r="N777">
        <v>3</v>
      </c>
      <c r="O777">
        <v>152</v>
      </c>
      <c r="P777">
        <v>155</v>
      </c>
      <c r="Q777" t="str">
        <f t="shared" si="108"/>
        <v>Weekday</v>
      </c>
      <c r="R777" t="str">
        <f t="shared" si="109"/>
        <v>Mist/Cloudy</v>
      </c>
      <c r="S777" t="str">
        <f t="shared" si="110"/>
        <v>Evening</v>
      </c>
      <c r="T777" t="str">
        <f t="shared" si="111"/>
        <v>February</v>
      </c>
      <c r="U777" t="str">
        <f t="shared" si="112"/>
        <v>Spring</v>
      </c>
      <c r="V777">
        <f t="shared" si="113"/>
        <v>0.22929155386993369</v>
      </c>
      <c r="W777">
        <f t="shared" si="114"/>
        <v>-0.25435329828790432</v>
      </c>
      <c r="X777">
        <f t="shared" si="115"/>
        <v>0.10399668008577614</v>
      </c>
      <c r="Y777">
        <f t="shared" si="116"/>
        <v>0.36604748519325236</v>
      </c>
    </row>
    <row r="778" spans="1:25" x14ac:dyDescent="0.3">
      <c r="A778">
        <v>777</v>
      </c>
      <c r="B778" s="1">
        <v>40578</v>
      </c>
      <c r="C778">
        <v>1</v>
      </c>
      <c r="D778">
        <v>0</v>
      </c>
      <c r="E778">
        <v>2</v>
      </c>
      <c r="F778">
        <v>19</v>
      </c>
      <c r="G778" t="b">
        <v>0</v>
      </c>
      <c r="H778">
        <v>5</v>
      </c>
      <c r="I778">
        <v>2</v>
      </c>
      <c r="J778">
        <v>0.24</v>
      </c>
      <c r="K778">
        <v>0.2424</v>
      </c>
      <c r="L778">
        <v>0.65</v>
      </c>
      <c r="M778">
        <v>0.1343</v>
      </c>
      <c r="N778">
        <v>1</v>
      </c>
      <c r="O778">
        <v>102</v>
      </c>
      <c r="P778">
        <v>103</v>
      </c>
      <c r="Q778" t="str">
        <f t="shared" si="108"/>
        <v>Weekday</v>
      </c>
      <c r="R778" t="str">
        <f t="shared" si="109"/>
        <v>Mist/Cloudy</v>
      </c>
      <c r="S778" t="str">
        <f t="shared" si="110"/>
        <v>Evening</v>
      </c>
      <c r="T778" t="str">
        <f t="shared" si="111"/>
        <v>February</v>
      </c>
      <c r="U778" t="str">
        <f t="shared" si="112"/>
        <v>Spring</v>
      </c>
      <c r="V778">
        <f t="shared" si="113"/>
        <v>0.22929155386993369</v>
      </c>
      <c r="W778">
        <f t="shared" si="114"/>
        <v>-0.25435329828790432</v>
      </c>
      <c r="X778">
        <f t="shared" si="115"/>
        <v>0.10399668008577614</v>
      </c>
      <c r="Y778">
        <f t="shared" si="116"/>
        <v>0.36604748519325236</v>
      </c>
    </row>
    <row r="779" spans="1:25" x14ac:dyDescent="0.3">
      <c r="A779">
        <v>778</v>
      </c>
      <c r="B779" s="1">
        <v>40578</v>
      </c>
      <c r="C779">
        <v>1</v>
      </c>
      <c r="D779">
        <v>0</v>
      </c>
      <c r="E779">
        <v>2</v>
      </c>
      <c r="F779">
        <v>20</v>
      </c>
      <c r="G779" t="b">
        <v>0</v>
      </c>
      <c r="H779">
        <v>5</v>
      </c>
      <c r="I779">
        <v>2</v>
      </c>
      <c r="J779">
        <v>0.24</v>
      </c>
      <c r="K779">
        <v>0.2424</v>
      </c>
      <c r="L779">
        <v>0.65</v>
      </c>
      <c r="M779">
        <v>0.16420000000000001</v>
      </c>
      <c r="N779">
        <v>2</v>
      </c>
      <c r="O779">
        <v>69</v>
      </c>
      <c r="P779">
        <v>71</v>
      </c>
      <c r="Q779" t="str">
        <f t="shared" si="108"/>
        <v>Weekday</v>
      </c>
      <c r="R779" t="str">
        <f t="shared" si="109"/>
        <v>Mist/Cloudy</v>
      </c>
      <c r="S779" t="str">
        <f t="shared" si="110"/>
        <v>Evening</v>
      </c>
      <c r="T779" t="str">
        <f t="shared" si="111"/>
        <v>February</v>
      </c>
      <c r="U779" t="str">
        <f t="shared" si="112"/>
        <v>Spring</v>
      </c>
      <c r="V779">
        <f t="shared" si="113"/>
        <v>0.22929155386993369</v>
      </c>
      <c r="W779">
        <f t="shared" si="114"/>
        <v>-0.25435329828790432</v>
      </c>
      <c r="X779">
        <f t="shared" si="115"/>
        <v>0.10399668008577614</v>
      </c>
      <c r="Y779">
        <f t="shared" si="116"/>
        <v>0.36604748519325236</v>
      </c>
    </row>
    <row r="780" spans="1:25" x14ac:dyDescent="0.3">
      <c r="A780">
        <v>779</v>
      </c>
      <c r="B780" s="1">
        <v>40578</v>
      </c>
      <c r="C780">
        <v>1</v>
      </c>
      <c r="D780">
        <v>0</v>
      </c>
      <c r="E780">
        <v>2</v>
      </c>
      <c r="F780">
        <v>21</v>
      </c>
      <c r="G780" t="b">
        <v>0</v>
      </c>
      <c r="H780">
        <v>5</v>
      </c>
      <c r="I780">
        <v>2</v>
      </c>
      <c r="J780">
        <v>0.24</v>
      </c>
      <c r="K780">
        <v>0.2424</v>
      </c>
      <c r="L780">
        <v>0.7</v>
      </c>
      <c r="M780">
        <v>0.16420000000000001</v>
      </c>
      <c r="N780">
        <v>2</v>
      </c>
      <c r="O780">
        <v>41</v>
      </c>
      <c r="P780">
        <v>43</v>
      </c>
      <c r="Q780" t="str">
        <f t="shared" si="108"/>
        <v>Weekday</v>
      </c>
      <c r="R780" t="str">
        <f t="shared" si="109"/>
        <v>Mist/Cloudy</v>
      </c>
      <c r="S780" t="str">
        <f t="shared" si="110"/>
        <v>Night</v>
      </c>
      <c r="T780" t="str">
        <f t="shared" si="111"/>
        <v>February</v>
      </c>
      <c r="U780" t="str">
        <f t="shared" si="112"/>
        <v>Spring</v>
      </c>
      <c r="V780">
        <f t="shared" si="113"/>
        <v>0.22929155386993369</v>
      </c>
      <c r="W780">
        <f t="shared" si="114"/>
        <v>-0.25435329828790432</v>
      </c>
      <c r="X780">
        <f t="shared" si="115"/>
        <v>0.10399668008577614</v>
      </c>
      <c r="Y780">
        <f t="shared" si="116"/>
        <v>0.36604748519325236</v>
      </c>
    </row>
    <row r="781" spans="1:25" x14ac:dyDescent="0.3">
      <c r="A781">
        <v>780</v>
      </c>
      <c r="B781" s="1">
        <v>40578</v>
      </c>
      <c r="C781">
        <v>1</v>
      </c>
      <c r="D781">
        <v>0</v>
      </c>
      <c r="E781">
        <v>2</v>
      </c>
      <c r="F781">
        <v>22</v>
      </c>
      <c r="G781" t="b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1</v>
      </c>
      <c r="O781">
        <v>45</v>
      </c>
      <c r="P781">
        <v>46</v>
      </c>
      <c r="Q781" t="str">
        <f t="shared" si="108"/>
        <v>Weekday</v>
      </c>
      <c r="R781" t="str">
        <f t="shared" si="109"/>
        <v>Mist/Cloudy</v>
      </c>
      <c r="S781" t="str">
        <f t="shared" si="110"/>
        <v>Night</v>
      </c>
      <c r="T781" t="str">
        <f t="shared" si="111"/>
        <v>February</v>
      </c>
      <c r="U781" t="str">
        <f t="shared" si="112"/>
        <v>Spring</v>
      </c>
      <c r="V781">
        <f t="shared" si="113"/>
        <v>0.22929155386993369</v>
      </c>
      <c r="W781">
        <f t="shared" si="114"/>
        <v>-0.25435329828790432</v>
      </c>
      <c r="X781">
        <f t="shared" si="115"/>
        <v>0.10399668008577614</v>
      </c>
      <c r="Y781">
        <f t="shared" si="116"/>
        <v>0.36604748519325236</v>
      </c>
    </row>
    <row r="782" spans="1:25" x14ac:dyDescent="0.3">
      <c r="A782">
        <v>781</v>
      </c>
      <c r="B782" s="1">
        <v>40578</v>
      </c>
      <c r="C782">
        <v>1</v>
      </c>
      <c r="D782">
        <v>0</v>
      </c>
      <c r="E782">
        <v>2</v>
      </c>
      <c r="F782">
        <v>23</v>
      </c>
      <c r="G782" t="b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0.1343</v>
      </c>
      <c r="N782">
        <v>1</v>
      </c>
      <c r="O782">
        <v>30</v>
      </c>
      <c r="P782">
        <v>31</v>
      </c>
      <c r="Q782" t="str">
        <f t="shared" si="108"/>
        <v>Weekday</v>
      </c>
      <c r="R782" t="str">
        <f t="shared" si="109"/>
        <v>Mist/Cloudy</v>
      </c>
      <c r="S782" t="str">
        <f t="shared" si="110"/>
        <v>Night</v>
      </c>
      <c r="T782" t="str">
        <f t="shared" si="111"/>
        <v>February</v>
      </c>
      <c r="U782" t="str">
        <f t="shared" si="112"/>
        <v>Spring</v>
      </c>
      <c r="V782">
        <f t="shared" si="113"/>
        <v>0.22929155386993369</v>
      </c>
      <c r="W782">
        <f t="shared" si="114"/>
        <v>-0.25435329828790432</v>
      </c>
      <c r="X782">
        <f t="shared" si="115"/>
        <v>0.10399668008577614</v>
      </c>
      <c r="Y782">
        <f t="shared" si="116"/>
        <v>0.36604748519325236</v>
      </c>
    </row>
    <row r="783" spans="1:25" x14ac:dyDescent="0.3">
      <c r="A783">
        <v>782</v>
      </c>
      <c r="B783" s="1">
        <v>40579</v>
      </c>
      <c r="C783">
        <v>1</v>
      </c>
      <c r="D783">
        <v>0</v>
      </c>
      <c r="E783">
        <v>2</v>
      </c>
      <c r="F783">
        <v>0</v>
      </c>
      <c r="G783" t="b">
        <v>0</v>
      </c>
      <c r="H783">
        <v>6</v>
      </c>
      <c r="I783">
        <v>2</v>
      </c>
      <c r="J783">
        <v>0.24</v>
      </c>
      <c r="K783">
        <v>0.2424</v>
      </c>
      <c r="L783">
        <v>0.7</v>
      </c>
      <c r="M783">
        <v>0.16420000000000001</v>
      </c>
      <c r="N783">
        <v>3</v>
      </c>
      <c r="O783">
        <v>36</v>
      </c>
      <c r="P783">
        <v>39</v>
      </c>
      <c r="Q783" t="str">
        <f t="shared" si="108"/>
        <v>Weekend</v>
      </c>
      <c r="R783" t="str">
        <f t="shared" si="109"/>
        <v>Mist/Cloudy</v>
      </c>
      <c r="S783" t="str">
        <f t="shared" si="110"/>
        <v>Night</v>
      </c>
      <c r="T783" t="str">
        <f t="shared" si="111"/>
        <v>February</v>
      </c>
      <c r="U783" t="str">
        <f t="shared" si="112"/>
        <v>Spring</v>
      </c>
      <c r="V783">
        <f t="shared" si="113"/>
        <v>0.22929155386993369</v>
      </c>
      <c r="W783">
        <f t="shared" si="114"/>
        <v>-0.25435329828790432</v>
      </c>
      <c r="X783">
        <f t="shared" si="115"/>
        <v>0.10399668008577614</v>
      </c>
      <c r="Y783">
        <f t="shared" si="116"/>
        <v>0.36604748519325236</v>
      </c>
    </row>
    <row r="784" spans="1:25" x14ac:dyDescent="0.3">
      <c r="A784">
        <v>783</v>
      </c>
      <c r="B784" s="1">
        <v>40579</v>
      </c>
      <c r="C784">
        <v>1</v>
      </c>
      <c r="D784">
        <v>0</v>
      </c>
      <c r="E784">
        <v>2</v>
      </c>
      <c r="F784">
        <v>1</v>
      </c>
      <c r="G784" t="b">
        <v>0</v>
      </c>
      <c r="H784">
        <v>6</v>
      </c>
      <c r="I784">
        <v>2</v>
      </c>
      <c r="J784">
        <v>0.24</v>
      </c>
      <c r="K784">
        <v>0.2424</v>
      </c>
      <c r="L784">
        <v>0.65</v>
      </c>
      <c r="M784">
        <v>0.16420000000000001</v>
      </c>
      <c r="N784">
        <v>1</v>
      </c>
      <c r="O784">
        <v>17</v>
      </c>
      <c r="P784">
        <v>18</v>
      </c>
      <c r="Q784" t="str">
        <f t="shared" si="108"/>
        <v>Weekend</v>
      </c>
      <c r="R784" t="str">
        <f t="shared" si="109"/>
        <v>Mist/Cloudy</v>
      </c>
      <c r="S784" t="str">
        <f t="shared" si="110"/>
        <v>Night</v>
      </c>
      <c r="T784" t="str">
        <f t="shared" si="111"/>
        <v>February</v>
      </c>
      <c r="U784" t="str">
        <f t="shared" si="112"/>
        <v>Spring</v>
      </c>
      <c r="V784">
        <f t="shared" si="113"/>
        <v>0.22929155386993369</v>
      </c>
      <c r="W784">
        <f t="shared" si="114"/>
        <v>-0.25435329828790432</v>
      </c>
      <c r="X784">
        <f t="shared" si="115"/>
        <v>0.10399668008577614</v>
      </c>
      <c r="Y784">
        <f t="shared" si="116"/>
        <v>0.36604748519325236</v>
      </c>
    </row>
    <row r="785" spans="1:25" x14ac:dyDescent="0.3">
      <c r="A785">
        <v>784</v>
      </c>
      <c r="B785" s="1">
        <v>40579</v>
      </c>
      <c r="C785">
        <v>1</v>
      </c>
      <c r="D785">
        <v>0</v>
      </c>
      <c r="E785">
        <v>2</v>
      </c>
      <c r="F785">
        <v>2</v>
      </c>
      <c r="G785" t="b">
        <v>0</v>
      </c>
      <c r="H785">
        <v>6</v>
      </c>
      <c r="I785">
        <v>2</v>
      </c>
      <c r="J785">
        <v>0.24</v>
      </c>
      <c r="K785">
        <v>0.2424</v>
      </c>
      <c r="L785">
        <v>0.75</v>
      </c>
      <c r="M785">
        <v>0.16420000000000001</v>
      </c>
      <c r="N785">
        <v>5</v>
      </c>
      <c r="O785">
        <v>12</v>
      </c>
      <c r="P785">
        <v>17</v>
      </c>
      <c r="Q785" t="str">
        <f t="shared" si="108"/>
        <v>Weekend</v>
      </c>
      <c r="R785" t="str">
        <f t="shared" si="109"/>
        <v>Mist/Cloudy</v>
      </c>
      <c r="S785" t="str">
        <f t="shared" si="110"/>
        <v>Night</v>
      </c>
      <c r="T785" t="str">
        <f t="shared" si="111"/>
        <v>February</v>
      </c>
      <c r="U785" t="str">
        <f t="shared" si="112"/>
        <v>Spring</v>
      </c>
      <c r="V785">
        <f t="shared" si="113"/>
        <v>0.22929155386993369</v>
      </c>
      <c r="W785">
        <f t="shared" si="114"/>
        <v>-0.25435329828790432</v>
      </c>
      <c r="X785">
        <f t="shared" si="115"/>
        <v>0.10399668008577614</v>
      </c>
      <c r="Y785">
        <f t="shared" si="116"/>
        <v>0.36604748519325236</v>
      </c>
    </row>
    <row r="786" spans="1:25" x14ac:dyDescent="0.3">
      <c r="A786">
        <v>785</v>
      </c>
      <c r="B786" s="1">
        <v>40579</v>
      </c>
      <c r="C786">
        <v>1</v>
      </c>
      <c r="D786">
        <v>0</v>
      </c>
      <c r="E786">
        <v>2</v>
      </c>
      <c r="F786">
        <v>3</v>
      </c>
      <c r="G786" t="b">
        <v>0</v>
      </c>
      <c r="H786">
        <v>6</v>
      </c>
      <c r="I786">
        <v>2</v>
      </c>
      <c r="J786">
        <v>0.24</v>
      </c>
      <c r="K786">
        <v>0.2424</v>
      </c>
      <c r="L786">
        <v>0.75</v>
      </c>
      <c r="M786">
        <v>0.16420000000000001</v>
      </c>
      <c r="N786">
        <v>1</v>
      </c>
      <c r="O786">
        <v>10</v>
      </c>
      <c r="P786">
        <v>11</v>
      </c>
      <c r="Q786" t="str">
        <f t="shared" si="108"/>
        <v>Weekend</v>
      </c>
      <c r="R786" t="str">
        <f t="shared" si="109"/>
        <v>Mist/Cloudy</v>
      </c>
      <c r="S786" t="str">
        <f t="shared" si="110"/>
        <v>Night</v>
      </c>
      <c r="T786" t="str">
        <f t="shared" si="111"/>
        <v>February</v>
      </c>
      <c r="U786" t="str">
        <f t="shared" si="112"/>
        <v>Spring</v>
      </c>
      <c r="V786">
        <f t="shared" si="113"/>
        <v>0.22929155386993369</v>
      </c>
      <c r="W786">
        <f t="shared" si="114"/>
        <v>-0.25435329828790432</v>
      </c>
      <c r="X786">
        <f t="shared" si="115"/>
        <v>0.10399668008577614</v>
      </c>
      <c r="Y786">
        <f t="shared" si="116"/>
        <v>0.36604748519325236</v>
      </c>
    </row>
    <row r="787" spans="1:25" x14ac:dyDescent="0.3">
      <c r="A787">
        <v>786</v>
      </c>
      <c r="B787" s="1">
        <v>40579</v>
      </c>
      <c r="C787">
        <v>1</v>
      </c>
      <c r="D787">
        <v>0</v>
      </c>
      <c r="E787">
        <v>2</v>
      </c>
      <c r="F787">
        <v>4</v>
      </c>
      <c r="G787" t="b">
        <v>0</v>
      </c>
      <c r="H787">
        <v>6</v>
      </c>
      <c r="I787">
        <v>3</v>
      </c>
      <c r="J787">
        <v>0.22</v>
      </c>
      <c r="K787">
        <v>0.2273</v>
      </c>
      <c r="L787">
        <v>0.93</v>
      </c>
      <c r="M787">
        <v>0.1343</v>
      </c>
      <c r="N787">
        <v>0</v>
      </c>
      <c r="O787">
        <v>8</v>
      </c>
      <c r="P787">
        <v>8</v>
      </c>
      <c r="Q787" t="str">
        <f t="shared" si="108"/>
        <v>Weekend</v>
      </c>
      <c r="R787" t="str">
        <f t="shared" si="109"/>
        <v>Light Rain/Snow</v>
      </c>
      <c r="S787" t="str">
        <f t="shared" si="110"/>
        <v>Night</v>
      </c>
      <c r="T787" t="str">
        <f t="shared" si="111"/>
        <v>February</v>
      </c>
      <c r="U787" t="str">
        <f t="shared" si="112"/>
        <v>Spring</v>
      </c>
      <c r="V787">
        <f t="shared" si="113"/>
        <v>0.22929155386993369</v>
      </c>
      <c r="W787">
        <f t="shared" si="114"/>
        <v>-0.25435329828790432</v>
      </c>
      <c r="X787">
        <f t="shared" si="115"/>
        <v>0.10399668008577614</v>
      </c>
      <c r="Y787">
        <f t="shared" si="116"/>
        <v>0.36604748519325236</v>
      </c>
    </row>
    <row r="788" spans="1:25" x14ac:dyDescent="0.3">
      <c r="A788">
        <v>787</v>
      </c>
      <c r="B788" s="1">
        <v>40579</v>
      </c>
      <c r="C788">
        <v>1</v>
      </c>
      <c r="D788">
        <v>0</v>
      </c>
      <c r="E788">
        <v>2</v>
      </c>
      <c r="F788">
        <v>5</v>
      </c>
      <c r="G788" t="b">
        <v>0</v>
      </c>
      <c r="H788">
        <v>6</v>
      </c>
      <c r="I788">
        <v>3</v>
      </c>
      <c r="J788">
        <v>0.2</v>
      </c>
      <c r="K788">
        <v>0.2273</v>
      </c>
      <c r="L788">
        <v>1</v>
      </c>
      <c r="M788">
        <v>8.9599999999999999E-2</v>
      </c>
      <c r="N788">
        <v>0</v>
      </c>
      <c r="O788">
        <v>9</v>
      </c>
      <c r="P788">
        <v>9</v>
      </c>
      <c r="Q788" t="str">
        <f t="shared" si="108"/>
        <v>Weekend</v>
      </c>
      <c r="R788" t="str">
        <f t="shared" si="109"/>
        <v>Light Rain/Snow</v>
      </c>
      <c r="S788" t="str">
        <f t="shared" si="110"/>
        <v>Night</v>
      </c>
      <c r="T788" t="str">
        <f t="shared" si="111"/>
        <v>February</v>
      </c>
      <c r="U788" t="str">
        <f t="shared" si="112"/>
        <v>Spring</v>
      </c>
      <c r="V788">
        <f t="shared" si="113"/>
        <v>0.22929155386993369</v>
      </c>
      <c r="W788">
        <f t="shared" si="114"/>
        <v>-0.25435329828790432</v>
      </c>
      <c r="X788">
        <f t="shared" si="115"/>
        <v>0.10399668008577614</v>
      </c>
      <c r="Y788">
        <f t="shared" si="116"/>
        <v>0.36604748519325236</v>
      </c>
    </row>
    <row r="789" spans="1:25" x14ac:dyDescent="0.3">
      <c r="A789">
        <v>788</v>
      </c>
      <c r="B789" s="1">
        <v>40579</v>
      </c>
      <c r="C789">
        <v>1</v>
      </c>
      <c r="D789">
        <v>0</v>
      </c>
      <c r="E789">
        <v>2</v>
      </c>
      <c r="F789">
        <v>6</v>
      </c>
      <c r="G789" t="b">
        <v>0</v>
      </c>
      <c r="H789">
        <v>6</v>
      </c>
      <c r="I789">
        <v>3</v>
      </c>
      <c r="J789">
        <v>0.2</v>
      </c>
      <c r="K789">
        <v>0.2576</v>
      </c>
      <c r="L789">
        <v>1</v>
      </c>
      <c r="M789">
        <v>0</v>
      </c>
      <c r="N789">
        <v>0</v>
      </c>
      <c r="O789">
        <v>4</v>
      </c>
      <c r="P789">
        <v>4</v>
      </c>
      <c r="Q789" t="str">
        <f t="shared" si="108"/>
        <v>Weekend</v>
      </c>
      <c r="R789" t="str">
        <f t="shared" si="109"/>
        <v>Light Rain/Snow</v>
      </c>
      <c r="S789" t="str">
        <f t="shared" si="110"/>
        <v>Morning</v>
      </c>
      <c r="T789" t="str">
        <f t="shared" si="111"/>
        <v>February</v>
      </c>
      <c r="U789" t="str">
        <f t="shared" si="112"/>
        <v>Spring</v>
      </c>
      <c r="V789">
        <f t="shared" si="113"/>
        <v>0.22929155386993369</v>
      </c>
      <c r="W789">
        <f t="shared" si="114"/>
        <v>-0.25435329828790432</v>
      </c>
      <c r="X789">
        <f t="shared" si="115"/>
        <v>0.10399668008577614</v>
      </c>
      <c r="Y789">
        <f t="shared" si="116"/>
        <v>0.36604748519325236</v>
      </c>
    </row>
    <row r="790" spans="1:25" x14ac:dyDescent="0.3">
      <c r="A790">
        <v>789</v>
      </c>
      <c r="B790" s="1">
        <v>40579</v>
      </c>
      <c r="C790">
        <v>1</v>
      </c>
      <c r="D790">
        <v>0</v>
      </c>
      <c r="E790">
        <v>2</v>
      </c>
      <c r="F790">
        <v>7</v>
      </c>
      <c r="G790" t="b">
        <v>0</v>
      </c>
      <c r="H790">
        <v>6</v>
      </c>
      <c r="I790">
        <v>3</v>
      </c>
      <c r="J790">
        <v>0.22</v>
      </c>
      <c r="K790">
        <v>0.2576</v>
      </c>
      <c r="L790">
        <v>0.93</v>
      </c>
      <c r="M790">
        <v>8.9599999999999999E-2</v>
      </c>
      <c r="N790">
        <v>0</v>
      </c>
      <c r="O790">
        <v>4</v>
      </c>
      <c r="P790">
        <v>4</v>
      </c>
      <c r="Q790" t="str">
        <f t="shared" si="108"/>
        <v>Weekend</v>
      </c>
      <c r="R790" t="str">
        <f t="shared" si="109"/>
        <v>Light Rain/Snow</v>
      </c>
      <c r="S790" t="str">
        <f t="shared" si="110"/>
        <v>Morning</v>
      </c>
      <c r="T790" t="str">
        <f t="shared" si="111"/>
        <v>February</v>
      </c>
      <c r="U790" t="str">
        <f t="shared" si="112"/>
        <v>Spring</v>
      </c>
      <c r="V790">
        <f t="shared" si="113"/>
        <v>0.22929155386993369</v>
      </c>
      <c r="W790">
        <f t="shared" si="114"/>
        <v>-0.25435329828790432</v>
      </c>
      <c r="X790">
        <f t="shared" si="115"/>
        <v>0.10399668008577614</v>
      </c>
      <c r="Y790">
        <f t="shared" si="116"/>
        <v>0.36604748519325236</v>
      </c>
    </row>
    <row r="791" spans="1:25" x14ac:dyDescent="0.3">
      <c r="A791">
        <v>790</v>
      </c>
      <c r="B791" s="1">
        <v>40579</v>
      </c>
      <c r="C791">
        <v>1</v>
      </c>
      <c r="D791">
        <v>0</v>
      </c>
      <c r="E791">
        <v>2</v>
      </c>
      <c r="F791">
        <v>8</v>
      </c>
      <c r="G791" t="b">
        <v>0</v>
      </c>
      <c r="H791">
        <v>6</v>
      </c>
      <c r="I791">
        <v>3</v>
      </c>
      <c r="J791">
        <v>0.2</v>
      </c>
      <c r="K791">
        <v>0.2273</v>
      </c>
      <c r="L791">
        <v>1</v>
      </c>
      <c r="M791">
        <v>8.9599999999999999E-2</v>
      </c>
      <c r="N791">
        <v>0</v>
      </c>
      <c r="O791">
        <v>10</v>
      </c>
      <c r="P791">
        <v>10</v>
      </c>
      <c r="Q791" t="str">
        <f t="shared" si="108"/>
        <v>Weekend</v>
      </c>
      <c r="R791" t="str">
        <f t="shared" si="109"/>
        <v>Light Rain/Snow</v>
      </c>
      <c r="S791" t="str">
        <f t="shared" si="110"/>
        <v>Morning</v>
      </c>
      <c r="T791" t="str">
        <f t="shared" si="111"/>
        <v>February</v>
      </c>
      <c r="U791" t="str">
        <f t="shared" si="112"/>
        <v>Spring</v>
      </c>
      <c r="V791">
        <f t="shared" si="113"/>
        <v>0.22929155386993369</v>
      </c>
      <c r="W791">
        <f t="shared" si="114"/>
        <v>-0.25435329828790432</v>
      </c>
      <c r="X791">
        <f t="shared" si="115"/>
        <v>0.10399668008577614</v>
      </c>
      <c r="Y791">
        <f t="shared" si="116"/>
        <v>0.36604748519325236</v>
      </c>
    </row>
    <row r="792" spans="1:25" x14ac:dyDescent="0.3">
      <c r="A792">
        <v>791</v>
      </c>
      <c r="B792" s="1">
        <v>40579</v>
      </c>
      <c r="C792">
        <v>1</v>
      </c>
      <c r="D792">
        <v>0</v>
      </c>
      <c r="E792">
        <v>2</v>
      </c>
      <c r="F792">
        <v>9</v>
      </c>
      <c r="G792" t="b">
        <v>0</v>
      </c>
      <c r="H792">
        <v>6</v>
      </c>
      <c r="I792">
        <v>3</v>
      </c>
      <c r="J792">
        <v>0.2</v>
      </c>
      <c r="K792">
        <v>0.2273</v>
      </c>
      <c r="L792">
        <v>1</v>
      </c>
      <c r="M792">
        <v>8.9599999999999999E-2</v>
      </c>
      <c r="N792">
        <v>3</v>
      </c>
      <c r="O792">
        <v>17</v>
      </c>
      <c r="P792">
        <v>20</v>
      </c>
      <c r="Q792" t="str">
        <f t="shared" si="108"/>
        <v>Weekend</v>
      </c>
      <c r="R792" t="str">
        <f t="shared" si="109"/>
        <v>Light Rain/Snow</v>
      </c>
      <c r="S792" t="str">
        <f t="shared" si="110"/>
        <v>Morning</v>
      </c>
      <c r="T792" t="str">
        <f t="shared" si="111"/>
        <v>February</v>
      </c>
      <c r="U792" t="str">
        <f t="shared" si="112"/>
        <v>Spring</v>
      </c>
      <c r="V792">
        <f t="shared" si="113"/>
        <v>0.22929155386993369</v>
      </c>
      <c r="W792">
        <f t="shared" si="114"/>
        <v>-0.25435329828790432</v>
      </c>
      <c r="X792">
        <f t="shared" si="115"/>
        <v>0.10399668008577614</v>
      </c>
      <c r="Y792">
        <f t="shared" si="116"/>
        <v>0.36604748519325236</v>
      </c>
    </row>
    <row r="793" spans="1:25" x14ac:dyDescent="0.3">
      <c r="A793">
        <v>792</v>
      </c>
      <c r="B793" s="1">
        <v>40579</v>
      </c>
      <c r="C793">
        <v>1</v>
      </c>
      <c r="D793">
        <v>0</v>
      </c>
      <c r="E793">
        <v>2</v>
      </c>
      <c r="F793">
        <v>10</v>
      </c>
      <c r="G793" t="b">
        <v>0</v>
      </c>
      <c r="H793">
        <v>6</v>
      </c>
      <c r="I793">
        <v>3</v>
      </c>
      <c r="J793">
        <v>0.2</v>
      </c>
      <c r="K793">
        <v>0.21210000000000001</v>
      </c>
      <c r="L793">
        <v>1</v>
      </c>
      <c r="M793">
        <v>0.1343</v>
      </c>
      <c r="N793">
        <v>3</v>
      </c>
      <c r="O793">
        <v>31</v>
      </c>
      <c r="P793">
        <v>34</v>
      </c>
      <c r="Q793" t="str">
        <f t="shared" si="108"/>
        <v>Weekend</v>
      </c>
      <c r="R793" t="str">
        <f t="shared" si="109"/>
        <v>Light Rain/Snow</v>
      </c>
      <c r="S793" t="str">
        <f t="shared" si="110"/>
        <v>Morning</v>
      </c>
      <c r="T793" t="str">
        <f t="shared" si="111"/>
        <v>February</v>
      </c>
      <c r="U793" t="str">
        <f t="shared" si="112"/>
        <v>Spring</v>
      </c>
      <c r="V793">
        <f t="shared" si="113"/>
        <v>0.22929155386993369</v>
      </c>
      <c r="W793">
        <f t="shared" si="114"/>
        <v>-0.25435329828790432</v>
      </c>
      <c r="X793">
        <f t="shared" si="115"/>
        <v>0.10399668008577614</v>
      </c>
      <c r="Y793">
        <f t="shared" si="116"/>
        <v>0.36604748519325236</v>
      </c>
    </row>
    <row r="794" spans="1:25" x14ac:dyDescent="0.3">
      <c r="A794">
        <v>793</v>
      </c>
      <c r="B794" s="1">
        <v>40579</v>
      </c>
      <c r="C794">
        <v>1</v>
      </c>
      <c r="D794">
        <v>0</v>
      </c>
      <c r="E794">
        <v>2</v>
      </c>
      <c r="F794">
        <v>11</v>
      </c>
      <c r="G794" t="b">
        <v>0</v>
      </c>
      <c r="H794">
        <v>6</v>
      </c>
      <c r="I794">
        <v>3</v>
      </c>
      <c r="J794">
        <v>0.22</v>
      </c>
      <c r="K794">
        <v>0.2273</v>
      </c>
      <c r="L794">
        <v>1</v>
      </c>
      <c r="M794">
        <v>0.1343</v>
      </c>
      <c r="N794">
        <v>1</v>
      </c>
      <c r="O794">
        <v>46</v>
      </c>
      <c r="P794">
        <v>47</v>
      </c>
      <c r="Q794" t="str">
        <f t="shared" si="108"/>
        <v>Weekend</v>
      </c>
      <c r="R794" t="str">
        <f t="shared" si="109"/>
        <v>Light Rain/Snow</v>
      </c>
      <c r="S794" t="str">
        <f t="shared" si="110"/>
        <v>Morning</v>
      </c>
      <c r="T794" t="str">
        <f t="shared" si="111"/>
        <v>February</v>
      </c>
      <c r="U794" t="str">
        <f t="shared" si="112"/>
        <v>Spring</v>
      </c>
      <c r="V794">
        <f t="shared" si="113"/>
        <v>0.22929155386993369</v>
      </c>
      <c r="W794">
        <f t="shared" si="114"/>
        <v>-0.25435329828790432</v>
      </c>
      <c r="X794">
        <f t="shared" si="115"/>
        <v>0.10399668008577614</v>
      </c>
      <c r="Y794">
        <f t="shared" si="116"/>
        <v>0.36604748519325236</v>
      </c>
    </row>
    <row r="795" spans="1:25" x14ac:dyDescent="0.3">
      <c r="A795">
        <v>794</v>
      </c>
      <c r="B795" s="1">
        <v>40579</v>
      </c>
      <c r="C795">
        <v>1</v>
      </c>
      <c r="D795">
        <v>0</v>
      </c>
      <c r="E795">
        <v>2</v>
      </c>
      <c r="F795">
        <v>12</v>
      </c>
      <c r="G795" t="b">
        <v>0</v>
      </c>
      <c r="H795">
        <v>6</v>
      </c>
      <c r="I795">
        <v>3</v>
      </c>
      <c r="J795">
        <v>0.22</v>
      </c>
      <c r="K795">
        <v>0.2273</v>
      </c>
      <c r="L795">
        <v>1</v>
      </c>
      <c r="M795">
        <v>0.16420000000000001</v>
      </c>
      <c r="N795">
        <v>10</v>
      </c>
      <c r="O795">
        <v>42</v>
      </c>
      <c r="P795">
        <v>52</v>
      </c>
      <c r="Q795" t="str">
        <f t="shared" si="108"/>
        <v>Weekend</v>
      </c>
      <c r="R795" t="str">
        <f t="shared" si="109"/>
        <v>Light Rain/Snow</v>
      </c>
      <c r="S795" t="str">
        <f t="shared" si="110"/>
        <v>Afternoon</v>
      </c>
      <c r="T795" t="str">
        <f t="shared" si="111"/>
        <v>February</v>
      </c>
      <c r="U795" t="str">
        <f t="shared" si="112"/>
        <v>Spring</v>
      </c>
      <c r="V795">
        <f t="shared" si="113"/>
        <v>0.22929155386993369</v>
      </c>
      <c r="W795">
        <f t="shared" si="114"/>
        <v>-0.25435329828790432</v>
      </c>
      <c r="X795">
        <f t="shared" si="115"/>
        <v>0.10399668008577614</v>
      </c>
      <c r="Y795">
        <f t="shared" si="116"/>
        <v>0.36604748519325236</v>
      </c>
    </row>
    <row r="796" spans="1:25" x14ac:dyDescent="0.3">
      <c r="A796">
        <v>795</v>
      </c>
      <c r="B796" s="1">
        <v>40579</v>
      </c>
      <c r="C796">
        <v>1</v>
      </c>
      <c r="D796">
        <v>0</v>
      </c>
      <c r="E796">
        <v>2</v>
      </c>
      <c r="F796">
        <v>13</v>
      </c>
      <c r="G796" t="b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0.16420000000000001</v>
      </c>
      <c r="N796">
        <v>10</v>
      </c>
      <c r="O796">
        <v>62</v>
      </c>
      <c r="P796">
        <v>72</v>
      </c>
      <c r="Q796" t="str">
        <f t="shared" si="108"/>
        <v>Weekend</v>
      </c>
      <c r="R796" t="str">
        <f t="shared" si="109"/>
        <v>Light Rain/Snow</v>
      </c>
      <c r="S796" t="str">
        <f t="shared" si="110"/>
        <v>Afternoon</v>
      </c>
      <c r="T796" t="str">
        <f t="shared" si="111"/>
        <v>February</v>
      </c>
      <c r="U796" t="str">
        <f t="shared" si="112"/>
        <v>Spring</v>
      </c>
      <c r="V796">
        <f t="shared" si="113"/>
        <v>0.22929155386993369</v>
      </c>
      <c r="W796">
        <f t="shared" si="114"/>
        <v>-0.25435329828790432</v>
      </c>
      <c r="X796">
        <f t="shared" si="115"/>
        <v>0.10399668008577614</v>
      </c>
      <c r="Y796">
        <f t="shared" si="116"/>
        <v>0.36604748519325236</v>
      </c>
    </row>
    <row r="797" spans="1:25" x14ac:dyDescent="0.3">
      <c r="A797">
        <v>796</v>
      </c>
      <c r="B797" s="1">
        <v>40579</v>
      </c>
      <c r="C797">
        <v>1</v>
      </c>
      <c r="D797">
        <v>0</v>
      </c>
      <c r="E797">
        <v>2</v>
      </c>
      <c r="F797">
        <v>14</v>
      </c>
      <c r="G797" t="b">
        <v>0</v>
      </c>
      <c r="H797">
        <v>6</v>
      </c>
      <c r="I797">
        <v>3</v>
      </c>
      <c r="J797">
        <v>0.22</v>
      </c>
      <c r="K797">
        <v>0.2727</v>
      </c>
      <c r="L797">
        <v>1</v>
      </c>
      <c r="M797">
        <v>0</v>
      </c>
      <c r="N797">
        <v>5</v>
      </c>
      <c r="O797">
        <v>50</v>
      </c>
      <c r="P797">
        <v>55</v>
      </c>
      <c r="Q797" t="str">
        <f t="shared" si="108"/>
        <v>Weekend</v>
      </c>
      <c r="R797" t="str">
        <f t="shared" si="109"/>
        <v>Light Rain/Snow</v>
      </c>
      <c r="S797" t="str">
        <f t="shared" si="110"/>
        <v>Afternoon</v>
      </c>
      <c r="T797" t="str">
        <f t="shared" si="111"/>
        <v>February</v>
      </c>
      <c r="U797" t="str">
        <f t="shared" si="112"/>
        <v>Spring</v>
      </c>
      <c r="V797">
        <f t="shared" si="113"/>
        <v>0.22929155386993369</v>
      </c>
      <c r="W797">
        <f t="shared" si="114"/>
        <v>-0.25435329828790432</v>
      </c>
      <c r="X797">
        <f t="shared" si="115"/>
        <v>0.10399668008577614</v>
      </c>
      <c r="Y797">
        <f t="shared" si="116"/>
        <v>0.36604748519325236</v>
      </c>
    </row>
    <row r="798" spans="1:25" x14ac:dyDescent="0.3">
      <c r="A798">
        <v>797</v>
      </c>
      <c r="B798" s="1">
        <v>40579</v>
      </c>
      <c r="C798">
        <v>1</v>
      </c>
      <c r="D798">
        <v>0</v>
      </c>
      <c r="E798">
        <v>2</v>
      </c>
      <c r="F798">
        <v>15</v>
      </c>
      <c r="G798" t="b">
        <v>0</v>
      </c>
      <c r="H798">
        <v>6</v>
      </c>
      <c r="I798">
        <v>3</v>
      </c>
      <c r="J798">
        <v>0.22</v>
      </c>
      <c r="K798">
        <v>0.2727</v>
      </c>
      <c r="L798">
        <v>1</v>
      </c>
      <c r="M798">
        <v>0</v>
      </c>
      <c r="N798">
        <v>11</v>
      </c>
      <c r="O798">
        <v>49</v>
      </c>
      <c r="P798">
        <v>60</v>
      </c>
      <c r="Q798" t="str">
        <f t="shared" si="108"/>
        <v>Weekend</v>
      </c>
      <c r="R798" t="str">
        <f t="shared" si="109"/>
        <v>Light Rain/Snow</v>
      </c>
      <c r="S798" t="str">
        <f t="shared" si="110"/>
        <v>Afternoon</v>
      </c>
      <c r="T798" t="str">
        <f t="shared" si="111"/>
        <v>February</v>
      </c>
      <c r="U798" t="str">
        <f t="shared" si="112"/>
        <v>Spring</v>
      </c>
      <c r="V798">
        <f t="shared" si="113"/>
        <v>0.22929155386993369</v>
      </c>
      <c r="W798">
        <f t="shared" si="114"/>
        <v>-0.25435329828790432</v>
      </c>
      <c r="X798">
        <f t="shared" si="115"/>
        <v>0.10399668008577614</v>
      </c>
      <c r="Y798">
        <f t="shared" si="116"/>
        <v>0.36604748519325236</v>
      </c>
    </row>
    <row r="799" spans="1:25" x14ac:dyDescent="0.3">
      <c r="A799">
        <v>798</v>
      </c>
      <c r="B799" s="1">
        <v>40579</v>
      </c>
      <c r="C799">
        <v>1</v>
      </c>
      <c r="D799">
        <v>0</v>
      </c>
      <c r="E799">
        <v>2</v>
      </c>
      <c r="F799">
        <v>16</v>
      </c>
      <c r="G799" t="b">
        <v>0</v>
      </c>
      <c r="H799">
        <v>6</v>
      </c>
      <c r="I799">
        <v>3</v>
      </c>
      <c r="J799">
        <v>0.22</v>
      </c>
      <c r="K799">
        <v>0.2273</v>
      </c>
      <c r="L799">
        <v>1</v>
      </c>
      <c r="M799">
        <v>0.1343</v>
      </c>
      <c r="N799">
        <v>8</v>
      </c>
      <c r="O799">
        <v>63</v>
      </c>
      <c r="P799">
        <v>71</v>
      </c>
      <c r="Q799" t="str">
        <f t="shared" si="108"/>
        <v>Weekend</v>
      </c>
      <c r="R799" t="str">
        <f t="shared" si="109"/>
        <v>Light Rain/Snow</v>
      </c>
      <c r="S799" t="str">
        <f t="shared" si="110"/>
        <v>Afternoon</v>
      </c>
      <c r="T799" t="str">
        <f t="shared" si="111"/>
        <v>February</v>
      </c>
      <c r="U799" t="str">
        <f t="shared" si="112"/>
        <v>Spring</v>
      </c>
      <c r="V799">
        <f t="shared" si="113"/>
        <v>0.22929155386993369</v>
      </c>
      <c r="W799">
        <f t="shared" si="114"/>
        <v>-0.25435329828790432</v>
      </c>
      <c r="X799">
        <f t="shared" si="115"/>
        <v>0.10399668008577614</v>
      </c>
      <c r="Y799">
        <f t="shared" si="116"/>
        <v>0.36604748519325236</v>
      </c>
    </row>
    <row r="800" spans="1:25" x14ac:dyDescent="0.3">
      <c r="A800">
        <v>799</v>
      </c>
      <c r="B800" s="1">
        <v>40579</v>
      </c>
      <c r="C800">
        <v>1</v>
      </c>
      <c r="D800">
        <v>0</v>
      </c>
      <c r="E800">
        <v>2</v>
      </c>
      <c r="F800">
        <v>17</v>
      </c>
      <c r="G800" t="b">
        <v>0</v>
      </c>
      <c r="H800">
        <v>6</v>
      </c>
      <c r="I800">
        <v>2</v>
      </c>
      <c r="J800">
        <v>0.24</v>
      </c>
      <c r="K800">
        <v>0.21210000000000001</v>
      </c>
      <c r="L800">
        <v>1</v>
      </c>
      <c r="M800">
        <v>0.28360000000000002</v>
      </c>
      <c r="N800">
        <v>14</v>
      </c>
      <c r="O800">
        <v>64</v>
      </c>
      <c r="P800">
        <v>78</v>
      </c>
      <c r="Q800" t="str">
        <f t="shared" si="108"/>
        <v>Weekend</v>
      </c>
      <c r="R800" t="str">
        <f t="shared" si="109"/>
        <v>Mist/Cloudy</v>
      </c>
      <c r="S800" t="str">
        <f t="shared" si="110"/>
        <v>Evening</v>
      </c>
      <c r="T800" t="str">
        <f t="shared" si="111"/>
        <v>February</v>
      </c>
      <c r="U800" t="str">
        <f t="shared" si="112"/>
        <v>Spring</v>
      </c>
      <c r="V800">
        <f t="shared" si="113"/>
        <v>0.22929155386993369</v>
      </c>
      <c r="W800">
        <f t="shared" si="114"/>
        <v>-0.25435329828790432</v>
      </c>
      <c r="X800">
        <f t="shared" si="115"/>
        <v>0.10399668008577614</v>
      </c>
      <c r="Y800">
        <f t="shared" si="116"/>
        <v>0.36604748519325236</v>
      </c>
    </row>
    <row r="801" spans="1:25" x14ac:dyDescent="0.3">
      <c r="A801">
        <v>800</v>
      </c>
      <c r="B801" s="1">
        <v>40579</v>
      </c>
      <c r="C801">
        <v>1</v>
      </c>
      <c r="D801">
        <v>0</v>
      </c>
      <c r="E801">
        <v>2</v>
      </c>
      <c r="F801">
        <v>18</v>
      </c>
      <c r="G801" t="b">
        <v>0</v>
      </c>
      <c r="H801">
        <v>6</v>
      </c>
      <c r="I801">
        <v>2</v>
      </c>
      <c r="J801">
        <v>0.28000000000000003</v>
      </c>
      <c r="K801">
        <v>0.2424</v>
      </c>
      <c r="L801">
        <v>0.93</v>
      </c>
      <c r="M801">
        <v>0.44779999999999998</v>
      </c>
      <c r="N801">
        <v>2</v>
      </c>
      <c r="O801">
        <v>81</v>
      </c>
      <c r="P801">
        <v>83</v>
      </c>
      <c r="Q801" t="str">
        <f t="shared" si="108"/>
        <v>Weekend</v>
      </c>
      <c r="R801" t="str">
        <f t="shared" si="109"/>
        <v>Mist/Cloudy</v>
      </c>
      <c r="S801" t="str">
        <f t="shared" si="110"/>
        <v>Evening</v>
      </c>
      <c r="T801" t="str">
        <f t="shared" si="111"/>
        <v>February</v>
      </c>
      <c r="U801" t="str">
        <f t="shared" si="112"/>
        <v>Spring</v>
      </c>
      <c r="V801">
        <f t="shared" si="113"/>
        <v>0.22929155386993369</v>
      </c>
      <c r="W801">
        <f t="shared" si="114"/>
        <v>-0.25435329828790432</v>
      </c>
      <c r="X801">
        <f t="shared" si="115"/>
        <v>0.10399668008577614</v>
      </c>
      <c r="Y801">
        <f t="shared" si="116"/>
        <v>0.36604748519325236</v>
      </c>
    </row>
    <row r="802" spans="1:25" x14ac:dyDescent="0.3">
      <c r="A802">
        <v>801</v>
      </c>
      <c r="B802" s="1">
        <v>40579</v>
      </c>
      <c r="C802">
        <v>1</v>
      </c>
      <c r="D802">
        <v>0</v>
      </c>
      <c r="E802">
        <v>2</v>
      </c>
      <c r="F802">
        <v>19</v>
      </c>
      <c r="G802" t="b">
        <v>0</v>
      </c>
      <c r="H802">
        <v>6</v>
      </c>
      <c r="I802">
        <v>2</v>
      </c>
      <c r="J802">
        <v>0.28000000000000003</v>
      </c>
      <c r="K802">
        <v>0.2424</v>
      </c>
      <c r="L802">
        <v>0.93</v>
      </c>
      <c r="M802">
        <v>0.44779999999999998</v>
      </c>
      <c r="N802">
        <v>6</v>
      </c>
      <c r="O802">
        <v>78</v>
      </c>
      <c r="P802">
        <v>84</v>
      </c>
      <c r="Q802" t="str">
        <f t="shared" si="108"/>
        <v>Weekend</v>
      </c>
      <c r="R802" t="str">
        <f t="shared" si="109"/>
        <v>Mist/Cloudy</v>
      </c>
      <c r="S802" t="str">
        <f t="shared" si="110"/>
        <v>Evening</v>
      </c>
      <c r="T802" t="str">
        <f t="shared" si="111"/>
        <v>February</v>
      </c>
      <c r="U802" t="str">
        <f t="shared" si="112"/>
        <v>Spring</v>
      </c>
      <c r="V802">
        <f t="shared" si="113"/>
        <v>0.22929155386993369</v>
      </c>
      <c r="W802">
        <f t="shared" si="114"/>
        <v>-0.25435329828790432</v>
      </c>
      <c r="X802">
        <f t="shared" si="115"/>
        <v>0.10399668008577614</v>
      </c>
      <c r="Y802">
        <f t="shared" si="116"/>
        <v>0.36604748519325236</v>
      </c>
    </row>
    <row r="803" spans="1:25" x14ac:dyDescent="0.3">
      <c r="A803">
        <v>802</v>
      </c>
      <c r="B803" s="1">
        <v>40579</v>
      </c>
      <c r="C803">
        <v>1</v>
      </c>
      <c r="D803">
        <v>0</v>
      </c>
      <c r="E803">
        <v>2</v>
      </c>
      <c r="F803">
        <v>20</v>
      </c>
      <c r="G803" t="b">
        <v>0</v>
      </c>
      <c r="H803">
        <v>6</v>
      </c>
      <c r="I803">
        <v>1</v>
      </c>
      <c r="J803">
        <v>0.3</v>
      </c>
      <c r="K803">
        <v>0.28789999999999999</v>
      </c>
      <c r="L803">
        <v>0.87</v>
      </c>
      <c r="M803">
        <v>0.25369999999999998</v>
      </c>
      <c r="N803">
        <v>5</v>
      </c>
      <c r="O803">
        <v>64</v>
      </c>
      <c r="P803">
        <v>69</v>
      </c>
      <c r="Q803" t="str">
        <f t="shared" si="108"/>
        <v>Weekend</v>
      </c>
      <c r="R803" t="str">
        <f t="shared" si="109"/>
        <v>Clear</v>
      </c>
      <c r="S803" t="str">
        <f t="shared" si="110"/>
        <v>Evening</v>
      </c>
      <c r="T803" t="str">
        <f t="shared" si="111"/>
        <v>February</v>
      </c>
      <c r="U803" t="str">
        <f t="shared" si="112"/>
        <v>Spring</v>
      </c>
      <c r="V803">
        <f t="shared" si="113"/>
        <v>0.22929155386993369</v>
      </c>
      <c r="W803">
        <f t="shared" si="114"/>
        <v>-0.25435329828790432</v>
      </c>
      <c r="X803">
        <f t="shared" si="115"/>
        <v>0.10399668008577614</v>
      </c>
      <c r="Y803">
        <f t="shared" si="116"/>
        <v>0.36604748519325236</v>
      </c>
    </row>
    <row r="804" spans="1:25" x14ac:dyDescent="0.3">
      <c r="A804">
        <v>803</v>
      </c>
      <c r="B804" s="1">
        <v>40579</v>
      </c>
      <c r="C804">
        <v>1</v>
      </c>
      <c r="D804">
        <v>0</v>
      </c>
      <c r="E804">
        <v>2</v>
      </c>
      <c r="F804">
        <v>21</v>
      </c>
      <c r="G804" t="b">
        <v>0</v>
      </c>
      <c r="H804">
        <v>6</v>
      </c>
      <c r="I804">
        <v>1</v>
      </c>
      <c r="J804">
        <v>0.26</v>
      </c>
      <c r="K804">
        <v>0.2576</v>
      </c>
      <c r="L804">
        <v>1</v>
      </c>
      <c r="M804">
        <v>0.19400000000000001</v>
      </c>
      <c r="N804">
        <v>3</v>
      </c>
      <c r="O804">
        <v>53</v>
      </c>
      <c r="P804">
        <v>56</v>
      </c>
      <c r="Q804" t="str">
        <f t="shared" si="108"/>
        <v>Weekend</v>
      </c>
      <c r="R804" t="str">
        <f t="shared" si="109"/>
        <v>Clear</v>
      </c>
      <c r="S804" t="str">
        <f t="shared" si="110"/>
        <v>Night</v>
      </c>
      <c r="T804" t="str">
        <f t="shared" si="111"/>
        <v>February</v>
      </c>
      <c r="U804" t="str">
        <f t="shared" si="112"/>
        <v>Spring</v>
      </c>
      <c r="V804">
        <f t="shared" si="113"/>
        <v>0.22929155386993369</v>
      </c>
      <c r="W804">
        <f t="shared" si="114"/>
        <v>-0.25435329828790432</v>
      </c>
      <c r="X804">
        <f t="shared" si="115"/>
        <v>0.10399668008577614</v>
      </c>
      <c r="Y804">
        <f t="shared" si="116"/>
        <v>0.36604748519325236</v>
      </c>
    </row>
    <row r="805" spans="1:25" x14ac:dyDescent="0.3">
      <c r="A805">
        <v>804</v>
      </c>
      <c r="B805" s="1">
        <v>40579</v>
      </c>
      <c r="C805">
        <v>1</v>
      </c>
      <c r="D805">
        <v>0</v>
      </c>
      <c r="E805">
        <v>2</v>
      </c>
      <c r="F805">
        <v>22</v>
      </c>
      <c r="G805" t="b">
        <v>0</v>
      </c>
      <c r="H805">
        <v>6</v>
      </c>
      <c r="I805">
        <v>1</v>
      </c>
      <c r="J805">
        <v>0.26</v>
      </c>
      <c r="K805">
        <v>0.2727</v>
      </c>
      <c r="L805">
        <v>0.93</v>
      </c>
      <c r="M805">
        <v>0.1343</v>
      </c>
      <c r="N805">
        <v>2</v>
      </c>
      <c r="O805">
        <v>43</v>
      </c>
      <c r="P805">
        <v>45</v>
      </c>
      <c r="Q805" t="str">
        <f t="shared" si="108"/>
        <v>Weekend</v>
      </c>
      <c r="R805" t="str">
        <f t="shared" si="109"/>
        <v>Clear</v>
      </c>
      <c r="S805" t="str">
        <f t="shared" si="110"/>
        <v>Night</v>
      </c>
      <c r="T805" t="str">
        <f t="shared" si="111"/>
        <v>February</v>
      </c>
      <c r="U805" t="str">
        <f t="shared" si="112"/>
        <v>Spring</v>
      </c>
      <c r="V805">
        <f t="shared" si="113"/>
        <v>0.22929155386993369</v>
      </c>
      <c r="W805">
        <f t="shared" si="114"/>
        <v>-0.25435329828790432</v>
      </c>
      <c r="X805">
        <f t="shared" si="115"/>
        <v>0.10399668008577614</v>
      </c>
      <c r="Y805">
        <f t="shared" si="116"/>
        <v>0.36604748519325236</v>
      </c>
    </row>
    <row r="806" spans="1:25" x14ac:dyDescent="0.3">
      <c r="A806">
        <v>805</v>
      </c>
      <c r="B806" s="1">
        <v>40579</v>
      </c>
      <c r="C806">
        <v>1</v>
      </c>
      <c r="D806">
        <v>0</v>
      </c>
      <c r="E806">
        <v>2</v>
      </c>
      <c r="F806">
        <v>23</v>
      </c>
      <c r="G806" t="b">
        <v>0</v>
      </c>
      <c r="H806">
        <v>6</v>
      </c>
      <c r="I806">
        <v>1</v>
      </c>
      <c r="J806">
        <v>0.26</v>
      </c>
      <c r="K806">
        <v>0.2576</v>
      </c>
      <c r="L806">
        <v>0.93</v>
      </c>
      <c r="M806">
        <v>0.22389999999999999</v>
      </c>
      <c r="N806">
        <v>7</v>
      </c>
      <c r="O806">
        <v>52</v>
      </c>
      <c r="P806">
        <v>59</v>
      </c>
      <c r="Q806" t="str">
        <f t="shared" si="108"/>
        <v>Weekend</v>
      </c>
      <c r="R806" t="str">
        <f t="shared" si="109"/>
        <v>Clear</v>
      </c>
      <c r="S806" t="str">
        <f t="shared" si="110"/>
        <v>Night</v>
      </c>
      <c r="T806" t="str">
        <f t="shared" si="111"/>
        <v>February</v>
      </c>
      <c r="U806" t="str">
        <f t="shared" si="112"/>
        <v>Spring</v>
      </c>
      <c r="V806">
        <f t="shared" si="113"/>
        <v>0.22929155386993369</v>
      </c>
      <c r="W806">
        <f t="shared" si="114"/>
        <v>-0.25435329828790432</v>
      </c>
      <c r="X806">
        <f t="shared" si="115"/>
        <v>0.10399668008577614</v>
      </c>
      <c r="Y806">
        <f t="shared" si="116"/>
        <v>0.36604748519325236</v>
      </c>
    </row>
    <row r="807" spans="1:25" x14ac:dyDescent="0.3">
      <c r="A807">
        <v>806</v>
      </c>
      <c r="B807" s="1">
        <v>40580</v>
      </c>
      <c r="C807">
        <v>1</v>
      </c>
      <c r="D807">
        <v>0</v>
      </c>
      <c r="E807">
        <v>2</v>
      </c>
      <c r="F807">
        <v>0</v>
      </c>
      <c r="G807" t="b">
        <v>0</v>
      </c>
      <c r="H807">
        <v>0</v>
      </c>
      <c r="I807">
        <v>1</v>
      </c>
      <c r="J807">
        <v>0.26</v>
      </c>
      <c r="K807">
        <v>0.2576</v>
      </c>
      <c r="L807">
        <v>0.7</v>
      </c>
      <c r="M807">
        <v>0.19400000000000001</v>
      </c>
      <c r="N807">
        <v>2</v>
      </c>
      <c r="O807">
        <v>37</v>
      </c>
      <c r="P807">
        <v>39</v>
      </c>
      <c r="Q807" t="str">
        <f t="shared" si="108"/>
        <v>Weekend</v>
      </c>
      <c r="R807" t="str">
        <f t="shared" si="109"/>
        <v>Clear</v>
      </c>
      <c r="S807" t="str">
        <f t="shared" si="110"/>
        <v>Night</v>
      </c>
      <c r="T807" t="str">
        <f t="shared" si="111"/>
        <v>February</v>
      </c>
      <c r="U807" t="str">
        <f t="shared" si="112"/>
        <v>Spring</v>
      </c>
      <c r="V807">
        <f t="shared" si="113"/>
        <v>0.22929155386993369</v>
      </c>
      <c r="W807">
        <f t="shared" si="114"/>
        <v>-0.25435329828790432</v>
      </c>
      <c r="X807">
        <f t="shared" si="115"/>
        <v>0.10399668008577614</v>
      </c>
      <c r="Y807">
        <f t="shared" si="116"/>
        <v>0.36604748519325236</v>
      </c>
    </row>
    <row r="808" spans="1:25" x14ac:dyDescent="0.3">
      <c r="A808">
        <v>807</v>
      </c>
      <c r="B808" s="1">
        <v>40580</v>
      </c>
      <c r="C808">
        <v>1</v>
      </c>
      <c r="D808">
        <v>0</v>
      </c>
      <c r="E808">
        <v>2</v>
      </c>
      <c r="F808">
        <v>1</v>
      </c>
      <c r="G808" t="b">
        <v>0</v>
      </c>
      <c r="H808">
        <v>0</v>
      </c>
      <c r="I808">
        <v>1</v>
      </c>
      <c r="J808">
        <v>0.26</v>
      </c>
      <c r="K808">
        <v>0.2273</v>
      </c>
      <c r="L808">
        <v>0.65</v>
      </c>
      <c r="M808">
        <v>0.41789999999999999</v>
      </c>
      <c r="N808">
        <v>4</v>
      </c>
      <c r="O808">
        <v>40</v>
      </c>
      <c r="P808">
        <v>44</v>
      </c>
      <c r="Q808" t="str">
        <f t="shared" si="108"/>
        <v>Weekend</v>
      </c>
      <c r="R808" t="str">
        <f t="shared" si="109"/>
        <v>Clear</v>
      </c>
      <c r="S808" t="str">
        <f t="shared" si="110"/>
        <v>Night</v>
      </c>
      <c r="T808" t="str">
        <f t="shared" si="111"/>
        <v>February</v>
      </c>
      <c r="U808" t="str">
        <f t="shared" si="112"/>
        <v>Spring</v>
      </c>
      <c r="V808">
        <f t="shared" si="113"/>
        <v>0.22929155386993369</v>
      </c>
      <c r="W808">
        <f t="shared" si="114"/>
        <v>-0.25435329828790432</v>
      </c>
      <c r="X808">
        <f t="shared" si="115"/>
        <v>0.10399668008577614</v>
      </c>
      <c r="Y808">
        <f t="shared" si="116"/>
        <v>0.36604748519325236</v>
      </c>
    </row>
    <row r="809" spans="1:25" x14ac:dyDescent="0.3">
      <c r="A809">
        <v>808</v>
      </c>
      <c r="B809" s="1">
        <v>40580</v>
      </c>
      <c r="C809">
        <v>1</v>
      </c>
      <c r="D809">
        <v>0</v>
      </c>
      <c r="E809">
        <v>2</v>
      </c>
      <c r="F809">
        <v>2</v>
      </c>
      <c r="G809" t="b">
        <v>0</v>
      </c>
      <c r="H809">
        <v>0</v>
      </c>
      <c r="I809">
        <v>1</v>
      </c>
      <c r="J809">
        <v>0.26</v>
      </c>
      <c r="K809">
        <v>0.2273</v>
      </c>
      <c r="L809">
        <v>0.6</v>
      </c>
      <c r="M809">
        <v>0.32840000000000003</v>
      </c>
      <c r="N809">
        <v>0</v>
      </c>
      <c r="O809">
        <v>20</v>
      </c>
      <c r="P809">
        <v>20</v>
      </c>
      <c r="Q809" t="str">
        <f t="shared" si="108"/>
        <v>Weekend</v>
      </c>
      <c r="R809" t="str">
        <f t="shared" si="109"/>
        <v>Clear</v>
      </c>
      <c r="S809" t="str">
        <f t="shared" si="110"/>
        <v>Night</v>
      </c>
      <c r="T809" t="str">
        <f t="shared" si="111"/>
        <v>February</v>
      </c>
      <c r="U809" t="str">
        <f t="shared" si="112"/>
        <v>Spring</v>
      </c>
      <c r="V809">
        <f t="shared" si="113"/>
        <v>0.22929155386993369</v>
      </c>
      <c r="W809">
        <f t="shared" si="114"/>
        <v>-0.25435329828790432</v>
      </c>
      <c r="X809">
        <f t="shared" si="115"/>
        <v>0.10399668008577614</v>
      </c>
      <c r="Y809">
        <f t="shared" si="116"/>
        <v>0.36604748519325236</v>
      </c>
    </row>
    <row r="810" spans="1:25" x14ac:dyDescent="0.3">
      <c r="A810">
        <v>809</v>
      </c>
      <c r="B810" s="1">
        <v>40580</v>
      </c>
      <c r="C810">
        <v>1</v>
      </c>
      <c r="D810">
        <v>0</v>
      </c>
      <c r="E810">
        <v>2</v>
      </c>
      <c r="F810">
        <v>3</v>
      </c>
      <c r="G810" t="b">
        <v>0</v>
      </c>
      <c r="H810">
        <v>0</v>
      </c>
      <c r="I810">
        <v>1</v>
      </c>
      <c r="J810">
        <v>0.26</v>
      </c>
      <c r="K810">
        <v>0.28789999999999999</v>
      </c>
      <c r="L810">
        <v>0.6</v>
      </c>
      <c r="M810">
        <v>8.9599999999999999E-2</v>
      </c>
      <c r="N810">
        <v>3</v>
      </c>
      <c r="O810">
        <v>10</v>
      </c>
      <c r="P810">
        <v>13</v>
      </c>
      <c r="Q810" t="str">
        <f t="shared" si="108"/>
        <v>Weekend</v>
      </c>
      <c r="R810" t="str">
        <f t="shared" si="109"/>
        <v>Clear</v>
      </c>
      <c r="S810" t="str">
        <f t="shared" si="110"/>
        <v>Night</v>
      </c>
      <c r="T810" t="str">
        <f t="shared" si="111"/>
        <v>February</v>
      </c>
      <c r="U810" t="str">
        <f t="shared" si="112"/>
        <v>Spring</v>
      </c>
      <c r="V810">
        <f t="shared" si="113"/>
        <v>0.22929155386993369</v>
      </c>
      <c r="W810">
        <f t="shared" si="114"/>
        <v>-0.25435329828790432</v>
      </c>
      <c r="X810">
        <f t="shared" si="115"/>
        <v>0.10399668008577614</v>
      </c>
      <c r="Y810">
        <f t="shared" si="116"/>
        <v>0.36604748519325236</v>
      </c>
    </row>
    <row r="811" spans="1:25" x14ac:dyDescent="0.3">
      <c r="A811">
        <v>810</v>
      </c>
      <c r="B811" s="1">
        <v>40580</v>
      </c>
      <c r="C811">
        <v>1</v>
      </c>
      <c r="D811">
        <v>0</v>
      </c>
      <c r="E811">
        <v>2</v>
      </c>
      <c r="F811">
        <v>4</v>
      </c>
      <c r="G811" t="b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0.35820000000000002</v>
      </c>
      <c r="N811">
        <v>0</v>
      </c>
      <c r="O811">
        <v>2</v>
      </c>
      <c r="P811">
        <v>2</v>
      </c>
      <c r="Q811" t="str">
        <f t="shared" si="108"/>
        <v>Weekend</v>
      </c>
      <c r="R811" t="str">
        <f t="shared" si="109"/>
        <v>Clear</v>
      </c>
      <c r="S811" t="str">
        <f t="shared" si="110"/>
        <v>Night</v>
      </c>
      <c r="T811" t="str">
        <f t="shared" si="111"/>
        <v>February</v>
      </c>
      <c r="U811" t="str">
        <f t="shared" si="112"/>
        <v>Spring</v>
      </c>
      <c r="V811">
        <f t="shared" si="113"/>
        <v>0.22929155386993369</v>
      </c>
      <c r="W811">
        <f t="shared" si="114"/>
        <v>-0.25435329828790432</v>
      </c>
      <c r="X811">
        <f t="shared" si="115"/>
        <v>0.10399668008577614</v>
      </c>
      <c r="Y811">
        <f t="shared" si="116"/>
        <v>0.36604748519325236</v>
      </c>
    </row>
    <row r="812" spans="1:25" x14ac:dyDescent="0.3">
      <c r="A812">
        <v>811</v>
      </c>
      <c r="B812" s="1">
        <v>40580</v>
      </c>
      <c r="C812">
        <v>1</v>
      </c>
      <c r="D812">
        <v>0</v>
      </c>
      <c r="E812">
        <v>2</v>
      </c>
      <c r="F812">
        <v>5</v>
      </c>
      <c r="G812" t="b">
        <v>0</v>
      </c>
      <c r="H812">
        <v>0</v>
      </c>
      <c r="I812">
        <v>1</v>
      </c>
      <c r="J812">
        <v>0.26</v>
      </c>
      <c r="K812">
        <v>0.2576</v>
      </c>
      <c r="L812">
        <v>0.6</v>
      </c>
      <c r="M812">
        <v>0.22389999999999999</v>
      </c>
      <c r="N812">
        <v>0</v>
      </c>
      <c r="O812">
        <v>1</v>
      </c>
      <c r="P812">
        <v>1</v>
      </c>
      <c r="Q812" t="str">
        <f t="shared" si="108"/>
        <v>Weekend</v>
      </c>
      <c r="R812" t="str">
        <f t="shared" si="109"/>
        <v>Clear</v>
      </c>
      <c r="S812" t="str">
        <f t="shared" si="110"/>
        <v>Night</v>
      </c>
      <c r="T812" t="str">
        <f t="shared" si="111"/>
        <v>February</v>
      </c>
      <c r="U812" t="str">
        <f t="shared" si="112"/>
        <v>Spring</v>
      </c>
      <c r="V812">
        <f t="shared" si="113"/>
        <v>0.22929155386993369</v>
      </c>
      <c r="W812">
        <f t="shared" si="114"/>
        <v>-0.25435329828790432</v>
      </c>
      <c r="X812">
        <f t="shared" si="115"/>
        <v>0.10399668008577614</v>
      </c>
      <c r="Y812">
        <f t="shared" si="116"/>
        <v>0.36604748519325236</v>
      </c>
    </row>
    <row r="813" spans="1:25" x14ac:dyDescent="0.3">
      <c r="A813">
        <v>812</v>
      </c>
      <c r="B813" s="1">
        <v>40580</v>
      </c>
      <c r="C813">
        <v>1</v>
      </c>
      <c r="D813">
        <v>0</v>
      </c>
      <c r="E813">
        <v>2</v>
      </c>
      <c r="F813">
        <v>6</v>
      </c>
      <c r="G813" t="b">
        <v>0</v>
      </c>
      <c r="H813">
        <v>0</v>
      </c>
      <c r="I813">
        <v>1</v>
      </c>
      <c r="J813">
        <v>0.26</v>
      </c>
      <c r="K813">
        <v>0.2576</v>
      </c>
      <c r="L813">
        <v>0.6</v>
      </c>
      <c r="M813">
        <v>0.22389999999999999</v>
      </c>
      <c r="N813">
        <v>0</v>
      </c>
      <c r="O813">
        <v>1</v>
      </c>
      <c r="P813">
        <v>1</v>
      </c>
      <c r="Q813" t="str">
        <f t="shared" si="108"/>
        <v>Weekend</v>
      </c>
      <c r="R813" t="str">
        <f t="shared" si="109"/>
        <v>Clear</v>
      </c>
      <c r="S813" t="str">
        <f t="shared" si="110"/>
        <v>Morning</v>
      </c>
      <c r="T813" t="str">
        <f t="shared" si="111"/>
        <v>February</v>
      </c>
      <c r="U813" t="str">
        <f t="shared" si="112"/>
        <v>Spring</v>
      </c>
      <c r="V813">
        <f t="shared" si="113"/>
        <v>0.22929155386993369</v>
      </c>
      <c r="W813">
        <f t="shared" si="114"/>
        <v>-0.25435329828790432</v>
      </c>
      <c r="X813">
        <f t="shared" si="115"/>
        <v>0.10399668008577614</v>
      </c>
      <c r="Y813">
        <f t="shared" si="116"/>
        <v>0.36604748519325236</v>
      </c>
    </row>
    <row r="814" spans="1:25" x14ac:dyDescent="0.3">
      <c r="A814">
        <v>813</v>
      </c>
      <c r="B814" s="1">
        <v>40580</v>
      </c>
      <c r="C814">
        <v>1</v>
      </c>
      <c r="D814">
        <v>0</v>
      </c>
      <c r="E814">
        <v>2</v>
      </c>
      <c r="F814">
        <v>7</v>
      </c>
      <c r="G814" t="b">
        <v>0</v>
      </c>
      <c r="H814">
        <v>0</v>
      </c>
      <c r="I814">
        <v>1</v>
      </c>
      <c r="J814">
        <v>0.24</v>
      </c>
      <c r="K814">
        <v>0.2424</v>
      </c>
      <c r="L814">
        <v>0.65</v>
      </c>
      <c r="M814">
        <v>0.16420000000000001</v>
      </c>
      <c r="N814">
        <v>0</v>
      </c>
      <c r="O814">
        <v>8</v>
      </c>
      <c r="P814">
        <v>8</v>
      </c>
      <c r="Q814" t="str">
        <f t="shared" si="108"/>
        <v>Weekend</v>
      </c>
      <c r="R814" t="str">
        <f t="shared" si="109"/>
        <v>Clear</v>
      </c>
      <c r="S814" t="str">
        <f t="shared" si="110"/>
        <v>Morning</v>
      </c>
      <c r="T814" t="str">
        <f t="shared" si="111"/>
        <v>February</v>
      </c>
      <c r="U814" t="str">
        <f t="shared" si="112"/>
        <v>Spring</v>
      </c>
      <c r="V814">
        <f t="shared" si="113"/>
        <v>0.22929155386993369</v>
      </c>
      <c r="W814">
        <f t="shared" si="114"/>
        <v>-0.25435329828790432</v>
      </c>
      <c r="X814">
        <f t="shared" si="115"/>
        <v>0.10399668008577614</v>
      </c>
      <c r="Y814">
        <f t="shared" si="116"/>
        <v>0.36604748519325236</v>
      </c>
    </row>
    <row r="815" spans="1:25" x14ac:dyDescent="0.3">
      <c r="A815">
        <v>814</v>
      </c>
      <c r="B815" s="1">
        <v>40580</v>
      </c>
      <c r="C815">
        <v>1</v>
      </c>
      <c r="D815">
        <v>0</v>
      </c>
      <c r="E815">
        <v>2</v>
      </c>
      <c r="F815">
        <v>8</v>
      </c>
      <c r="G815" t="b">
        <v>0</v>
      </c>
      <c r="H815">
        <v>0</v>
      </c>
      <c r="I815">
        <v>1</v>
      </c>
      <c r="J815">
        <v>0.24</v>
      </c>
      <c r="K815">
        <v>0.2576</v>
      </c>
      <c r="L815">
        <v>0.65</v>
      </c>
      <c r="M815">
        <v>0.1045</v>
      </c>
      <c r="N815">
        <v>2</v>
      </c>
      <c r="O815">
        <v>21</v>
      </c>
      <c r="P815">
        <v>23</v>
      </c>
      <c r="Q815" t="str">
        <f t="shared" si="108"/>
        <v>Weekend</v>
      </c>
      <c r="R815" t="str">
        <f t="shared" si="109"/>
        <v>Clear</v>
      </c>
      <c r="S815" t="str">
        <f t="shared" si="110"/>
        <v>Morning</v>
      </c>
      <c r="T815" t="str">
        <f t="shared" si="111"/>
        <v>February</v>
      </c>
      <c r="U815" t="str">
        <f t="shared" si="112"/>
        <v>Spring</v>
      </c>
      <c r="V815">
        <f t="shared" si="113"/>
        <v>0.22929155386993369</v>
      </c>
      <c r="W815">
        <f t="shared" si="114"/>
        <v>-0.25435329828790432</v>
      </c>
      <c r="X815">
        <f t="shared" si="115"/>
        <v>0.10399668008577614</v>
      </c>
      <c r="Y815">
        <f t="shared" si="116"/>
        <v>0.36604748519325236</v>
      </c>
    </row>
    <row r="816" spans="1:25" x14ac:dyDescent="0.3">
      <c r="A816">
        <v>815</v>
      </c>
      <c r="B816" s="1">
        <v>40580</v>
      </c>
      <c r="C816">
        <v>1</v>
      </c>
      <c r="D816">
        <v>0</v>
      </c>
      <c r="E816">
        <v>2</v>
      </c>
      <c r="F816">
        <v>9</v>
      </c>
      <c r="G816" t="b">
        <v>0</v>
      </c>
      <c r="H816">
        <v>0</v>
      </c>
      <c r="I816">
        <v>1</v>
      </c>
      <c r="J816">
        <v>0.28000000000000003</v>
      </c>
      <c r="K816">
        <v>0.28789999999999999</v>
      </c>
      <c r="L816">
        <v>0.56000000000000005</v>
      </c>
      <c r="M816">
        <v>0.1045</v>
      </c>
      <c r="N816">
        <v>7</v>
      </c>
      <c r="O816">
        <v>38</v>
      </c>
      <c r="P816">
        <v>45</v>
      </c>
      <c r="Q816" t="str">
        <f t="shared" si="108"/>
        <v>Weekend</v>
      </c>
      <c r="R816" t="str">
        <f t="shared" si="109"/>
        <v>Clear</v>
      </c>
      <c r="S816" t="str">
        <f t="shared" si="110"/>
        <v>Morning</v>
      </c>
      <c r="T816" t="str">
        <f t="shared" si="111"/>
        <v>February</v>
      </c>
      <c r="U816" t="str">
        <f t="shared" si="112"/>
        <v>Spring</v>
      </c>
      <c r="V816">
        <f t="shared" si="113"/>
        <v>0.22929155386993369</v>
      </c>
      <c r="W816">
        <f t="shared" si="114"/>
        <v>-0.25435329828790432</v>
      </c>
      <c r="X816">
        <f t="shared" si="115"/>
        <v>0.10399668008577614</v>
      </c>
      <c r="Y816">
        <f t="shared" si="116"/>
        <v>0.36604748519325236</v>
      </c>
    </row>
    <row r="817" spans="1:25" x14ac:dyDescent="0.3">
      <c r="A817">
        <v>816</v>
      </c>
      <c r="B817" s="1">
        <v>40580</v>
      </c>
      <c r="C817">
        <v>1</v>
      </c>
      <c r="D817">
        <v>0</v>
      </c>
      <c r="E817">
        <v>2</v>
      </c>
      <c r="F817">
        <v>10</v>
      </c>
      <c r="G817" t="b">
        <v>0</v>
      </c>
      <c r="H817">
        <v>0</v>
      </c>
      <c r="I817">
        <v>1</v>
      </c>
      <c r="J817">
        <v>0.3</v>
      </c>
      <c r="K817">
        <v>0.28789999999999999</v>
      </c>
      <c r="L817">
        <v>0.52</v>
      </c>
      <c r="M817">
        <v>0.25369999999999998</v>
      </c>
      <c r="N817">
        <v>15</v>
      </c>
      <c r="O817">
        <v>74</v>
      </c>
      <c r="P817">
        <v>89</v>
      </c>
      <c r="Q817" t="str">
        <f t="shared" si="108"/>
        <v>Weekend</v>
      </c>
      <c r="R817" t="str">
        <f t="shared" si="109"/>
        <v>Clear</v>
      </c>
      <c r="S817" t="str">
        <f t="shared" si="110"/>
        <v>Morning</v>
      </c>
      <c r="T817" t="str">
        <f t="shared" si="111"/>
        <v>February</v>
      </c>
      <c r="U817" t="str">
        <f t="shared" si="112"/>
        <v>Spring</v>
      </c>
      <c r="V817">
        <f t="shared" si="113"/>
        <v>0.22929155386993369</v>
      </c>
      <c r="W817">
        <f t="shared" si="114"/>
        <v>-0.25435329828790432</v>
      </c>
      <c r="X817">
        <f t="shared" si="115"/>
        <v>0.10399668008577614</v>
      </c>
      <c r="Y817">
        <f t="shared" si="116"/>
        <v>0.36604748519325236</v>
      </c>
    </row>
    <row r="818" spans="1:25" x14ac:dyDescent="0.3">
      <c r="A818">
        <v>817</v>
      </c>
      <c r="B818" s="1">
        <v>40580</v>
      </c>
      <c r="C818">
        <v>1</v>
      </c>
      <c r="D818">
        <v>0</v>
      </c>
      <c r="E818">
        <v>2</v>
      </c>
      <c r="F818">
        <v>11</v>
      </c>
      <c r="G818" t="b">
        <v>0</v>
      </c>
      <c r="H818">
        <v>0</v>
      </c>
      <c r="I818">
        <v>1</v>
      </c>
      <c r="J818">
        <v>0.32</v>
      </c>
      <c r="K818">
        <v>0.30299999999999999</v>
      </c>
      <c r="L818">
        <v>0.49</v>
      </c>
      <c r="M818">
        <v>0.25369999999999998</v>
      </c>
      <c r="N818">
        <v>28</v>
      </c>
      <c r="O818">
        <v>89</v>
      </c>
      <c r="P818">
        <v>117</v>
      </c>
      <c r="Q818" t="str">
        <f t="shared" si="108"/>
        <v>Weekend</v>
      </c>
      <c r="R818" t="str">
        <f t="shared" si="109"/>
        <v>Clear</v>
      </c>
      <c r="S818" t="str">
        <f t="shared" si="110"/>
        <v>Morning</v>
      </c>
      <c r="T818" t="str">
        <f t="shared" si="111"/>
        <v>February</v>
      </c>
      <c r="U818" t="str">
        <f t="shared" si="112"/>
        <v>Spring</v>
      </c>
      <c r="V818">
        <f t="shared" si="113"/>
        <v>0.22929155386993369</v>
      </c>
      <c r="W818">
        <f t="shared" si="114"/>
        <v>-0.25435329828790432</v>
      </c>
      <c r="X818">
        <f t="shared" si="115"/>
        <v>0.10399668008577614</v>
      </c>
      <c r="Y818">
        <f t="shared" si="116"/>
        <v>0.36604748519325236</v>
      </c>
    </row>
    <row r="819" spans="1:25" x14ac:dyDescent="0.3">
      <c r="A819">
        <v>818</v>
      </c>
      <c r="B819" s="1">
        <v>40580</v>
      </c>
      <c r="C819">
        <v>1</v>
      </c>
      <c r="D819">
        <v>0</v>
      </c>
      <c r="E819">
        <v>2</v>
      </c>
      <c r="F819">
        <v>12</v>
      </c>
      <c r="G819" t="b">
        <v>0</v>
      </c>
      <c r="H819">
        <v>0</v>
      </c>
      <c r="I819">
        <v>1</v>
      </c>
      <c r="J819">
        <v>0.34</v>
      </c>
      <c r="K819">
        <v>0.33329999999999999</v>
      </c>
      <c r="L819">
        <v>0.46</v>
      </c>
      <c r="M819">
        <v>0</v>
      </c>
      <c r="N819">
        <v>48</v>
      </c>
      <c r="O819">
        <v>126</v>
      </c>
      <c r="P819">
        <v>174</v>
      </c>
      <c r="Q819" t="str">
        <f t="shared" si="108"/>
        <v>Weekend</v>
      </c>
      <c r="R819" t="str">
        <f t="shared" si="109"/>
        <v>Clear</v>
      </c>
      <c r="S819" t="str">
        <f t="shared" si="110"/>
        <v>Afternoon</v>
      </c>
      <c r="T819" t="str">
        <f t="shared" si="111"/>
        <v>February</v>
      </c>
      <c r="U819" t="str">
        <f t="shared" si="112"/>
        <v>Spring</v>
      </c>
      <c r="V819">
        <f t="shared" si="113"/>
        <v>0.22929155386993369</v>
      </c>
      <c r="W819">
        <f t="shared" si="114"/>
        <v>-0.25435329828790432</v>
      </c>
      <c r="X819">
        <f t="shared" si="115"/>
        <v>0.10399668008577614</v>
      </c>
      <c r="Y819">
        <f t="shared" si="116"/>
        <v>0.36604748519325236</v>
      </c>
    </row>
    <row r="820" spans="1:25" x14ac:dyDescent="0.3">
      <c r="A820">
        <v>819</v>
      </c>
      <c r="B820" s="1">
        <v>40580</v>
      </c>
      <c r="C820">
        <v>1</v>
      </c>
      <c r="D820">
        <v>0</v>
      </c>
      <c r="E820">
        <v>2</v>
      </c>
      <c r="F820">
        <v>13</v>
      </c>
      <c r="G820" t="b">
        <v>0</v>
      </c>
      <c r="H820">
        <v>0</v>
      </c>
      <c r="I820">
        <v>1</v>
      </c>
      <c r="J820">
        <v>0.34</v>
      </c>
      <c r="K820">
        <v>0.36359999999999998</v>
      </c>
      <c r="L820">
        <v>0.46</v>
      </c>
      <c r="M820">
        <v>0</v>
      </c>
      <c r="N820">
        <v>47</v>
      </c>
      <c r="O820">
        <v>135</v>
      </c>
      <c r="P820">
        <v>182</v>
      </c>
      <c r="Q820" t="str">
        <f t="shared" si="108"/>
        <v>Weekend</v>
      </c>
      <c r="R820" t="str">
        <f t="shared" si="109"/>
        <v>Clear</v>
      </c>
      <c r="S820" t="str">
        <f t="shared" si="110"/>
        <v>Afternoon</v>
      </c>
      <c r="T820" t="str">
        <f t="shared" si="111"/>
        <v>February</v>
      </c>
      <c r="U820" t="str">
        <f t="shared" si="112"/>
        <v>Spring</v>
      </c>
      <c r="V820">
        <f t="shared" si="113"/>
        <v>0.22929155386993369</v>
      </c>
      <c r="W820">
        <f t="shared" si="114"/>
        <v>-0.25435329828790432</v>
      </c>
      <c r="X820">
        <f t="shared" si="115"/>
        <v>0.10399668008577614</v>
      </c>
      <c r="Y820">
        <f t="shared" si="116"/>
        <v>0.36604748519325236</v>
      </c>
    </row>
    <row r="821" spans="1:25" x14ac:dyDescent="0.3">
      <c r="A821">
        <v>820</v>
      </c>
      <c r="B821" s="1">
        <v>40580</v>
      </c>
      <c r="C821">
        <v>1</v>
      </c>
      <c r="D821">
        <v>0</v>
      </c>
      <c r="E821">
        <v>2</v>
      </c>
      <c r="F821">
        <v>14</v>
      </c>
      <c r="G821" t="b">
        <v>0</v>
      </c>
      <c r="H821">
        <v>0</v>
      </c>
      <c r="I821">
        <v>1</v>
      </c>
      <c r="J821">
        <v>0.34</v>
      </c>
      <c r="K821">
        <v>0.34849999999999998</v>
      </c>
      <c r="L821">
        <v>0.46</v>
      </c>
      <c r="M821">
        <v>8.9599999999999999E-2</v>
      </c>
      <c r="N821">
        <v>47</v>
      </c>
      <c r="O821">
        <v>114</v>
      </c>
      <c r="P821">
        <v>161</v>
      </c>
      <c r="Q821" t="str">
        <f t="shared" si="108"/>
        <v>Weekend</v>
      </c>
      <c r="R821" t="str">
        <f t="shared" si="109"/>
        <v>Clear</v>
      </c>
      <c r="S821" t="str">
        <f t="shared" si="110"/>
        <v>Afternoon</v>
      </c>
      <c r="T821" t="str">
        <f t="shared" si="111"/>
        <v>February</v>
      </c>
      <c r="U821" t="str">
        <f t="shared" si="112"/>
        <v>Spring</v>
      </c>
      <c r="V821">
        <f t="shared" si="113"/>
        <v>0.22929155386993369</v>
      </c>
      <c r="W821">
        <f t="shared" si="114"/>
        <v>-0.25435329828790432</v>
      </c>
      <c r="X821">
        <f t="shared" si="115"/>
        <v>0.10399668008577614</v>
      </c>
      <c r="Y821">
        <f t="shared" si="116"/>
        <v>0.36604748519325236</v>
      </c>
    </row>
    <row r="822" spans="1:25" x14ac:dyDescent="0.3">
      <c r="A822">
        <v>821</v>
      </c>
      <c r="B822" s="1">
        <v>40580</v>
      </c>
      <c r="C822">
        <v>1</v>
      </c>
      <c r="D822">
        <v>0</v>
      </c>
      <c r="E822">
        <v>2</v>
      </c>
      <c r="F822">
        <v>15</v>
      </c>
      <c r="G822" t="b">
        <v>0</v>
      </c>
      <c r="H822">
        <v>0</v>
      </c>
      <c r="I822">
        <v>1</v>
      </c>
      <c r="J822">
        <v>0.34</v>
      </c>
      <c r="K822">
        <v>0.34849999999999998</v>
      </c>
      <c r="L822">
        <v>0.46</v>
      </c>
      <c r="M822">
        <v>8.9599999999999999E-2</v>
      </c>
      <c r="N822">
        <v>52</v>
      </c>
      <c r="O822">
        <v>130</v>
      </c>
      <c r="P822">
        <v>182</v>
      </c>
      <c r="Q822" t="str">
        <f t="shared" si="108"/>
        <v>Weekend</v>
      </c>
      <c r="R822" t="str">
        <f t="shared" si="109"/>
        <v>Clear</v>
      </c>
      <c r="S822" t="str">
        <f t="shared" si="110"/>
        <v>Afternoon</v>
      </c>
      <c r="T822" t="str">
        <f t="shared" si="111"/>
        <v>February</v>
      </c>
      <c r="U822" t="str">
        <f t="shared" si="112"/>
        <v>Spring</v>
      </c>
      <c r="V822">
        <f t="shared" si="113"/>
        <v>0.22929155386993369</v>
      </c>
      <c r="W822">
        <f t="shared" si="114"/>
        <v>-0.25435329828790432</v>
      </c>
      <c r="X822">
        <f t="shared" si="115"/>
        <v>0.10399668008577614</v>
      </c>
      <c r="Y822">
        <f t="shared" si="116"/>
        <v>0.36604748519325236</v>
      </c>
    </row>
    <row r="823" spans="1:25" x14ac:dyDescent="0.3">
      <c r="A823">
        <v>822</v>
      </c>
      <c r="B823" s="1">
        <v>40580</v>
      </c>
      <c r="C823">
        <v>1</v>
      </c>
      <c r="D823">
        <v>0</v>
      </c>
      <c r="E823">
        <v>2</v>
      </c>
      <c r="F823">
        <v>16</v>
      </c>
      <c r="G823" t="b">
        <v>0</v>
      </c>
      <c r="H823">
        <v>0</v>
      </c>
      <c r="I823">
        <v>1</v>
      </c>
      <c r="J823">
        <v>0.34</v>
      </c>
      <c r="K823">
        <v>0.34849999999999998</v>
      </c>
      <c r="L823">
        <v>0.49</v>
      </c>
      <c r="M823">
        <v>0.1045</v>
      </c>
      <c r="N823">
        <v>42</v>
      </c>
      <c r="O823">
        <v>115</v>
      </c>
      <c r="P823">
        <v>157</v>
      </c>
      <c r="Q823" t="str">
        <f t="shared" si="108"/>
        <v>Weekend</v>
      </c>
      <c r="R823" t="str">
        <f t="shared" si="109"/>
        <v>Clear</v>
      </c>
      <c r="S823" t="str">
        <f t="shared" si="110"/>
        <v>Afternoon</v>
      </c>
      <c r="T823" t="str">
        <f t="shared" si="111"/>
        <v>February</v>
      </c>
      <c r="U823" t="str">
        <f t="shared" si="112"/>
        <v>Spring</v>
      </c>
      <c r="V823">
        <f t="shared" si="113"/>
        <v>0.22929155386993369</v>
      </c>
      <c r="W823">
        <f t="shared" si="114"/>
        <v>-0.25435329828790432</v>
      </c>
      <c r="X823">
        <f t="shared" si="115"/>
        <v>0.10399668008577614</v>
      </c>
      <c r="Y823">
        <f t="shared" si="116"/>
        <v>0.36604748519325236</v>
      </c>
    </row>
    <row r="824" spans="1:25" x14ac:dyDescent="0.3">
      <c r="A824">
        <v>823</v>
      </c>
      <c r="B824" s="1">
        <v>40580</v>
      </c>
      <c r="C824">
        <v>1</v>
      </c>
      <c r="D824">
        <v>0</v>
      </c>
      <c r="E824">
        <v>2</v>
      </c>
      <c r="F824">
        <v>17</v>
      </c>
      <c r="G824" t="b">
        <v>0</v>
      </c>
      <c r="H824">
        <v>0</v>
      </c>
      <c r="I824">
        <v>1</v>
      </c>
      <c r="J824">
        <v>0.34</v>
      </c>
      <c r="K824">
        <v>0.36359999999999998</v>
      </c>
      <c r="L824">
        <v>0.46</v>
      </c>
      <c r="M824">
        <v>0</v>
      </c>
      <c r="N824">
        <v>24</v>
      </c>
      <c r="O824">
        <v>97</v>
      </c>
      <c r="P824">
        <v>121</v>
      </c>
      <c r="Q824" t="str">
        <f t="shared" si="108"/>
        <v>Weekend</v>
      </c>
      <c r="R824" t="str">
        <f t="shared" si="109"/>
        <v>Clear</v>
      </c>
      <c r="S824" t="str">
        <f t="shared" si="110"/>
        <v>Evening</v>
      </c>
      <c r="T824" t="str">
        <f t="shared" si="111"/>
        <v>February</v>
      </c>
      <c r="U824" t="str">
        <f t="shared" si="112"/>
        <v>Spring</v>
      </c>
      <c r="V824">
        <f t="shared" si="113"/>
        <v>0.22929155386993369</v>
      </c>
      <c r="W824">
        <f t="shared" si="114"/>
        <v>-0.25435329828790432</v>
      </c>
      <c r="X824">
        <f t="shared" si="115"/>
        <v>0.10399668008577614</v>
      </c>
      <c r="Y824">
        <f t="shared" si="116"/>
        <v>0.36604748519325236</v>
      </c>
    </row>
    <row r="825" spans="1:25" x14ac:dyDescent="0.3">
      <c r="A825">
        <v>824</v>
      </c>
      <c r="B825" s="1">
        <v>40580</v>
      </c>
      <c r="C825">
        <v>1</v>
      </c>
      <c r="D825">
        <v>0</v>
      </c>
      <c r="E825">
        <v>2</v>
      </c>
      <c r="F825">
        <v>18</v>
      </c>
      <c r="G825" t="b">
        <v>0</v>
      </c>
      <c r="H825">
        <v>0</v>
      </c>
      <c r="I825">
        <v>1</v>
      </c>
      <c r="J825">
        <v>0.3</v>
      </c>
      <c r="K825">
        <v>0.30299999999999999</v>
      </c>
      <c r="L825">
        <v>0.56000000000000005</v>
      </c>
      <c r="M825">
        <v>0.16420000000000001</v>
      </c>
      <c r="N825">
        <v>13</v>
      </c>
      <c r="O825">
        <v>65</v>
      </c>
      <c r="P825">
        <v>78</v>
      </c>
      <c r="Q825" t="str">
        <f t="shared" si="108"/>
        <v>Weekend</v>
      </c>
      <c r="R825" t="str">
        <f t="shared" si="109"/>
        <v>Clear</v>
      </c>
      <c r="S825" t="str">
        <f t="shared" si="110"/>
        <v>Evening</v>
      </c>
      <c r="T825" t="str">
        <f t="shared" si="111"/>
        <v>February</v>
      </c>
      <c r="U825" t="str">
        <f t="shared" si="112"/>
        <v>Spring</v>
      </c>
      <c r="V825">
        <f t="shared" si="113"/>
        <v>0.22929155386993369</v>
      </c>
      <c r="W825">
        <f t="shared" si="114"/>
        <v>-0.25435329828790432</v>
      </c>
      <c r="X825">
        <f t="shared" si="115"/>
        <v>0.10399668008577614</v>
      </c>
      <c r="Y825">
        <f t="shared" si="116"/>
        <v>0.36604748519325236</v>
      </c>
    </row>
    <row r="826" spans="1:25" x14ac:dyDescent="0.3">
      <c r="A826">
        <v>825</v>
      </c>
      <c r="B826" s="1">
        <v>40580</v>
      </c>
      <c r="C826">
        <v>1</v>
      </c>
      <c r="D826">
        <v>0</v>
      </c>
      <c r="E826">
        <v>2</v>
      </c>
      <c r="F826">
        <v>19</v>
      </c>
      <c r="G826" t="b">
        <v>0</v>
      </c>
      <c r="H826">
        <v>0</v>
      </c>
      <c r="I826">
        <v>1</v>
      </c>
      <c r="J826">
        <v>0.28000000000000003</v>
      </c>
      <c r="K826">
        <v>0.28789999999999999</v>
      </c>
      <c r="L826">
        <v>0.61</v>
      </c>
      <c r="M826">
        <v>0.1343</v>
      </c>
      <c r="N826">
        <v>1</v>
      </c>
      <c r="O826">
        <v>20</v>
      </c>
      <c r="P826">
        <v>21</v>
      </c>
      <c r="Q826" t="str">
        <f t="shared" si="108"/>
        <v>Weekend</v>
      </c>
      <c r="R826" t="str">
        <f t="shared" si="109"/>
        <v>Clear</v>
      </c>
      <c r="S826" t="str">
        <f t="shared" si="110"/>
        <v>Evening</v>
      </c>
      <c r="T826" t="str">
        <f t="shared" si="111"/>
        <v>February</v>
      </c>
      <c r="U826" t="str">
        <f t="shared" si="112"/>
        <v>Spring</v>
      </c>
      <c r="V826">
        <f t="shared" si="113"/>
        <v>0.22929155386993369</v>
      </c>
      <c r="W826">
        <f t="shared" si="114"/>
        <v>-0.25435329828790432</v>
      </c>
      <c r="X826">
        <f t="shared" si="115"/>
        <v>0.10399668008577614</v>
      </c>
      <c r="Y826">
        <f t="shared" si="116"/>
        <v>0.36604748519325236</v>
      </c>
    </row>
    <row r="827" spans="1:25" x14ac:dyDescent="0.3">
      <c r="A827">
        <v>826</v>
      </c>
      <c r="B827" s="1">
        <v>40580</v>
      </c>
      <c r="C827">
        <v>1</v>
      </c>
      <c r="D827">
        <v>0</v>
      </c>
      <c r="E827">
        <v>2</v>
      </c>
      <c r="F827">
        <v>20</v>
      </c>
      <c r="G827" t="b">
        <v>0</v>
      </c>
      <c r="H827">
        <v>0</v>
      </c>
      <c r="I827">
        <v>1</v>
      </c>
      <c r="J827">
        <v>0.28000000000000003</v>
      </c>
      <c r="K827">
        <v>0.28789999999999999</v>
      </c>
      <c r="L827">
        <v>0.61</v>
      </c>
      <c r="M827">
        <v>0.1045</v>
      </c>
      <c r="N827">
        <v>5</v>
      </c>
      <c r="O827">
        <v>21</v>
      </c>
      <c r="P827">
        <v>26</v>
      </c>
      <c r="Q827" t="str">
        <f t="shared" si="108"/>
        <v>Weekend</v>
      </c>
      <c r="R827" t="str">
        <f t="shared" si="109"/>
        <v>Clear</v>
      </c>
      <c r="S827" t="str">
        <f t="shared" si="110"/>
        <v>Evening</v>
      </c>
      <c r="T827" t="str">
        <f t="shared" si="111"/>
        <v>February</v>
      </c>
      <c r="U827" t="str">
        <f t="shared" si="112"/>
        <v>Spring</v>
      </c>
      <c r="V827">
        <f t="shared" si="113"/>
        <v>0.22929155386993369</v>
      </c>
      <c r="W827">
        <f t="shared" si="114"/>
        <v>-0.25435329828790432</v>
      </c>
      <c r="X827">
        <f t="shared" si="115"/>
        <v>0.10399668008577614</v>
      </c>
      <c r="Y827">
        <f t="shared" si="116"/>
        <v>0.36604748519325236</v>
      </c>
    </row>
    <row r="828" spans="1:25" x14ac:dyDescent="0.3">
      <c r="A828">
        <v>827</v>
      </c>
      <c r="B828" s="1">
        <v>40580</v>
      </c>
      <c r="C828">
        <v>1</v>
      </c>
      <c r="D828">
        <v>0</v>
      </c>
      <c r="E828">
        <v>2</v>
      </c>
      <c r="F828">
        <v>21</v>
      </c>
      <c r="G828" t="b">
        <v>0</v>
      </c>
      <c r="H828">
        <v>0</v>
      </c>
      <c r="I828">
        <v>1</v>
      </c>
      <c r="J828">
        <v>0.26</v>
      </c>
      <c r="K828">
        <v>0.30299999999999999</v>
      </c>
      <c r="L828">
        <v>0.6</v>
      </c>
      <c r="M828">
        <v>0</v>
      </c>
      <c r="N828">
        <v>5</v>
      </c>
      <c r="O828">
        <v>22</v>
      </c>
      <c r="P828">
        <v>27</v>
      </c>
      <c r="Q828" t="str">
        <f t="shared" si="108"/>
        <v>Weekend</v>
      </c>
      <c r="R828" t="str">
        <f t="shared" si="109"/>
        <v>Clear</v>
      </c>
      <c r="S828" t="str">
        <f t="shared" si="110"/>
        <v>Night</v>
      </c>
      <c r="T828" t="str">
        <f t="shared" si="111"/>
        <v>February</v>
      </c>
      <c r="U828" t="str">
        <f t="shared" si="112"/>
        <v>Spring</v>
      </c>
      <c r="V828">
        <f t="shared" si="113"/>
        <v>0.22929155386993369</v>
      </c>
      <c r="W828">
        <f t="shared" si="114"/>
        <v>-0.25435329828790432</v>
      </c>
      <c r="X828">
        <f t="shared" si="115"/>
        <v>0.10399668008577614</v>
      </c>
      <c r="Y828">
        <f t="shared" si="116"/>
        <v>0.36604748519325236</v>
      </c>
    </row>
    <row r="829" spans="1:25" x14ac:dyDescent="0.3">
      <c r="A829">
        <v>828</v>
      </c>
      <c r="B829" s="1">
        <v>40580</v>
      </c>
      <c r="C829">
        <v>1</v>
      </c>
      <c r="D829">
        <v>0</v>
      </c>
      <c r="E829">
        <v>2</v>
      </c>
      <c r="F829">
        <v>22</v>
      </c>
      <c r="G829" t="b">
        <v>0</v>
      </c>
      <c r="H829">
        <v>0</v>
      </c>
      <c r="I829">
        <v>1</v>
      </c>
      <c r="J829">
        <v>0.26</v>
      </c>
      <c r="K829">
        <v>0.30299999999999999</v>
      </c>
      <c r="L829">
        <v>0.6</v>
      </c>
      <c r="M829">
        <v>0</v>
      </c>
      <c r="N829">
        <v>5</v>
      </c>
      <c r="O829">
        <v>57</v>
      </c>
      <c r="P829">
        <v>62</v>
      </c>
      <c r="Q829" t="str">
        <f t="shared" si="108"/>
        <v>Weekend</v>
      </c>
      <c r="R829" t="str">
        <f t="shared" si="109"/>
        <v>Clear</v>
      </c>
      <c r="S829" t="str">
        <f t="shared" si="110"/>
        <v>Night</v>
      </c>
      <c r="T829" t="str">
        <f t="shared" si="111"/>
        <v>February</v>
      </c>
      <c r="U829" t="str">
        <f t="shared" si="112"/>
        <v>Spring</v>
      </c>
      <c r="V829">
        <f t="shared" si="113"/>
        <v>0.22929155386993369</v>
      </c>
      <c r="W829">
        <f t="shared" si="114"/>
        <v>-0.25435329828790432</v>
      </c>
      <c r="X829">
        <f t="shared" si="115"/>
        <v>0.10399668008577614</v>
      </c>
      <c r="Y829">
        <f t="shared" si="116"/>
        <v>0.36604748519325236</v>
      </c>
    </row>
    <row r="830" spans="1:25" x14ac:dyDescent="0.3">
      <c r="A830">
        <v>829</v>
      </c>
      <c r="B830" s="1">
        <v>40580</v>
      </c>
      <c r="C830">
        <v>1</v>
      </c>
      <c r="D830">
        <v>0</v>
      </c>
      <c r="E830">
        <v>2</v>
      </c>
      <c r="F830">
        <v>23</v>
      </c>
      <c r="G830" t="b">
        <v>0</v>
      </c>
      <c r="H830">
        <v>0</v>
      </c>
      <c r="I830">
        <v>1</v>
      </c>
      <c r="J830">
        <v>0.24</v>
      </c>
      <c r="K830">
        <v>0.28789999999999999</v>
      </c>
      <c r="L830">
        <v>0.65</v>
      </c>
      <c r="M830">
        <v>0</v>
      </c>
      <c r="N830">
        <v>4</v>
      </c>
      <c r="O830">
        <v>26</v>
      </c>
      <c r="P830">
        <v>30</v>
      </c>
      <c r="Q830" t="str">
        <f t="shared" si="108"/>
        <v>Weekend</v>
      </c>
      <c r="R830" t="str">
        <f t="shared" si="109"/>
        <v>Clear</v>
      </c>
      <c r="S830" t="str">
        <f t="shared" si="110"/>
        <v>Night</v>
      </c>
      <c r="T830" t="str">
        <f t="shared" si="111"/>
        <v>February</v>
      </c>
      <c r="U830" t="str">
        <f t="shared" si="112"/>
        <v>Spring</v>
      </c>
      <c r="V830">
        <f t="shared" si="113"/>
        <v>0.22929155386993369</v>
      </c>
      <c r="W830">
        <f t="shared" si="114"/>
        <v>-0.25435329828790432</v>
      </c>
      <c r="X830">
        <f t="shared" si="115"/>
        <v>0.10399668008577614</v>
      </c>
      <c r="Y830">
        <f t="shared" si="116"/>
        <v>0.36604748519325236</v>
      </c>
    </row>
    <row r="831" spans="1:25" x14ac:dyDescent="0.3">
      <c r="A831">
        <v>830</v>
      </c>
      <c r="B831" s="1">
        <v>40581</v>
      </c>
      <c r="C831">
        <v>1</v>
      </c>
      <c r="D831">
        <v>0</v>
      </c>
      <c r="E831">
        <v>2</v>
      </c>
      <c r="F831">
        <v>0</v>
      </c>
      <c r="G831" t="b">
        <v>0</v>
      </c>
      <c r="H831">
        <v>1</v>
      </c>
      <c r="I831">
        <v>1</v>
      </c>
      <c r="J831">
        <v>0.24</v>
      </c>
      <c r="K831">
        <v>0.28789999999999999</v>
      </c>
      <c r="L831">
        <v>0.65</v>
      </c>
      <c r="M831">
        <v>0</v>
      </c>
      <c r="N831">
        <v>1</v>
      </c>
      <c r="O831">
        <v>14</v>
      </c>
      <c r="P831">
        <v>15</v>
      </c>
      <c r="Q831" t="str">
        <f t="shared" si="108"/>
        <v>Weekday</v>
      </c>
      <c r="R831" t="str">
        <f t="shared" si="109"/>
        <v>Clear</v>
      </c>
      <c r="S831" t="str">
        <f t="shared" si="110"/>
        <v>Night</v>
      </c>
      <c r="T831" t="str">
        <f t="shared" si="111"/>
        <v>February</v>
      </c>
      <c r="U831" t="str">
        <f t="shared" si="112"/>
        <v>Spring</v>
      </c>
      <c r="V831">
        <f t="shared" si="113"/>
        <v>0.22929155386993369</v>
      </c>
      <c r="W831">
        <f t="shared" si="114"/>
        <v>-0.25435329828790432</v>
      </c>
      <c r="X831">
        <f t="shared" si="115"/>
        <v>0.10399668008577614</v>
      </c>
      <c r="Y831">
        <f t="shared" si="116"/>
        <v>0.36604748519325236</v>
      </c>
    </row>
    <row r="832" spans="1:25" x14ac:dyDescent="0.3">
      <c r="A832">
        <v>831</v>
      </c>
      <c r="B832" s="1">
        <v>40581</v>
      </c>
      <c r="C832">
        <v>1</v>
      </c>
      <c r="D832">
        <v>0</v>
      </c>
      <c r="E832">
        <v>2</v>
      </c>
      <c r="F832">
        <v>1</v>
      </c>
      <c r="G832" t="b">
        <v>0</v>
      </c>
      <c r="H832">
        <v>1</v>
      </c>
      <c r="I832">
        <v>1</v>
      </c>
      <c r="J832">
        <v>0.22</v>
      </c>
      <c r="K832">
        <v>0.2727</v>
      </c>
      <c r="L832">
        <v>0.75</v>
      </c>
      <c r="M832">
        <v>0</v>
      </c>
      <c r="N832">
        <v>1</v>
      </c>
      <c r="O832">
        <v>4</v>
      </c>
      <c r="P832">
        <v>5</v>
      </c>
      <c r="Q832" t="str">
        <f t="shared" si="108"/>
        <v>Weekday</v>
      </c>
      <c r="R832" t="str">
        <f t="shared" si="109"/>
        <v>Clear</v>
      </c>
      <c r="S832" t="str">
        <f t="shared" si="110"/>
        <v>Night</v>
      </c>
      <c r="T832" t="str">
        <f t="shared" si="111"/>
        <v>February</v>
      </c>
      <c r="U832" t="str">
        <f t="shared" si="112"/>
        <v>Spring</v>
      </c>
      <c r="V832">
        <f t="shared" si="113"/>
        <v>0.22929155386993369</v>
      </c>
      <c r="W832">
        <f t="shared" si="114"/>
        <v>-0.25435329828790432</v>
      </c>
      <c r="X832">
        <f t="shared" si="115"/>
        <v>0.10399668008577614</v>
      </c>
      <c r="Y832">
        <f t="shared" si="116"/>
        <v>0.36604748519325236</v>
      </c>
    </row>
    <row r="833" spans="1:25" x14ac:dyDescent="0.3">
      <c r="A833">
        <v>832</v>
      </c>
      <c r="B833" s="1">
        <v>40581</v>
      </c>
      <c r="C833">
        <v>1</v>
      </c>
      <c r="D833">
        <v>0</v>
      </c>
      <c r="E833">
        <v>2</v>
      </c>
      <c r="F833">
        <v>2</v>
      </c>
      <c r="G833" t="b">
        <v>0</v>
      </c>
      <c r="H833">
        <v>1</v>
      </c>
      <c r="I833">
        <v>1</v>
      </c>
      <c r="J833">
        <v>0.2</v>
      </c>
      <c r="K833">
        <v>0.2576</v>
      </c>
      <c r="L833">
        <v>0.8</v>
      </c>
      <c r="M833">
        <v>0</v>
      </c>
      <c r="N833">
        <v>0</v>
      </c>
      <c r="O833">
        <v>3</v>
      </c>
      <c r="P833">
        <v>3</v>
      </c>
      <c r="Q833" t="str">
        <f t="shared" si="108"/>
        <v>Weekday</v>
      </c>
      <c r="R833" t="str">
        <f t="shared" si="109"/>
        <v>Clear</v>
      </c>
      <c r="S833" t="str">
        <f t="shared" si="110"/>
        <v>Night</v>
      </c>
      <c r="T833" t="str">
        <f t="shared" si="111"/>
        <v>February</v>
      </c>
      <c r="U833" t="str">
        <f t="shared" si="112"/>
        <v>Spring</v>
      </c>
      <c r="V833">
        <f t="shared" si="113"/>
        <v>0.22929155386993369</v>
      </c>
      <c r="W833">
        <f t="shared" si="114"/>
        <v>-0.25435329828790432</v>
      </c>
      <c r="X833">
        <f t="shared" si="115"/>
        <v>0.10399668008577614</v>
      </c>
      <c r="Y833">
        <f t="shared" si="116"/>
        <v>0.36604748519325236</v>
      </c>
    </row>
    <row r="834" spans="1:25" x14ac:dyDescent="0.3">
      <c r="A834">
        <v>833</v>
      </c>
      <c r="B834" s="1">
        <v>40581</v>
      </c>
      <c r="C834">
        <v>1</v>
      </c>
      <c r="D834">
        <v>0</v>
      </c>
      <c r="E834">
        <v>2</v>
      </c>
      <c r="F834">
        <v>3</v>
      </c>
      <c r="G834" t="b">
        <v>0</v>
      </c>
      <c r="H834">
        <v>1</v>
      </c>
      <c r="I834">
        <v>1</v>
      </c>
      <c r="J834">
        <v>0.2</v>
      </c>
      <c r="K834">
        <v>0.2576</v>
      </c>
      <c r="L834">
        <v>0.86</v>
      </c>
      <c r="M834">
        <v>0</v>
      </c>
      <c r="N834">
        <v>0</v>
      </c>
      <c r="O834">
        <v>1</v>
      </c>
      <c r="P834">
        <v>1</v>
      </c>
      <c r="Q834" t="str">
        <f t="shared" ref="Q834:Q897" si="117">IF(OR(WEEKDAY(B834)=1, WEEKDAY(B834)=7), "Weekend", "Weekday")</f>
        <v>Weekday</v>
      </c>
      <c r="R834" t="str">
        <f t="shared" ref="R834:R897" si="118">IF(I834=1,"Clear",IF(I834=2,"Mist/Cloudy",IF(I834=3,"Light Rain/Snow","Heavy Rain/Snow")))</f>
        <v>Clear</v>
      </c>
      <c r="S834" t="str">
        <f t="shared" ref="S834:S897" si="119">IF(AND(F834&gt;=6, F834&lt;12), "Morning", IF(AND(F834&gt;=12, F834&lt;17), "Afternoon", IF(AND(F834&gt;=17, F834&lt;21), "Evening", "Night")))</f>
        <v>Night</v>
      </c>
      <c r="T834" t="str">
        <f t="shared" ref="T834:T897" si="120">TEXT(B834, "mmmm")</f>
        <v>February</v>
      </c>
      <c r="U834" t="str">
        <f t="shared" ref="U834:U897" si="121">CHOOSE(C834, "Spring", "Summer", "Fall", "Winter")</f>
        <v>Spring</v>
      </c>
      <c r="V834">
        <f t="shared" ref="V834:V897" si="122">CORREL($J$2:$J$1001, $P$2:$P$1001)</f>
        <v>0.22929155386993369</v>
      </c>
      <c r="W834">
        <f t="shared" ref="W834:W897" si="123">CORREL($L$2:$L$1001, $P$2:$P$1001)</f>
        <v>-0.25435329828790432</v>
      </c>
      <c r="X834">
        <f t="shared" ref="X834:X897" si="124">CORREL($M$2:$M$1001, $P$2:$P$1001)</f>
        <v>0.10399668008577614</v>
      </c>
      <c r="Y834">
        <f t="shared" ref="Y834:Y897" si="125">CORREL($F$2:$F$1001, $P$2:$P$1001)</f>
        <v>0.36604748519325236</v>
      </c>
    </row>
    <row r="835" spans="1:25" x14ac:dyDescent="0.3">
      <c r="A835">
        <v>834</v>
      </c>
      <c r="B835" s="1">
        <v>40581</v>
      </c>
      <c r="C835">
        <v>1</v>
      </c>
      <c r="D835">
        <v>0</v>
      </c>
      <c r="E835">
        <v>2</v>
      </c>
      <c r="F835">
        <v>4</v>
      </c>
      <c r="G835" t="b">
        <v>0</v>
      </c>
      <c r="H835">
        <v>1</v>
      </c>
      <c r="I835">
        <v>1</v>
      </c>
      <c r="J835">
        <v>0.2</v>
      </c>
      <c r="K835">
        <v>0.2576</v>
      </c>
      <c r="L835">
        <v>0.86</v>
      </c>
      <c r="M835">
        <v>0</v>
      </c>
      <c r="N835">
        <v>1</v>
      </c>
      <c r="O835">
        <v>1</v>
      </c>
      <c r="P835">
        <v>2</v>
      </c>
      <c r="Q835" t="str">
        <f t="shared" si="117"/>
        <v>Weekday</v>
      </c>
      <c r="R835" t="str">
        <f t="shared" si="118"/>
        <v>Clear</v>
      </c>
      <c r="S835" t="str">
        <f t="shared" si="119"/>
        <v>Night</v>
      </c>
      <c r="T835" t="str">
        <f t="shared" si="120"/>
        <v>February</v>
      </c>
      <c r="U835" t="str">
        <f t="shared" si="121"/>
        <v>Spring</v>
      </c>
      <c r="V835">
        <f t="shared" si="122"/>
        <v>0.22929155386993369</v>
      </c>
      <c r="W835">
        <f t="shared" si="123"/>
        <v>-0.25435329828790432</v>
      </c>
      <c r="X835">
        <f t="shared" si="124"/>
        <v>0.10399668008577614</v>
      </c>
      <c r="Y835">
        <f t="shared" si="125"/>
        <v>0.36604748519325236</v>
      </c>
    </row>
    <row r="836" spans="1:25" x14ac:dyDescent="0.3">
      <c r="A836">
        <v>835</v>
      </c>
      <c r="B836" s="1">
        <v>40581</v>
      </c>
      <c r="C836">
        <v>1</v>
      </c>
      <c r="D836">
        <v>0</v>
      </c>
      <c r="E836">
        <v>2</v>
      </c>
      <c r="F836">
        <v>5</v>
      </c>
      <c r="G836" t="b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1</v>
      </c>
      <c r="O836">
        <v>9</v>
      </c>
      <c r="P836">
        <v>10</v>
      </c>
      <c r="Q836" t="str">
        <f t="shared" si="117"/>
        <v>Weekday</v>
      </c>
      <c r="R836" t="str">
        <f t="shared" si="118"/>
        <v>Clear</v>
      </c>
      <c r="S836" t="str">
        <f t="shared" si="119"/>
        <v>Night</v>
      </c>
      <c r="T836" t="str">
        <f t="shared" si="120"/>
        <v>February</v>
      </c>
      <c r="U836" t="str">
        <f t="shared" si="121"/>
        <v>Spring</v>
      </c>
      <c r="V836">
        <f t="shared" si="122"/>
        <v>0.22929155386993369</v>
      </c>
      <c r="W836">
        <f t="shared" si="123"/>
        <v>-0.25435329828790432</v>
      </c>
      <c r="X836">
        <f t="shared" si="124"/>
        <v>0.10399668008577614</v>
      </c>
      <c r="Y836">
        <f t="shared" si="125"/>
        <v>0.36604748519325236</v>
      </c>
    </row>
    <row r="837" spans="1:25" x14ac:dyDescent="0.3">
      <c r="A837">
        <v>836</v>
      </c>
      <c r="B837" s="1">
        <v>40581</v>
      </c>
      <c r="C837">
        <v>1</v>
      </c>
      <c r="D837">
        <v>0</v>
      </c>
      <c r="E837">
        <v>2</v>
      </c>
      <c r="F837">
        <v>6</v>
      </c>
      <c r="G837" t="b">
        <v>0</v>
      </c>
      <c r="H837">
        <v>1</v>
      </c>
      <c r="I837">
        <v>1</v>
      </c>
      <c r="J837">
        <v>0.18</v>
      </c>
      <c r="K837">
        <v>0.2424</v>
      </c>
      <c r="L837">
        <v>0.93</v>
      </c>
      <c r="M837">
        <v>0</v>
      </c>
      <c r="N837">
        <v>1</v>
      </c>
      <c r="O837">
        <v>29</v>
      </c>
      <c r="P837">
        <v>30</v>
      </c>
      <c r="Q837" t="str">
        <f t="shared" si="117"/>
        <v>Weekday</v>
      </c>
      <c r="R837" t="str">
        <f t="shared" si="118"/>
        <v>Clear</v>
      </c>
      <c r="S837" t="str">
        <f t="shared" si="119"/>
        <v>Morning</v>
      </c>
      <c r="T837" t="str">
        <f t="shared" si="120"/>
        <v>February</v>
      </c>
      <c r="U837" t="str">
        <f t="shared" si="121"/>
        <v>Spring</v>
      </c>
      <c r="V837">
        <f t="shared" si="122"/>
        <v>0.22929155386993369</v>
      </c>
      <c r="W837">
        <f t="shared" si="123"/>
        <v>-0.25435329828790432</v>
      </c>
      <c r="X837">
        <f t="shared" si="124"/>
        <v>0.10399668008577614</v>
      </c>
      <c r="Y837">
        <f t="shared" si="125"/>
        <v>0.36604748519325236</v>
      </c>
    </row>
    <row r="838" spans="1:25" x14ac:dyDescent="0.3">
      <c r="A838">
        <v>837</v>
      </c>
      <c r="B838" s="1">
        <v>40581</v>
      </c>
      <c r="C838">
        <v>1</v>
      </c>
      <c r="D838">
        <v>0</v>
      </c>
      <c r="E838">
        <v>2</v>
      </c>
      <c r="F838">
        <v>7</v>
      </c>
      <c r="G838" t="b">
        <v>0</v>
      </c>
      <c r="H838">
        <v>1</v>
      </c>
      <c r="I838">
        <v>1</v>
      </c>
      <c r="J838">
        <v>0.18</v>
      </c>
      <c r="K838">
        <v>0.2424</v>
      </c>
      <c r="L838">
        <v>0.86</v>
      </c>
      <c r="M838">
        <v>0</v>
      </c>
      <c r="N838">
        <v>6</v>
      </c>
      <c r="O838">
        <v>89</v>
      </c>
      <c r="P838">
        <v>95</v>
      </c>
      <c r="Q838" t="str">
        <f t="shared" si="117"/>
        <v>Weekday</v>
      </c>
      <c r="R838" t="str">
        <f t="shared" si="118"/>
        <v>Clear</v>
      </c>
      <c r="S838" t="str">
        <f t="shared" si="119"/>
        <v>Morning</v>
      </c>
      <c r="T838" t="str">
        <f t="shared" si="120"/>
        <v>February</v>
      </c>
      <c r="U838" t="str">
        <f t="shared" si="121"/>
        <v>Spring</v>
      </c>
      <c r="V838">
        <f t="shared" si="122"/>
        <v>0.22929155386993369</v>
      </c>
      <c r="W838">
        <f t="shared" si="123"/>
        <v>-0.25435329828790432</v>
      </c>
      <c r="X838">
        <f t="shared" si="124"/>
        <v>0.10399668008577614</v>
      </c>
      <c r="Y838">
        <f t="shared" si="125"/>
        <v>0.36604748519325236</v>
      </c>
    </row>
    <row r="839" spans="1:25" x14ac:dyDescent="0.3">
      <c r="A839">
        <v>838</v>
      </c>
      <c r="B839" s="1">
        <v>40581</v>
      </c>
      <c r="C839">
        <v>1</v>
      </c>
      <c r="D839">
        <v>0</v>
      </c>
      <c r="E839">
        <v>2</v>
      </c>
      <c r="F839">
        <v>8</v>
      </c>
      <c r="G839" t="b">
        <v>0</v>
      </c>
      <c r="H839">
        <v>1</v>
      </c>
      <c r="I839">
        <v>2</v>
      </c>
      <c r="J839">
        <v>0.16</v>
      </c>
      <c r="K839">
        <v>0.2273</v>
      </c>
      <c r="L839">
        <v>1</v>
      </c>
      <c r="M839">
        <v>0</v>
      </c>
      <c r="N839">
        <v>7</v>
      </c>
      <c r="O839">
        <v>223</v>
      </c>
      <c r="P839">
        <v>230</v>
      </c>
      <c r="Q839" t="str">
        <f t="shared" si="117"/>
        <v>Weekday</v>
      </c>
      <c r="R839" t="str">
        <f t="shared" si="118"/>
        <v>Mist/Cloudy</v>
      </c>
      <c r="S839" t="str">
        <f t="shared" si="119"/>
        <v>Morning</v>
      </c>
      <c r="T839" t="str">
        <f t="shared" si="120"/>
        <v>February</v>
      </c>
      <c r="U839" t="str">
        <f t="shared" si="121"/>
        <v>Spring</v>
      </c>
      <c r="V839">
        <f t="shared" si="122"/>
        <v>0.22929155386993369</v>
      </c>
      <c r="W839">
        <f t="shared" si="123"/>
        <v>-0.25435329828790432</v>
      </c>
      <c r="X839">
        <f t="shared" si="124"/>
        <v>0.10399668008577614</v>
      </c>
      <c r="Y839">
        <f t="shared" si="125"/>
        <v>0.36604748519325236</v>
      </c>
    </row>
    <row r="840" spans="1:25" x14ac:dyDescent="0.3">
      <c r="A840">
        <v>839</v>
      </c>
      <c r="B840" s="1">
        <v>40581</v>
      </c>
      <c r="C840">
        <v>1</v>
      </c>
      <c r="D840">
        <v>0</v>
      </c>
      <c r="E840">
        <v>2</v>
      </c>
      <c r="F840">
        <v>9</v>
      </c>
      <c r="G840" t="b">
        <v>0</v>
      </c>
      <c r="H840">
        <v>1</v>
      </c>
      <c r="I840">
        <v>1</v>
      </c>
      <c r="J840">
        <v>0.22</v>
      </c>
      <c r="K840">
        <v>0.2727</v>
      </c>
      <c r="L840">
        <v>0.8</v>
      </c>
      <c r="M840">
        <v>0</v>
      </c>
      <c r="N840">
        <v>3</v>
      </c>
      <c r="O840">
        <v>115</v>
      </c>
      <c r="P840">
        <v>118</v>
      </c>
      <c r="Q840" t="str">
        <f t="shared" si="117"/>
        <v>Weekday</v>
      </c>
      <c r="R840" t="str">
        <f t="shared" si="118"/>
        <v>Clear</v>
      </c>
      <c r="S840" t="str">
        <f t="shared" si="119"/>
        <v>Morning</v>
      </c>
      <c r="T840" t="str">
        <f t="shared" si="120"/>
        <v>February</v>
      </c>
      <c r="U840" t="str">
        <f t="shared" si="121"/>
        <v>Spring</v>
      </c>
      <c r="V840">
        <f t="shared" si="122"/>
        <v>0.22929155386993369</v>
      </c>
      <c r="W840">
        <f t="shared" si="123"/>
        <v>-0.25435329828790432</v>
      </c>
      <c r="X840">
        <f t="shared" si="124"/>
        <v>0.10399668008577614</v>
      </c>
      <c r="Y840">
        <f t="shared" si="125"/>
        <v>0.36604748519325236</v>
      </c>
    </row>
    <row r="841" spans="1:25" x14ac:dyDescent="0.3">
      <c r="A841">
        <v>840</v>
      </c>
      <c r="B841" s="1">
        <v>40581</v>
      </c>
      <c r="C841">
        <v>1</v>
      </c>
      <c r="D841">
        <v>0</v>
      </c>
      <c r="E841">
        <v>2</v>
      </c>
      <c r="F841">
        <v>10</v>
      </c>
      <c r="G841" t="b">
        <v>0</v>
      </c>
      <c r="H841">
        <v>1</v>
      </c>
      <c r="I841">
        <v>1</v>
      </c>
      <c r="J841">
        <v>0.24</v>
      </c>
      <c r="K841">
        <v>0.2576</v>
      </c>
      <c r="L841">
        <v>0.75</v>
      </c>
      <c r="M841">
        <v>0.1045</v>
      </c>
      <c r="N841">
        <v>6</v>
      </c>
      <c r="O841">
        <v>49</v>
      </c>
      <c r="P841">
        <v>55</v>
      </c>
      <c r="Q841" t="str">
        <f t="shared" si="117"/>
        <v>Weekday</v>
      </c>
      <c r="R841" t="str">
        <f t="shared" si="118"/>
        <v>Clear</v>
      </c>
      <c r="S841" t="str">
        <f t="shared" si="119"/>
        <v>Morning</v>
      </c>
      <c r="T841" t="str">
        <f t="shared" si="120"/>
        <v>February</v>
      </c>
      <c r="U841" t="str">
        <f t="shared" si="121"/>
        <v>Spring</v>
      </c>
      <c r="V841">
        <f t="shared" si="122"/>
        <v>0.22929155386993369</v>
      </c>
      <c r="W841">
        <f t="shared" si="123"/>
        <v>-0.25435329828790432</v>
      </c>
      <c r="X841">
        <f t="shared" si="124"/>
        <v>0.10399668008577614</v>
      </c>
      <c r="Y841">
        <f t="shared" si="125"/>
        <v>0.36604748519325236</v>
      </c>
    </row>
    <row r="842" spans="1:25" x14ac:dyDescent="0.3">
      <c r="A842">
        <v>841</v>
      </c>
      <c r="B842" s="1">
        <v>40581</v>
      </c>
      <c r="C842">
        <v>1</v>
      </c>
      <c r="D842">
        <v>0</v>
      </c>
      <c r="E842">
        <v>2</v>
      </c>
      <c r="F842">
        <v>11</v>
      </c>
      <c r="G842" t="b">
        <v>0</v>
      </c>
      <c r="H842">
        <v>1</v>
      </c>
      <c r="I842">
        <v>1</v>
      </c>
      <c r="J842">
        <v>0.3</v>
      </c>
      <c r="K842">
        <v>0.31819999999999998</v>
      </c>
      <c r="L842">
        <v>0.65</v>
      </c>
      <c r="M842">
        <v>8.9599999999999999E-2</v>
      </c>
      <c r="N842">
        <v>11</v>
      </c>
      <c r="O842">
        <v>36</v>
      </c>
      <c r="P842">
        <v>47</v>
      </c>
      <c r="Q842" t="str">
        <f t="shared" si="117"/>
        <v>Weekday</v>
      </c>
      <c r="R842" t="str">
        <f t="shared" si="118"/>
        <v>Clear</v>
      </c>
      <c r="S842" t="str">
        <f t="shared" si="119"/>
        <v>Morning</v>
      </c>
      <c r="T842" t="str">
        <f t="shared" si="120"/>
        <v>February</v>
      </c>
      <c r="U842" t="str">
        <f t="shared" si="121"/>
        <v>Spring</v>
      </c>
      <c r="V842">
        <f t="shared" si="122"/>
        <v>0.22929155386993369</v>
      </c>
      <c r="W842">
        <f t="shared" si="123"/>
        <v>-0.25435329828790432</v>
      </c>
      <c r="X842">
        <f t="shared" si="124"/>
        <v>0.10399668008577614</v>
      </c>
      <c r="Y842">
        <f t="shared" si="125"/>
        <v>0.36604748519325236</v>
      </c>
    </row>
    <row r="843" spans="1:25" x14ac:dyDescent="0.3">
      <c r="A843">
        <v>842</v>
      </c>
      <c r="B843" s="1">
        <v>40581</v>
      </c>
      <c r="C843">
        <v>1</v>
      </c>
      <c r="D843">
        <v>0</v>
      </c>
      <c r="E843">
        <v>2</v>
      </c>
      <c r="F843">
        <v>12</v>
      </c>
      <c r="G843" t="b">
        <v>0</v>
      </c>
      <c r="H843">
        <v>1</v>
      </c>
      <c r="I843">
        <v>2</v>
      </c>
      <c r="J843">
        <v>0.32</v>
      </c>
      <c r="K843">
        <v>0.34849999999999998</v>
      </c>
      <c r="L843">
        <v>0.62</v>
      </c>
      <c r="M843">
        <v>0</v>
      </c>
      <c r="N843">
        <v>7</v>
      </c>
      <c r="O843">
        <v>59</v>
      </c>
      <c r="P843">
        <v>66</v>
      </c>
      <c r="Q843" t="str">
        <f t="shared" si="117"/>
        <v>Weekday</v>
      </c>
      <c r="R843" t="str">
        <f t="shared" si="118"/>
        <v>Mist/Cloudy</v>
      </c>
      <c r="S843" t="str">
        <f t="shared" si="119"/>
        <v>Afternoon</v>
      </c>
      <c r="T843" t="str">
        <f t="shared" si="120"/>
        <v>February</v>
      </c>
      <c r="U843" t="str">
        <f t="shared" si="121"/>
        <v>Spring</v>
      </c>
      <c r="V843">
        <f t="shared" si="122"/>
        <v>0.22929155386993369</v>
      </c>
      <c r="W843">
        <f t="shared" si="123"/>
        <v>-0.25435329828790432</v>
      </c>
      <c r="X843">
        <f t="shared" si="124"/>
        <v>0.10399668008577614</v>
      </c>
      <c r="Y843">
        <f t="shared" si="125"/>
        <v>0.36604748519325236</v>
      </c>
    </row>
    <row r="844" spans="1:25" x14ac:dyDescent="0.3">
      <c r="A844">
        <v>843</v>
      </c>
      <c r="B844" s="1">
        <v>40581</v>
      </c>
      <c r="C844">
        <v>1</v>
      </c>
      <c r="D844">
        <v>0</v>
      </c>
      <c r="E844">
        <v>2</v>
      </c>
      <c r="F844">
        <v>13</v>
      </c>
      <c r="G844" t="b">
        <v>0</v>
      </c>
      <c r="H844">
        <v>1</v>
      </c>
      <c r="I844">
        <v>2</v>
      </c>
      <c r="J844">
        <v>0.36</v>
      </c>
      <c r="K844">
        <v>0.36359999999999998</v>
      </c>
      <c r="L844">
        <v>0.56999999999999995</v>
      </c>
      <c r="M844">
        <v>8.9599999999999999E-2</v>
      </c>
      <c r="N844">
        <v>10</v>
      </c>
      <c r="O844">
        <v>54</v>
      </c>
      <c r="P844">
        <v>64</v>
      </c>
      <c r="Q844" t="str">
        <f t="shared" si="117"/>
        <v>Weekday</v>
      </c>
      <c r="R844" t="str">
        <f t="shared" si="118"/>
        <v>Mist/Cloudy</v>
      </c>
      <c r="S844" t="str">
        <f t="shared" si="119"/>
        <v>Afternoon</v>
      </c>
      <c r="T844" t="str">
        <f t="shared" si="120"/>
        <v>February</v>
      </c>
      <c r="U844" t="str">
        <f t="shared" si="121"/>
        <v>Spring</v>
      </c>
      <c r="V844">
        <f t="shared" si="122"/>
        <v>0.22929155386993369</v>
      </c>
      <c r="W844">
        <f t="shared" si="123"/>
        <v>-0.25435329828790432</v>
      </c>
      <c r="X844">
        <f t="shared" si="124"/>
        <v>0.10399668008577614</v>
      </c>
      <c r="Y844">
        <f t="shared" si="125"/>
        <v>0.36604748519325236</v>
      </c>
    </row>
    <row r="845" spans="1:25" x14ac:dyDescent="0.3">
      <c r="A845">
        <v>844</v>
      </c>
      <c r="B845" s="1">
        <v>40581</v>
      </c>
      <c r="C845">
        <v>1</v>
      </c>
      <c r="D845">
        <v>0</v>
      </c>
      <c r="E845">
        <v>2</v>
      </c>
      <c r="F845">
        <v>14</v>
      </c>
      <c r="G845" t="b">
        <v>0</v>
      </c>
      <c r="H845">
        <v>1</v>
      </c>
      <c r="I845">
        <v>2</v>
      </c>
      <c r="J845">
        <v>0.36</v>
      </c>
      <c r="K845">
        <v>0.36359999999999998</v>
      </c>
      <c r="L845">
        <v>0.56999999999999995</v>
      </c>
      <c r="M845">
        <v>8.9599999999999999E-2</v>
      </c>
      <c r="N845">
        <v>8</v>
      </c>
      <c r="O845">
        <v>52</v>
      </c>
      <c r="P845">
        <v>60</v>
      </c>
      <c r="Q845" t="str">
        <f t="shared" si="117"/>
        <v>Weekday</v>
      </c>
      <c r="R845" t="str">
        <f t="shared" si="118"/>
        <v>Mist/Cloudy</v>
      </c>
      <c r="S845" t="str">
        <f t="shared" si="119"/>
        <v>Afternoon</v>
      </c>
      <c r="T845" t="str">
        <f t="shared" si="120"/>
        <v>February</v>
      </c>
      <c r="U845" t="str">
        <f t="shared" si="121"/>
        <v>Spring</v>
      </c>
      <c r="V845">
        <f t="shared" si="122"/>
        <v>0.22929155386993369</v>
      </c>
      <c r="W845">
        <f t="shared" si="123"/>
        <v>-0.25435329828790432</v>
      </c>
      <c r="X845">
        <f t="shared" si="124"/>
        <v>0.10399668008577614</v>
      </c>
      <c r="Y845">
        <f t="shared" si="125"/>
        <v>0.36604748519325236</v>
      </c>
    </row>
    <row r="846" spans="1:25" x14ac:dyDescent="0.3">
      <c r="A846">
        <v>845</v>
      </c>
      <c r="B846" s="1">
        <v>40581</v>
      </c>
      <c r="C846">
        <v>1</v>
      </c>
      <c r="D846">
        <v>0</v>
      </c>
      <c r="E846">
        <v>2</v>
      </c>
      <c r="F846">
        <v>15</v>
      </c>
      <c r="G846" t="b">
        <v>0</v>
      </c>
      <c r="H846">
        <v>1</v>
      </c>
      <c r="I846">
        <v>2</v>
      </c>
      <c r="J846">
        <v>0.38</v>
      </c>
      <c r="K846">
        <v>0.39389999999999997</v>
      </c>
      <c r="L846">
        <v>0.54</v>
      </c>
      <c r="M846">
        <v>8.9599999999999999E-2</v>
      </c>
      <c r="N846">
        <v>4</v>
      </c>
      <c r="O846">
        <v>46</v>
      </c>
      <c r="P846">
        <v>50</v>
      </c>
      <c r="Q846" t="str">
        <f t="shared" si="117"/>
        <v>Weekday</v>
      </c>
      <c r="R846" t="str">
        <f t="shared" si="118"/>
        <v>Mist/Cloudy</v>
      </c>
      <c r="S846" t="str">
        <f t="shared" si="119"/>
        <v>Afternoon</v>
      </c>
      <c r="T846" t="str">
        <f t="shared" si="120"/>
        <v>February</v>
      </c>
      <c r="U846" t="str">
        <f t="shared" si="121"/>
        <v>Spring</v>
      </c>
      <c r="V846">
        <f t="shared" si="122"/>
        <v>0.22929155386993369</v>
      </c>
      <c r="W846">
        <f t="shared" si="123"/>
        <v>-0.25435329828790432</v>
      </c>
      <c r="X846">
        <f t="shared" si="124"/>
        <v>0.10399668008577614</v>
      </c>
      <c r="Y846">
        <f t="shared" si="125"/>
        <v>0.36604748519325236</v>
      </c>
    </row>
    <row r="847" spans="1:25" x14ac:dyDescent="0.3">
      <c r="A847">
        <v>846</v>
      </c>
      <c r="B847" s="1">
        <v>40581</v>
      </c>
      <c r="C847">
        <v>1</v>
      </c>
      <c r="D847">
        <v>0</v>
      </c>
      <c r="E847">
        <v>2</v>
      </c>
      <c r="F847">
        <v>16</v>
      </c>
      <c r="G847" t="b">
        <v>0</v>
      </c>
      <c r="H847">
        <v>1</v>
      </c>
      <c r="I847">
        <v>2</v>
      </c>
      <c r="J847">
        <v>0.36</v>
      </c>
      <c r="K847">
        <v>0.34849999999999998</v>
      </c>
      <c r="L847">
        <v>0.56999999999999995</v>
      </c>
      <c r="M847">
        <v>0.1343</v>
      </c>
      <c r="N847">
        <v>16</v>
      </c>
      <c r="O847">
        <v>98</v>
      </c>
      <c r="P847">
        <v>114</v>
      </c>
      <c r="Q847" t="str">
        <f t="shared" si="117"/>
        <v>Weekday</v>
      </c>
      <c r="R847" t="str">
        <f t="shared" si="118"/>
        <v>Mist/Cloudy</v>
      </c>
      <c r="S847" t="str">
        <f t="shared" si="119"/>
        <v>Afternoon</v>
      </c>
      <c r="T847" t="str">
        <f t="shared" si="120"/>
        <v>February</v>
      </c>
      <c r="U847" t="str">
        <f t="shared" si="121"/>
        <v>Spring</v>
      </c>
      <c r="V847">
        <f t="shared" si="122"/>
        <v>0.22929155386993369</v>
      </c>
      <c r="W847">
        <f t="shared" si="123"/>
        <v>-0.25435329828790432</v>
      </c>
      <c r="X847">
        <f t="shared" si="124"/>
        <v>0.10399668008577614</v>
      </c>
      <c r="Y847">
        <f t="shared" si="125"/>
        <v>0.36604748519325236</v>
      </c>
    </row>
    <row r="848" spans="1:25" x14ac:dyDescent="0.3">
      <c r="A848">
        <v>847</v>
      </c>
      <c r="B848" s="1">
        <v>40581</v>
      </c>
      <c r="C848">
        <v>1</v>
      </c>
      <c r="D848">
        <v>0</v>
      </c>
      <c r="E848">
        <v>2</v>
      </c>
      <c r="F848">
        <v>17</v>
      </c>
      <c r="G848" t="b">
        <v>0</v>
      </c>
      <c r="H848">
        <v>1</v>
      </c>
      <c r="I848">
        <v>2</v>
      </c>
      <c r="J848">
        <v>0.32</v>
      </c>
      <c r="K848">
        <v>0.31819999999999998</v>
      </c>
      <c r="L848">
        <v>0.7</v>
      </c>
      <c r="M848">
        <v>0.16420000000000001</v>
      </c>
      <c r="N848">
        <v>9</v>
      </c>
      <c r="O848">
        <v>207</v>
      </c>
      <c r="P848">
        <v>216</v>
      </c>
      <c r="Q848" t="str">
        <f t="shared" si="117"/>
        <v>Weekday</v>
      </c>
      <c r="R848" t="str">
        <f t="shared" si="118"/>
        <v>Mist/Cloudy</v>
      </c>
      <c r="S848" t="str">
        <f t="shared" si="119"/>
        <v>Evening</v>
      </c>
      <c r="T848" t="str">
        <f t="shared" si="120"/>
        <v>February</v>
      </c>
      <c r="U848" t="str">
        <f t="shared" si="121"/>
        <v>Spring</v>
      </c>
      <c r="V848">
        <f t="shared" si="122"/>
        <v>0.22929155386993369</v>
      </c>
      <c r="W848">
        <f t="shared" si="123"/>
        <v>-0.25435329828790432</v>
      </c>
      <c r="X848">
        <f t="shared" si="124"/>
        <v>0.10399668008577614</v>
      </c>
      <c r="Y848">
        <f t="shared" si="125"/>
        <v>0.36604748519325236</v>
      </c>
    </row>
    <row r="849" spans="1:25" x14ac:dyDescent="0.3">
      <c r="A849">
        <v>848</v>
      </c>
      <c r="B849" s="1">
        <v>40581</v>
      </c>
      <c r="C849">
        <v>1</v>
      </c>
      <c r="D849">
        <v>0</v>
      </c>
      <c r="E849">
        <v>2</v>
      </c>
      <c r="F849">
        <v>18</v>
      </c>
      <c r="G849" t="b">
        <v>0</v>
      </c>
      <c r="H849">
        <v>1</v>
      </c>
      <c r="I849">
        <v>2</v>
      </c>
      <c r="J849">
        <v>0.34</v>
      </c>
      <c r="K849">
        <v>0.33329999999999999</v>
      </c>
      <c r="L849">
        <v>0.66</v>
      </c>
      <c r="M849">
        <v>0.1343</v>
      </c>
      <c r="N849">
        <v>5</v>
      </c>
      <c r="O849">
        <v>170</v>
      </c>
      <c r="P849">
        <v>175</v>
      </c>
      <c r="Q849" t="str">
        <f t="shared" si="117"/>
        <v>Weekday</v>
      </c>
      <c r="R849" t="str">
        <f t="shared" si="118"/>
        <v>Mist/Cloudy</v>
      </c>
      <c r="S849" t="str">
        <f t="shared" si="119"/>
        <v>Evening</v>
      </c>
      <c r="T849" t="str">
        <f t="shared" si="120"/>
        <v>February</v>
      </c>
      <c r="U849" t="str">
        <f t="shared" si="121"/>
        <v>Spring</v>
      </c>
      <c r="V849">
        <f t="shared" si="122"/>
        <v>0.22929155386993369</v>
      </c>
      <c r="W849">
        <f t="shared" si="123"/>
        <v>-0.25435329828790432</v>
      </c>
      <c r="X849">
        <f t="shared" si="124"/>
        <v>0.10399668008577614</v>
      </c>
      <c r="Y849">
        <f t="shared" si="125"/>
        <v>0.36604748519325236</v>
      </c>
    </row>
    <row r="850" spans="1:25" x14ac:dyDescent="0.3">
      <c r="A850">
        <v>849</v>
      </c>
      <c r="B850" s="1">
        <v>40581</v>
      </c>
      <c r="C850">
        <v>1</v>
      </c>
      <c r="D850">
        <v>0</v>
      </c>
      <c r="E850">
        <v>2</v>
      </c>
      <c r="F850">
        <v>19</v>
      </c>
      <c r="G850" t="b">
        <v>0</v>
      </c>
      <c r="H850">
        <v>1</v>
      </c>
      <c r="I850">
        <v>2</v>
      </c>
      <c r="J850">
        <v>0.32</v>
      </c>
      <c r="K850">
        <v>0.34849999999999998</v>
      </c>
      <c r="L850">
        <v>0.7</v>
      </c>
      <c r="M850">
        <v>0</v>
      </c>
      <c r="N850">
        <v>5</v>
      </c>
      <c r="O850">
        <v>123</v>
      </c>
      <c r="P850">
        <v>128</v>
      </c>
      <c r="Q850" t="str">
        <f t="shared" si="117"/>
        <v>Weekday</v>
      </c>
      <c r="R850" t="str">
        <f t="shared" si="118"/>
        <v>Mist/Cloudy</v>
      </c>
      <c r="S850" t="str">
        <f t="shared" si="119"/>
        <v>Evening</v>
      </c>
      <c r="T850" t="str">
        <f t="shared" si="120"/>
        <v>February</v>
      </c>
      <c r="U850" t="str">
        <f t="shared" si="121"/>
        <v>Spring</v>
      </c>
      <c r="V850">
        <f t="shared" si="122"/>
        <v>0.22929155386993369</v>
      </c>
      <c r="W850">
        <f t="shared" si="123"/>
        <v>-0.25435329828790432</v>
      </c>
      <c r="X850">
        <f t="shared" si="124"/>
        <v>0.10399668008577614</v>
      </c>
      <c r="Y850">
        <f t="shared" si="125"/>
        <v>0.36604748519325236</v>
      </c>
    </row>
    <row r="851" spans="1:25" x14ac:dyDescent="0.3">
      <c r="A851">
        <v>850</v>
      </c>
      <c r="B851" s="1">
        <v>40581</v>
      </c>
      <c r="C851">
        <v>1</v>
      </c>
      <c r="D851">
        <v>0</v>
      </c>
      <c r="E851">
        <v>2</v>
      </c>
      <c r="F851">
        <v>20</v>
      </c>
      <c r="G851" t="b">
        <v>0</v>
      </c>
      <c r="H851">
        <v>1</v>
      </c>
      <c r="I851">
        <v>2</v>
      </c>
      <c r="J851">
        <v>0.32</v>
      </c>
      <c r="K851">
        <v>0.33329999999999999</v>
      </c>
      <c r="L851">
        <v>0.7</v>
      </c>
      <c r="M851">
        <v>0.1045</v>
      </c>
      <c r="N851">
        <v>6</v>
      </c>
      <c r="O851">
        <v>82</v>
      </c>
      <c r="P851">
        <v>88</v>
      </c>
      <c r="Q851" t="str">
        <f t="shared" si="117"/>
        <v>Weekday</v>
      </c>
      <c r="R851" t="str">
        <f t="shared" si="118"/>
        <v>Mist/Cloudy</v>
      </c>
      <c r="S851" t="str">
        <f t="shared" si="119"/>
        <v>Evening</v>
      </c>
      <c r="T851" t="str">
        <f t="shared" si="120"/>
        <v>February</v>
      </c>
      <c r="U851" t="str">
        <f t="shared" si="121"/>
        <v>Spring</v>
      </c>
      <c r="V851">
        <f t="shared" si="122"/>
        <v>0.22929155386993369</v>
      </c>
      <c r="W851">
        <f t="shared" si="123"/>
        <v>-0.25435329828790432</v>
      </c>
      <c r="X851">
        <f t="shared" si="124"/>
        <v>0.10399668008577614</v>
      </c>
      <c r="Y851">
        <f t="shared" si="125"/>
        <v>0.36604748519325236</v>
      </c>
    </row>
    <row r="852" spans="1:25" x14ac:dyDescent="0.3">
      <c r="A852">
        <v>851</v>
      </c>
      <c r="B852" s="1">
        <v>40581</v>
      </c>
      <c r="C852">
        <v>1</v>
      </c>
      <c r="D852">
        <v>0</v>
      </c>
      <c r="E852">
        <v>2</v>
      </c>
      <c r="F852">
        <v>21</v>
      </c>
      <c r="G852" t="b">
        <v>0</v>
      </c>
      <c r="H852">
        <v>1</v>
      </c>
      <c r="I852">
        <v>1</v>
      </c>
      <c r="J852">
        <v>0.32</v>
      </c>
      <c r="K852">
        <v>0.34849999999999998</v>
      </c>
      <c r="L852">
        <v>0.7</v>
      </c>
      <c r="M852">
        <v>0</v>
      </c>
      <c r="N852">
        <v>3</v>
      </c>
      <c r="O852">
        <v>75</v>
      </c>
      <c r="P852">
        <v>78</v>
      </c>
      <c r="Q852" t="str">
        <f t="shared" si="117"/>
        <v>Weekday</v>
      </c>
      <c r="R852" t="str">
        <f t="shared" si="118"/>
        <v>Clear</v>
      </c>
      <c r="S852" t="str">
        <f t="shared" si="119"/>
        <v>Night</v>
      </c>
      <c r="T852" t="str">
        <f t="shared" si="120"/>
        <v>February</v>
      </c>
      <c r="U852" t="str">
        <f t="shared" si="121"/>
        <v>Spring</v>
      </c>
      <c r="V852">
        <f t="shared" si="122"/>
        <v>0.22929155386993369</v>
      </c>
      <c r="W852">
        <f t="shared" si="123"/>
        <v>-0.25435329828790432</v>
      </c>
      <c r="X852">
        <f t="shared" si="124"/>
        <v>0.10399668008577614</v>
      </c>
      <c r="Y852">
        <f t="shared" si="125"/>
        <v>0.36604748519325236</v>
      </c>
    </row>
    <row r="853" spans="1:25" x14ac:dyDescent="0.3">
      <c r="A853">
        <v>852</v>
      </c>
      <c r="B853" s="1">
        <v>40581</v>
      </c>
      <c r="C853">
        <v>1</v>
      </c>
      <c r="D853">
        <v>0</v>
      </c>
      <c r="E853">
        <v>2</v>
      </c>
      <c r="F853">
        <v>22</v>
      </c>
      <c r="G853" t="b">
        <v>0</v>
      </c>
      <c r="H853">
        <v>1</v>
      </c>
      <c r="I853">
        <v>1</v>
      </c>
      <c r="J853">
        <v>0.28000000000000003</v>
      </c>
      <c r="K853">
        <v>0.30299999999999999</v>
      </c>
      <c r="L853">
        <v>0.81</v>
      </c>
      <c r="M853">
        <v>8.9599999999999999E-2</v>
      </c>
      <c r="N853">
        <v>3</v>
      </c>
      <c r="O853">
        <v>34</v>
      </c>
      <c r="P853">
        <v>37</v>
      </c>
      <c r="Q853" t="str">
        <f t="shared" si="117"/>
        <v>Weekday</v>
      </c>
      <c r="R853" t="str">
        <f t="shared" si="118"/>
        <v>Clear</v>
      </c>
      <c r="S853" t="str">
        <f t="shared" si="119"/>
        <v>Night</v>
      </c>
      <c r="T853" t="str">
        <f t="shared" si="120"/>
        <v>February</v>
      </c>
      <c r="U853" t="str">
        <f t="shared" si="121"/>
        <v>Spring</v>
      </c>
      <c r="V853">
        <f t="shared" si="122"/>
        <v>0.22929155386993369</v>
      </c>
      <c r="W853">
        <f t="shared" si="123"/>
        <v>-0.25435329828790432</v>
      </c>
      <c r="X853">
        <f t="shared" si="124"/>
        <v>0.10399668008577614</v>
      </c>
      <c r="Y853">
        <f t="shared" si="125"/>
        <v>0.36604748519325236</v>
      </c>
    </row>
    <row r="854" spans="1:25" x14ac:dyDescent="0.3">
      <c r="A854">
        <v>853</v>
      </c>
      <c r="B854" s="1">
        <v>40581</v>
      </c>
      <c r="C854">
        <v>1</v>
      </c>
      <c r="D854">
        <v>0</v>
      </c>
      <c r="E854">
        <v>2</v>
      </c>
      <c r="F854">
        <v>23</v>
      </c>
      <c r="G854" t="b">
        <v>0</v>
      </c>
      <c r="H854">
        <v>1</v>
      </c>
      <c r="I854">
        <v>2</v>
      </c>
      <c r="J854">
        <v>0.3</v>
      </c>
      <c r="K854">
        <v>0.33329999999999999</v>
      </c>
      <c r="L854">
        <v>0.81</v>
      </c>
      <c r="M854">
        <v>0</v>
      </c>
      <c r="N854">
        <v>6</v>
      </c>
      <c r="O854">
        <v>19</v>
      </c>
      <c r="P854">
        <v>25</v>
      </c>
      <c r="Q854" t="str">
        <f t="shared" si="117"/>
        <v>Weekday</v>
      </c>
      <c r="R854" t="str">
        <f t="shared" si="118"/>
        <v>Mist/Cloudy</v>
      </c>
      <c r="S854" t="str">
        <f t="shared" si="119"/>
        <v>Night</v>
      </c>
      <c r="T854" t="str">
        <f t="shared" si="120"/>
        <v>February</v>
      </c>
      <c r="U854" t="str">
        <f t="shared" si="121"/>
        <v>Spring</v>
      </c>
      <c r="V854">
        <f t="shared" si="122"/>
        <v>0.22929155386993369</v>
      </c>
      <c r="W854">
        <f t="shared" si="123"/>
        <v>-0.25435329828790432</v>
      </c>
      <c r="X854">
        <f t="shared" si="124"/>
        <v>0.10399668008577614</v>
      </c>
      <c r="Y854">
        <f t="shared" si="125"/>
        <v>0.36604748519325236</v>
      </c>
    </row>
    <row r="855" spans="1:25" x14ac:dyDescent="0.3">
      <c r="A855">
        <v>854</v>
      </c>
      <c r="B855" s="1">
        <v>40582</v>
      </c>
      <c r="C855">
        <v>1</v>
      </c>
      <c r="D855">
        <v>0</v>
      </c>
      <c r="E855">
        <v>2</v>
      </c>
      <c r="F855">
        <v>0</v>
      </c>
      <c r="G855" t="b">
        <v>0</v>
      </c>
      <c r="H855">
        <v>2</v>
      </c>
      <c r="I855">
        <v>2</v>
      </c>
      <c r="J855">
        <v>0.28000000000000003</v>
      </c>
      <c r="K855">
        <v>0.31819999999999998</v>
      </c>
      <c r="L855">
        <v>0.87</v>
      </c>
      <c r="M855">
        <v>0</v>
      </c>
      <c r="N855">
        <v>4</v>
      </c>
      <c r="O855">
        <v>6</v>
      </c>
      <c r="P855">
        <v>10</v>
      </c>
      <c r="Q855" t="str">
        <f t="shared" si="117"/>
        <v>Weekday</v>
      </c>
      <c r="R855" t="str">
        <f t="shared" si="118"/>
        <v>Mist/Cloudy</v>
      </c>
      <c r="S855" t="str">
        <f t="shared" si="119"/>
        <v>Night</v>
      </c>
      <c r="T855" t="str">
        <f t="shared" si="120"/>
        <v>February</v>
      </c>
      <c r="U855" t="str">
        <f t="shared" si="121"/>
        <v>Spring</v>
      </c>
      <c r="V855">
        <f t="shared" si="122"/>
        <v>0.22929155386993369</v>
      </c>
      <c r="W855">
        <f t="shared" si="123"/>
        <v>-0.25435329828790432</v>
      </c>
      <c r="X855">
        <f t="shared" si="124"/>
        <v>0.10399668008577614</v>
      </c>
      <c r="Y855">
        <f t="shared" si="125"/>
        <v>0.36604748519325236</v>
      </c>
    </row>
    <row r="856" spans="1:25" x14ac:dyDescent="0.3">
      <c r="A856">
        <v>855</v>
      </c>
      <c r="B856" s="1">
        <v>40582</v>
      </c>
      <c r="C856">
        <v>1</v>
      </c>
      <c r="D856">
        <v>0</v>
      </c>
      <c r="E856">
        <v>2</v>
      </c>
      <c r="F856">
        <v>1</v>
      </c>
      <c r="G856" t="b">
        <v>0</v>
      </c>
      <c r="H856">
        <v>2</v>
      </c>
      <c r="I856">
        <v>2</v>
      </c>
      <c r="J856">
        <v>0.28000000000000003</v>
      </c>
      <c r="K856">
        <v>0.31819999999999998</v>
      </c>
      <c r="L856">
        <v>0.87</v>
      </c>
      <c r="M856">
        <v>0</v>
      </c>
      <c r="N856">
        <v>0</v>
      </c>
      <c r="O856">
        <v>4</v>
      </c>
      <c r="P856">
        <v>4</v>
      </c>
      <c r="Q856" t="str">
        <f t="shared" si="117"/>
        <v>Weekday</v>
      </c>
      <c r="R856" t="str">
        <f t="shared" si="118"/>
        <v>Mist/Cloudy</v>
      </c>
      <c r="S856" t="str">
        <f t="shared" si="119"/>
        <v>Night</v>
      </c>
      <c r="T856" t="str">
        <f t="shared" si="120"/>
        <v>February</v>
      </c>
      <c r="U856" t="str">
        <f t="shared" si="121"/>
        <v>Spring</v>
      </c>
      <c r="V856">
        <f t="shared" si="122"/>
        <v>0.22929155386993369</v>
      </c>
      <c r="W856">
        <f t="shared" si="123"/>
        <v>-0.25435329828790432</v>
      </c>
      <c r="X856">
        <f t="shared" si="124"/>
        <v>0.10399668008577614</v>
      </c>
      <c r="Y856">
        <f t="shared" si="125"/>
        <v>0.36604748519325236</v>
      </c>
    </row>
    <row r="857" spans="1:25" x14ac:dyDescent="0.3">
      <c r="A857">
        <v>856</v>
      </c>
      <c r="B857" s="1">
        <v>40582</v>
      </c>
      <c r="C857">
        <v>1</v>
      </c>
      <c r="D857">
        <v>0</v>
      </c>
      <c r="E857">
        <v>2</v>
      </c>
      <c r="F857">
        <v>2</v>
      </c>
      <c r="G857" t="b">
        <v>0</v>
      </c>
      <c r="H857">
        <v>2</v>
      </c>
      <c r="I857">
        <v>2</v>
      </c>
      <c r="J857">
        <v>0.26</v>
      </c>
      <c r="K857">
        <v>0.2727</v>
      </c>
      <c r="L857">
        <v>0.93</v>
      </c>
      <c r="M857">
        <v>0.1045</v>
      </c>
      <c r="N857">
        <v>1</v>
      </c>
      <c r="O857">
        <v>1</v>
      </c>
      <c r="P857">
        <v>2</v>
      </c>
      <c r="Q857" t="str">
        <f t="shared" si="117"/>
        <v>Weekday</v>
      </c>
      <c r="R857" t="str">
        <f t="shared" si="118"/>
        <v>Mist/Cloudy</v>
      </c>
      <c r="S857" t="str">
        <f t="shared" si="119"/>
        <v>Night</v>
      </c>
      <c r="T857" t="str">
        <f t="shared" si="120"/>
        <v>February</v>
      </c>
      <c r="U857" t="str">
        <f t="shared" si="121"/>
        <v>Spring</v>
      </c>
      <c r="V857">
        <f t="shared" si="122"/>
        <v>0.22929155386993369</v>
      </c>
      <c r="W857">
        <f t="shared" si="123"/>
        <v>-0.25435329828790432</v>
      </c>
      <c r="X857">
        <f t="shared" si="124"/>
        <v>0.10399668008577614</v>
      </c>
      <c r="Y857">
        <f t="shared" si="125"/>
        <v>0.36604748519325236</v>
      </c>
    </row>
    <row r="858" spans="1:25" x14ac:dyDescent="0.3">
      <c r="A858">
        <v>857</v>
      </c>
      <c r="B858" s="1">
        <v>40582</v>
      </c>
      <c r="C858">
        <v>1</v>
      </c>
      <c r="D858">
        <v>0</v>
      </c>
      <c r="E858">
        <v>2</v>
      </c>
      <c r="F858">
        <v>3</v>
      </c>
      <c r="G858" t="b">
        <v>0</v>
      </c>
      <c r="H858">
        <v>2</v>
      </c>
      <c r="I858">
        <v>3</v>
      </c>
      <c r="J858">
        <v>0.28000000000000003</v>
      </c>
      <c r="K858">
        <v>0.2727</v>
      </c>
      <c r="L858">
        <v>0.93</v>
      </c>
      <c r="M858">
        <v>0.16420000000000001</v>
      </c>
      <c r="N858">
        <v>0</v>
      </c>
      <c r="O858">
        <v>1</v>
      </c>
      <c r="P858">
        <v>1</v>
      </c>
      <c r="Q858" t="str">
        <f t="shared" si="117"/>
        <v>Weekday</v>
      </c>
      <c r="R858" t="str">
        <f t="shared" si="118"/>
        <v>Light Rain/Snow</v>
      </c>
      <c r="S858" t="str">
        <f t="shared" si="119"/>
        <v>Night</v>
      </c>
      <c r="T858" t="str">
        <f t="shared" si="120"/>
        <v>February</v>
      </c>
      <c r="U858" t="str">
        <f t="shared" si="121"/>
        <v>Spring</v>
      </c>
      <c r="V858">
        <f t="shared" si="122"/>
        <v>0.22929155386993369</v>
      </c>
      <c r="W858">
        <f t="shared" si="123"/>
        <v>-0.25435329828790432</v>
      </c>
      <c r="X858">
        <f t="shared" si="124"/>
        <v>0.10399668008577614</v>
      </c>
      <c r="Y858">
        <f t="shared" si="125"/>
        <v>0.36604748519325236</v>
      </c>
    </row>
    <row r="859" spans="1:25" x14ac:dyDescent="0.3">
      <c r="A859">
        <v>858</v>
      </c>
      <c r="B859" s="1">
        <v>40582</v>
      </c>
      <c r="C859">
        <v>1</v>
      </c>
      <c r="D859">
        <v>0</v>
      </c>
      <c r="E859">
        <v>2</v>
      </c>
      <c r="F859">
        <v>4</v>
      </c>
      <c r="G859" t="b">
        <v>0</v>
      </c>
      <c r="H859">
        <v>2</v>
      </c>
      <c r="I859">
        <v>1</v>
      </c>
      <c r="J859">
        <v>0.26</v>
      </c>
      <c r="K859">
        <v>0.2576</v>
      </c>
      <c r="L859">
        <v>0.93</v>
      </c>
      <c r="M859">
        <v>0.16420000000000001</v>
      </c>
      <c r="N859">
        <v>0</v>
      </c>
      <c r="O859">
        <v>3</v>
      </c>
      <c r="P859">
        <v>3</v>
      </c>
      <c r="Q859" t="str">
        <f t="shared" si="117"/>
        <v>Weekday</v>
      </c>
      <c r="R859" t="str">
        <f t="shared" si="118"/>
        <v>Clear</v>
      </c>
      <c r="S859" t="str">
        <f t="shared" si="119"/>
        <v>Night</v>
      </c>
      <c r="T859" t="str">
        <f t="shared" si="120"/>
        <v>February</v>
      </c>
      <c r="U859" t="str">
        <f t="shared" si="121"/>
        <v>Spring</v>
      </c>
      <c r="V859">
        <f t="shared" si="122"/>
        <v>0.22929155386993369</v>
      </c>
      <c r="W859">
        <f t="shared" si="123"/>
        <v>-0.25435329828790432</v>
      </c>
      <c r="X859">
        <f t="shared" si="124"/>
        <v>0.10399668008577614</v>
      </c>
      <c r="Y859">
        <f t="shared" si="125"/>
        <v>0.36604748519325236</v>
      </c>
    </row>
    <row r="860" spans="1:25" x14ac:dyDescent="0.3">
      <c r="A860">
        <v>859</v>
      </c>
      <c r="B860" s="1">
        <v>40582</v>
      </c>
      <c r="C860">
        <v>1</v>
      </c>
      <c r="D860">
        <v>0</v>
      </c>
      <c r="E860">
        <v>2</v>
      </c>
      <c r="F860">
        <v>5</v>
      </c>
      <c r="G860" t="b">
        <v>0</v>
      </c>
      <c r="H860">
        <v>2</v>
      </c>
      <c r="I860">
        <v>1</v>
      </c>
      <c r="J860">
        <v>0.26</v>
      </c>
      <c r="K860">
        <v>0.2273</v>
      </c>
      <c r="L860">
        <v>0.81</v>
      </c>
      <c r="M860">
        <v>0.32840000000000003</v>
      </c>
      <c r="N860">
        <v>0</v>
      </c>
      <c r="O860">
        <v>2</v>
      </c>
      <c r="P860">
        <v>2</v>
      </c>
      <c r="Q860" t="str">
        <f t="shared" si="117"/>
        <v>Weekday</v>
      </c>
      <c r="R860" t="str">
        <f t="shared" si="118"/>
        <v>Clear</v>
      </c>
      <c r="S860" t="str">
        <f t="shared" si="119"/>
        <v>Night</v>
      </c>
      <c r="T860" t="str">
        <f t="shared" si="120"/>
        <v>February</v>
      </c>
      <c r="U860" t="str">
        <f t="shared" si="121"/>
        <v>Spring</v>
      </c>
      <c r="V860">
        <f t="shared" si="122"/>
        <v>0.22929155386993369</v>
      </c>
      <c r="W860">
        <f t="shared" si="123"/>
        <v>-0.25435329828790432</v>
      </c>
      <c r="X860">
        <f t="shared" si="124"/>
        <v>0.10399668008577614</v>
      </c>
      <c r="Y860">
        <f t="shared" si="125"/>
        <v>0.36604748519325236</v>
      </c>
    </row>
    <row r="861" spans="1:25" x14ac:dyDescent="0.3">
      <c r="A861">
        <v>860</v>
      </c>
      <c r="B861" s="1">
        <v>40582</v>
      </c>
      <c r="C861">
        <v>1</v>
      </c>
      <c r="D861">
        <v>0</v>
      </c>
      <c r="E861">
        <v>2</v>
      </c>
      <c r="F861">
        <v>6</v>
      </c>
      <c r="G861" t="b">
        <v>0</v>
      </c>
      <c r="H861">
        <v>2</v>
      </c>
      <c r="I861">
        <v>1</v>
      </c>
      <c r="J861">
        <v>0.26</v>
      </c>
      <c r="K861">
        <v>0.2273</v>
      </c>
      <c r="L861">
        <v>0.7</v>
      </c>
      <c r="M861">
        <v>0.32840000000000003</v>
      </c>
      <c r="N861">
        <v>0</v>
      </c>
      <c r="O861">
        <v>39</v>
      </c>
      <c r="P861">
        <v>39</v>
      </c>
      <c r="Q861" t="str">
        <f t="shared" si="117"/>
        <v>Weekday</v>
      </c>
      <c r="R861" t="str">
        <f t="shared" si="118"/>
        <v>Clear</v>
      </c>
      <c r="S861" t="str">
        <f t="shared" si="119"/>
        <v>Morning</v>
      </c>
      <c r="T861" t="str">
        <f t="shared" si="120"/>
        <v>February</v>
      </c>
      <c r="U861" t="str">
        <f t="shared" si="121"/>
        <v>Spring</v>
      </c>
      <c r="V861">
        <f t="shared" si="122"/>
        <v>0.22929155386993369</v>
      </c>
      <c r="W861">
        <f t="shared" si="123"/>
        <v>-0.25435329828790432</v>
      </c>
      <c r="X861">
        <f t="shared" si="124"/>
        <v>0.10399668008577614</v>
      </c>
      <c r="Y861">
        <f t="shared" si="125"/>
        <v>0.36604748519325236</v>
      </c>
    </row>
    <row r="862" spans="1:25" x14ac:dyDescent="0.3">
      <c r="A862">
        <v>861</v>
      </c>
      <c r="B862" s="1">
        <v>40582</v>
      </c>
      <c r="C862">
        <v>1</v>
      </c>
      <c r="D862">
        <v>0</v>
      </c>
      <c r="E862">
        <v>2</v>
      </c>
      <c r="F862">
        <v>7</v>
      </c>
      <c r="G862" t="b">
        <v>0</v>
      </c>
      <c r="H862">
        <v>2</v>
      </c>
      <c r="I862">
        <v>1</v>
      </c>
      <c r="J862">
        <v>0.24</v>
      </c>
      <c r="K862">
        <v>0.19700000000000001</v>
      </c>
      <c r="L862">
        <v>0.65</v>
      </c>
      <c r="M862">
        <v>0.41789999999999999</v>
      </c>
      <c r="N862">
        <v>3</v>
      </c>
      <c r="O862">
        <v>97</v>
      </c>
      <c r="P862">
        <v>100</v>
      </c>
      <c r="Q862" t="str">
        <f t="shared" si="117"/>
        <v>Weekday</v>
      </c>
      <c r="R862" t="str">
        <f t="shared" si="118"/>
        <v>Clear</v>
      </c>
      <c r="S862" t="str">
        <f t="shared" si="119"/>
        <v>Morning</v>
      </c>
      <c r="T862" t="str">
        <f t="shared" si="120"/>
        <v>February</v>
      </c>
      <c r="U862" t="str">
        <f t="shared" si="121"/>
        <v>Spring</v>
      </c>
      <c r="V862">
        <f t="shared" si="122"/>
        <v>0.22929155386993369</v>
      </c>
      <c r="W862">
        <f t="shared" si="123"/>
        <v>-0.25435329828790432</v>
      </c>
      <c r="X862">
        <f t="shared" si="124"/>
        <v>0.10399668008577614</v>
      </c>
      <c r="Y862">
        <f t="shared" si="125"/>
        <v>0.36604748519325236</v>
      </c>
    </row>
    <row r="863" spans="1:25" x14ac:dyDescent="0.3">
      <c r="A863">
        <v>862</v>
      </c>
      <c r="B863" s="1">
        <v>40582</v>
      </c>
      <c r="C863">
        <v>1</v>
      </c>
      <c r="D863">
        <v>0</v>
      </c>
      <c r="E863">
        <v>2</v>
      </c>
      <c r="F863">
        <v>8</v>
      </c>
      <c r="G863" t="b">
        <v>0</v>
      </c>
      <c r="H863">
        <v>2</v>
      </c>
      <c r="I863">
        <v>1</v>
      </c>
      <c r="J863">
        <v>0.24</v>
      </c>
      <c r="K863">
        <v>0.19700000000000001</v>
      </c>
      <c r="L863">
        <v>0.56000000000000005</v>
      </c>
      <c r="M863">
        <v>0.49249999999999999</v>
      </c>
      <c r="N863">
        <v>7</v>
      </c>
      <c r="O863">
        <v>236</v>
      </c>
      <c r="P863">
        <v>243</v>
      </c>
      <c r="Q863" t="str">
        <f t="shared" si="117"/>
        <v>Weekday</v>
      </c>
      <c r="R863" t="str">
        <f t="shared" si="118"/>
        <v>Clear</v>
      </c>
      <c r="S863" t="str">
        <f t="shared" si="119"/>
        <v>Morning</v>
      </c>
      <c r="T863" t="str">
        <f t="shared" si="120"/>
        <v>February</v>
      </c>
      <c r="U863" t="str">
        <f t="shared" si="121"/>
        <v>Spring</v>
      </c>
      <c r="V863">
        <f t="shared" si="122"/>
        <v>0.22929155386993369</v>
      </c>
      <c r="W863">
        <f t="shared" si="123"/>
        <v>-0.25435329828790432</v>
      </c>
      <c r="X863">
        <f t="shared" si="124"/>
        <v>0.10399668008577614</v>
      </c>
      <c r="Y863">
        <f t="shared" si="125"/>
        <v>0.36604748519325236</v>
      </c>
    </row>
    <row r="864" spans="1:25" x14ac:dyDescent="0.3">
      <c r="A864">
        <v>863</v>
      </c>
      <c r="B864" s="1">
        <v>40582</v>
      </c>
      <c r="C864">
        <v>1</v>
      </c>
      <c r="D864">
        <v>0</v>
      </c>
      <c r="E864">
        <v>2</v>
      </c>
      <c r="F864">
        <v>9</v>
      </c>
      <c r="G864" t="b">
        <v>0</v>
      </c>
      <c r="H864">
        <v>2</v>
      </c>
      <c r="I864">
        <v>1</v>
      </c>
      <c r="J864">
        <v>0.24</v>
      </c>
      <c r="K864">
        <v>0.19700000000000001</v>
      </c>
      <c r="L864">
        <v>0.52</v>
      </c>
      <c r="M864">
        <v>0.49249999999999999</v>
      </c>
      <c r="N864">
        <v>7</v>
      </c>
      <c r="O864">
        <v>128</v>
      </c>
      <c r="P864">
        <v>135</v>
      </c>
      <c r="Q864" t="str">
        <f t="shared" si="117"/>
        <v>Weekday</v>
      </c>
      <c r="R864" t="str">
        <f t="shared" si="118"/>
        <v>Clear</v>
      </c>
      <c r="S864" t="str">
        <f t="shared" si="119"/>
        <v>Morning</v>
      </c>
      <c r="T864" t="str">
        <f t="shared" si="120"/>
        <v>February</v>
      </c>
      <c r="U864" t="str">
        <f t="shared" si="121"/>
        <v>Spring</v>
      </c>
      <c r="V864">
        <f t="shared" si="122"/>
        <v>0.22929155386993369</v>
      </c>
      <c r="W864">
        <f t="shared" si="123"/>
        <v>-0.25435329828790432</v>
      </c>
      <c r="X864">
        <f t="shared" si="124"/>
        <v>0.10399668008577614</v>
      </c>
      <c r="Y864">
        <f t="shared" si="125"/>
        <v>0.36604748519325236</v>
      </c>
    </row>
    <row r="865" spans="1:25" x14ac:dyDescent="0.3">
      <c r="A865">
        <v>864</v>
      </c>
      <c r="B865" s="1">
        <v>40582</v>
      </c>
      <c r="C865">
        <v>1</v>
      </c>
      <c r="D865">
        <v>0</v>
      </c>
      <c r="E865">
        <v>2</v>
      </c>
      <c r="F865">
        <v>10</v>
      </c>
      <c r="G865" t="b">
        <v>0</v>
      </c>
      <c r="H865">
        <v>2</v>
      </c>
      <c r="I865">
        <v>1</v>
      </c>
      <c r="J865">
        <v>0.22</v>
      </c>
      <c r="K865">
        <v>0.18179999999999999</v>
      </c>
      <c r="L865">
        <v>0.47</v>
      </c>
      <c r="M865">
        <v>0.55220000000000002</v>
      </c>
      <c r="N865">
        <v>4</v>
      </c>
      <c r="O865">
        <v>44</v>
      </c>
      <c r="P865">
        <v>48</v>
      </c>
      <c r="Q865" t="str">
        <f t="shared" si="117"/>
        <v>Weekday</v>
      </c>
      <c r="R865" t="str">
        <f t="shared" si="118"/>
        <v>Clear</v>
      </c>
      <c r="S865" t="str">
        <f t="shared" si="119"/>
        <v>Morning</v>
      </c>
      <c r="T865" t="str">
        <f t="shared" si="120"/>
        <v>February</v>
      </c>
      <c r="U865" t="str">
        <f t="shared" si="121"/>
        <v>Spring</v>
      </c>
      <c r="V865">
        <f t="shared" si="122"/>
        <v>0.22929155386993369</v>
      </c>
      <c r="W865">
        <f t="shared" si="123"/>
        <v>-0.25435329828790432</v>
      </c>
      <c r="X865">
        <f t="shared" si="124"/>
        <v>0.10399668008577614</v>
      </c>
      <c r="Y865">
        <f t="shared" si="125"/>
        <v>0.36604748519325236</v>
      </c>
    </row>
    <row r="866" spans="1:25" x14ac:dyDescent="0.3">
      <c r="A866">
        <v>865</v>
      </c>
      <c r="B866" s="1">
        <v>40582</v>
      </c>
      <c r="C866">
        <v>1</v>
      </c>
      <c r="D866">
        <v>0</v>
      </c>
      <c r="E866">
        <v>2</v>
      </c>
      <c r="F866">
        <v>11</v>
      </c>
      <c r="G866" t="b">
        <v>0</v>
      </c>
      <c r="H866">
        <v>2</v>
      </c>
      <c r="I866">
        <v>1</v>
      </c>
      <c r="J866">
        <v>0.22</v>
      </c>
      <c r="K866">
        <v>0.18179999999999999</v>
      </c>
      <c r="L866">
        <v>0.47</v>
      </c>
      <c r="M866">
        <v>0.4627</v>
      </c>
      <c r="N866">
        <v>1</v>
      </c>
      <c r="O866">
        <v>49</v>
      </c>
      <c r="P866">
        <v>50</v>
      </c>
      <c r="Q866" t="str">
        <f t="shared" si="117"/>
        <v>Weekday</v>
      </c>
      <c r="R866" t="str">
        <f t="shared" si="118"/>
        <v>Clear</v>
      </c>
      <c r="S866" t="str">
        <f t="shared" si="119"/>
        <v>Morning</v>
      </c>
      <c r="T866" t="str">
        <f t="shared" si="120"/>
        <v>February</v>
      </c>
      <c r="U866" t="str">
        <f t="shared" si="121"/>
        <v>Spring</v>
      </c>
      <c r="V866">
        <f t="shared" si="122"/>
        <v>0.22929155386993369</v>
      </c>
      <c r="W866">
        <f t="shared" si="123"/>
        <v>-0.25435329828790432</v>
      </c>
      <c r="X866">
        <f t="shared" si="124"/>
        <v>0.10399668008577614</v>
      </c>
      <c r="Y866">
        <f t="shared" si="125"/>
        <v>0.36604748519325236</v>
      </c>
    </row>
    <row r="867" spans="1:25" x14ac:dyDescent="0.3">
      <c r="A867">
        <v>866</v>
      </c>
      <c r="B867" s="1">
        <v>40582</v>
      </c>
      <c r="C867">
        <v>1</v>
      </c>
      <c r="D867">
        <v>0</v>
      </c>
      <c r="E867">
        <v>2</v>
      </c>
      <c r="F867">
        <v>12</v>
      </c>
      <c r="G867" t="b">
        <v>0</v>
      </c>
      <c r="H867">
        <v>2</v>
      </c>
      <c r="I867">
        <v>1</v>
      </c>
      <c r="J867">
        <v>0.24</v>
      </c>
      <c r="K867">
        <v>0.19700000000000001</v>
      </c>
      <c r="L867">
        <v>0.38</v>
      </c>
      <c r="M867">
        <v>0.49249999999999999</v>
      </c>
      <c r="N867">
        <v>2</v>
      </c>
      <c r="O867">
        <v>63</v>
      </c>
      <c r="P867">
        <v>65</v>
      </c>
      <c r="Q867" t="str">
        <f t="shared" si="117"/>
        <v>Weekday</v>
      </c>
      <c r="R867" t="str">
        <f t="shared" si="118"/>
        <v>Clear</v>
      </c>
      <c r="S867" t="str">
        <f t="shared" si="119"/>
        <v>Afternoon</v>
      </c>
      <c r="T867" t="str">
        <f t="shared" si="120"/>
        <v>February</v>
      </c>
      <c r="U867" t="str">
        <f t="shared" si="121"/>
        <v>Spring</v>
      </c>
      <c r="V867">
        <f t="shared" si="122"/>
        <v>0.22929155386993369</v>
      </c>
      <c r="W867">
        <f t="shared" si="123"/>
        <v>-0.25435329828790432</v>
      </c>
      <c r="X867">
        <f t="shared" si="124"/>
        <v>0.10399668008577614</v>
      </c>
      <c r="Y867">
        <f t="shared" si="125"/>
        <v>0.36604748519325236</v>
      </c>
    </row>
    <row r="868" spans="1:25" x14ac:dyDescent="0.3">
      <c r="A868">
        <v>867</v>
      </c>
      <c r="B868" s="1">
        <v>40582</v>
      </c>
      <c r="C868">
        <v>1</v>
      </c>
      <c r="D868">
        <v>0</v>
      </c>
      <c r="E868">
        <v>2</v>
      </c>
      <c r="F868">
        <v>13</v>
      </c>
      <c r="G868" t="b">
        <v>0</v>
      </c>
      <c r="H868">
        <v>2</v>
      </c>
      <c r="I868">
        <v>2</v>
      </c>
      <c r="J868">
        <v>0.24</v>
      </c>
      <c r="K868">
        <v>0.19700000000000001</v>
      </c>
      <c r="L868">
        <v>0.32</v>
      </c>
      <c r="M868">
        <v>0.44779999999999998</v>
      </c>
      <c r="N868">
        <v>2</v>
      </c>
      <c r="O868">
        <v>48</v>
      </c>
      <c r="P868">
        <v>50</v>
      </c>
      <c r="Q868" t="str">
        <f t="shared" si="117"/>
        <v>Weekday</v>
      </c>
      <c r="R868" t="str">
        <f t="shared" si="118"/>
        <v>Mist/Cloudy</v>
      </c>
      <c r="S868" t="str">
        <f t="shared" si="119"/>
        <v>Afternoon</v>
      </c>
      <c r="T868" t="str">
        <f t="shared" si="120"/>
        <v>February</v>
      </c>
      <c r="U868" t="str">
        <f t="shared" si="121"/>
        <v>Spring</v>
      </c>
      <c r="V868">
        <f t="shared" si="122"/>
        <v>0.22929155386993369</v>
      </c>
      <c r="W868">
        <f t="shared" si="123"/>
        <v>-0.25435329828790432</v>
      </c>
      <c r="X868">
        <f t="shared" si="124"/>
        <v>0.10399668008577614</v>
      </c>
      <c r="Y868">
        <f t="shared" si="125"/>
        <v>0.36604748519325236</v>
      </c>
    </row>
    <row r="869" spans="1:25" x14ac:dyDescent="0.3">
      <c r="A869">
        <v>868</v>
      </c>
      <c r="B869" s="1">
        <v>40582</v>
      </c>
      <c r="C869">
        <v>1</v>
      </c>
      <c r="D869">
        <v>0</v>
      </c>
      <c r="E869">
        <v>2</v>
      </c>
      <c r="F869">
        <v>14</v>
      </c>
      <c r="G869" t="b">
        <v>0</v>
      </c>
      <c r="H869">
        <v>2</v>
      </c>
      <c r="I869">
        <v>1</v>
      </c>
      <c r="J869">
        <v>0.22</v>
      </c>
      <c r="K869">
        <v>0.19700000000000001</v>
      </c>
      <c r="L869">
        <v>0.37</v>
      </c>
      <c r="M869">
        <v>0.41789999999999999</v>
      </c>
      <c r="N869">
        <v>3</v>
      </c>
      <c r="O869">
        <v>61</v>
      </c>
      <c r="P869">
        <v>64</v>
      </c>
      <c r="Q869" t="str">
        <f t="shared" si="117"/>
        <v>Weekday</v>
      </c>
      <c r="R869" t="str">
        <f t="shared" si="118"/>
        <v>Clear</v>
      </c>
      <c r="S869" t="str">
        <f t="shared" si="119"/>
        <v>Afternoon</v>
      </c>
      <c r="T869" t="str">
        <f t="shared" si="120"/>
        <v>February</v>
      </c>
      <c r="U869" t="str">
        <f t="shared" si="121"/>
        <v>Spring</v>
      </c>
      <c r="V869">
        <f t="shared" si="122"/>
        <v>0.22929155386993369</v>
      </c>
      <c r="W869">
        <f t="shared" si="123"/>
        <v>-0.25435329828790432</v>
      </c>
      <c r="X869">
        <f t="shared" si="124"/>
        <v>0.10399668008577614</v>
      </c>
      <c r="Y869">
        <f t="shared" si="125"/>
        <v>0.36604748519325236</v>
      </c>
    </row>
    <row r="870" spans="1:25" x14ac:dyDescent="0.3">
      <c r="A870">
        <v>869</v>
      </c>
      <c r="B870" s="1">
        <v>40582</v>
      </c>
      <c r="C870">
        <v>1</v>
      </c>
      <c r="D870">
        <v>0</v>
      </c>
      <c r="E870">
        <v>2</v>
      </c>
      <c r="F870">
        <v>15</v>
      </c>
      <c r="G870" t="b">
        <v>0</v>
      </c>
      <c r="H870">
        <v>2</v>
      </c>
      <c r="I870">
        <v>1</v>
      </c>
      <c r="J870">
        <v>0.22</v>
      </c>
      <c r="K870">
        <v>0.19700000000000001</v>
      </c>
      <c r="L870">
        <v>0.35</v>
      </c>
      <c r="M870">
        <v>0.3881</v>
      </c>
      <c r="N870">
        <v>6</v>
      </c>
      <c r="O870">
        <v>45</v>
      </c>
      <c r="P870">
        <v>51</v>
      </c>
      <c r="Q870" t="str">
        <f t="shared" si="117"/>
        <v>Weekday</v>
      </c>
      <c r="R870" t="str">
        <f t="shared" si="118"/>
        <v>Clear</v>
      </c>
      <c r="S870" t="str">
        <f t="shared" si="119"/>
        <v>Afternoon</v>
      </c>
      <c r="T870" t="str">
        <f t="shared" si="120"/>
        <v>February</v>
      </c>
      <c r="U870" t="str">
        <f t="shared" si="121"/>
        <v>Spring</v>
      </c>
      <c r="V870">
        <f t="shared" si="122"/>
        <v>0.22929155386993369</v>
      </c>
      <c r="W870">
        <f t="shared" si="123"/>
        <v>-0.25435329828790432</v>
      </c>
      <c r="X870">
        <f t="shared" si="124"/>
        <v>0.10399668008577614</v>
      </c>
      <c r="Y870">
        <f t="shared" si="125"/>
        <v>0.36604748519325236</v>
      </c>
    </row>
    <row r="871" spans="1:25" x14ac:dyDescent="0.3">
      <c r="A871">
        <v>870</v>
      </c>
      <c r="B871" s="1">
        <v>40582</v>
      </c>
      <c r="C871">
        <v>1</v>
      </c>
      <c r="D871">
        <v>0</v>
      </c>
      <c r="E871">
        <v>2</v>
      </c>
      <c r="F871">
        <v>16</v>
      </c>
      <c r="G871" t="b">
        <v>0</v>
      </c>
      <c r="H871">
        <v>2</v>
      </c>
      <c r="I871">
        <v>1</v>
      </c>
      <c r="J871">
        <v>0.22</v>
      </c>
      <c r="K871">
        <v>0.18179999999999999</v>
      </c>
      <c r="L871">
        <v>0.35</v>
      </c>
      <c r="M871">
        <v>0.52239999999999998</v>
      </c>
      <c r="N871">
        <v>4</v>
      </c>
      <c r="O871">
        <v>79</v>
      </c>
      <c r="P871">
        <v>83</v>
      </c>
      <c r="Q871" t="str">
        <f t="shared" si="117"/>
        <v>Weekday</v>
      </c>
      <c r="R871" t="str">
        <f t="shared" si="118"/>
        <v>Clear</v>
      </c>
      <c r="S871" t="str">
        <f t="shared" si="119"/>
        <v>Afternoon</v>
      </c>
      <c r="T871" t="str">
        <f t="shared" si="120"/>
        <v>February</v>
      </c>
      <c r="U871" t="str">
        <f t="shared" si="121"/>
        <v>Spring</v>
      </c>
      <c r="V871">
        <f t="shared" si="122"/>
        <v>0.22929155386993369</v>
      </c>
      <c r="W871">
        <f t="shared" si="123"/>
        <v>-0.25435329828790432</v>
      </c>
      <c r="X871">
        <f t="shared" si="124"/>
        <v>0.10399668008577614</v>
      </c>
      <c r="Y871">
        <f t="shared" si="125"/>
        <v>0.36604748519325236</v>
      </c>
    </row>
    <row r="872" spans="1:25" x14ac:dyDescent="0.3">
      <c r="A872">
        <v>871</v>
      </c>
      <c r="B872" s="1">
        <v>40582</v>
      </c>
      <c r="C872">
        <v>1</v>
      </c>
      <c r="D872">
        <v>0</v>
      </c>
      <c r="E872">
        <v>2</v>
      </c>
      <c r="F872">
        <v>17</v>
      </c>
      <c r="G872" t="b">
        <v>0</v>
      </c>
      <c r="H872">
        <v>2</v>
      </c>
      <c r="I872">
        <v>1</v>
      </c>
      <c r="J872">
        <v>0.22</v>
      </c>
      <c r="K872">
        <v>0.18179999999999999</v>
      </c>
      <c r="L872">
        <v>0.32</v>
      </c>
      <c r="M872">
        <v>0.58209999999999995</v>
      </c>
      <c r="N872">
        <v>4</v>
      </c>
      <c r="O872">
        <v>172</v>
      </c>
      <c r="P872">
        <v>176</v>
      </c>
      <c r="Q872" t="str">
        <f t="shared" si="117"/>
        <v>Weekday</v>
      </c>
      <c r="R872" t="str">
        <f t="shared" si="118"/>
        <v>Clear</v>
      </c>
      <c r="S872" t="str">
        <f t="shared" si="119"/>
        <v>Evening</v>
      </c>
      <c r="T872" t="str">
        <f t="shared" si="120"/>
        <v>February</v>
      </c>
      <c r="U872" t="str">
        <f t="shared" si="121"/>
        <v>Spring</v>
      </c>
      <c r="V872">
        <f t="shared" si="122"/>
        <v>0.22929155386993369</v>
      </c>
      <c r="W872">
        <f t="shared" si="123"/>
        <v>-0.25435329828790432</v>
      </c>
      <c r="X872">
        <f t="shared" si="124"/>
        <v>0.10399668008577614</v>
      </c>
      <c r="Y872">
        <f t="shared" si="125"/>
        <v>0.36604748519325236</v>
      </c>
    </row>
    <row r="873" spans="1:25" x14ac:dyDescent="0.3">
      <c r="A873">
        <v>872</v>
      </c>
      <c r="B873" s="1">
        <v>40582</v>
      </c>
      <c r="C873">
        <v>1</v>
      </c>
      <c r="D873">
        <v>0</v>
      </c>
      <c r="E873">
        <v>2</v>
      </c>
      <c r="F873">
        <v>18</v>
      </c>
      <c r="G873" t="b">
        <v>0</v>
      </c>
      <c r="H873">
        <v>2</v>
      </c>
      <c r="I873">
        <v>1</v>
      </c>
      <c r="J873">
        <v>0.2</v>
      </c>
      <c r="K873">
        <v>0.18179999999999999</v>
      </c>
      <c r="L873">
        <v>0.32</v>
      </c>
      <c r="M873">
        <v>0.3881</v>
      </c>
      <c r="N873">
        <v>1</v>
      </c>
      <c r="O873">
        <v>151</v>
      </c>
      <c r="P873">
        <v>152</v>
      </c>
      <c r="Q873" t="str">
        <f t="shared" si="117"/>
        <v>Weekday</v>
      </c>
      <c r="R873" t="str">
        <f t="shared" si="118"/>
        <v>Clear</v>
      </c>
      <c r="S873" t="str">
        <f t="shared" si="119"/>
        <v>Evening</v>
      </c>
      <c r="T873" t="str">
        <f t="shared" si="120"/>
        <v>February</v>
      </c>
      <c r="U873" t="str">
        <f t="shared" si="121"/>
        <v>Spring</v>
      </c>
      <c r="V873">
        <f t="shared" si="122"/>
        <v>0.22929155386993369</v>
      </c>
      <c r="W873">
        <f t="shared" si="123"/>
        <v>-0.25435329828790432</v>
      </c>
      <c r="X873">
        <f t="shared" si="124"/>
        <v>0.10399668008577614</v>
      </c>
      <c r="Y873">
        <f t="shared" si="125"/>
        <v>0.36604748519325236</v>
      </c>
    </row>
    <row r="874" spans="1:25" x14ac:dyDescent="0.3">
      <c r="A874">
        <v>873</v>
      </c>
      <c r="B874" s="1">
        <v>40582</v>
      </c>
      <c r="C874">
        <v>1</v>
      </c>
      <c r="D874">
        <v>0</v>
      </c>
      <c r="E874">
        <v>2</v>
      </c>
      <c r="F874">
        <v>19</v>
      </c>
      <c r="G874" t="b">
        <v>0</v>
      </c>
      <c r="H874">
        <v>2</v>
      </c>
      <c r="I874">
        <v>1</v>
      </c>
      <c r="J874">
        <v>0.16</v>
      </c>
      <c r="K874">
        <v>0.1212</v>
      </c>
      <c r="L874">
        <v>0.4</v>
      </c>
      <c r="M874">
        <v>0.4627</v>
      </c>
      <c r="N874">
        <v>1</v>
      </c>
      <c r="O874">
        <v>100</v>
      </c>
      <c r="P874">
        <v>101</v>
      </c>
      <c r="Q874" t="str">
        <f t="shared" si="117"/>
        <v>Weekday</v>
      </c>
      <c r="R874" t="str">
        <f t="shared" si="118"/>
        <v>Clear</v>
      </c>
      <c r="S874" t="str">
        <f t="shared" si="119"/>
        <v>Evening</v>
      </c>
      <c r="T874" t="str">
        <f t="shared" si="120"/>
        <v>February</v>
      </c>
      <c r="U874" t="str">
        <f t="shared" si="121"/>
        <v>Spring</v>
      </c>
      <c r="V874">
        <f t="shared" si="122"/>
        <v>0.22929155386993369</v>
      </c>
      <c r="W874">
        <f t="shared" si="123"/>
        <v>-0.25435329828790432</v>
      </c>
      <c r="X874">
        <f t="shared" si="124"/>
        <v>0.10399668008577614</v>
      </c>
      <c r="Y874">
        <f t="shared" si="125"/>
        <v>0.36604748519325236</v>
      </c>
    </row>
    <row r="875" spans="1:25" x14ac:dyDescent="0.3">
      <c r="A875">
        <v>874</v>
      </c>
      <c r="B875" s="1">
        <v>40582</v>
      </c>
      <c r="C875">
        <v>1</v>
      </c>
      <c r="D875">
        <v>0</v>
      </c>
      <c r="E875">
        <v>2</v>
      </c>
      <c r="F875">
        <v>20</v>
      </c>
      <c r="G875" t="b">
        <v>0</v>
      </c>
      <c r="H875">
        <v>2</v>
      </c>
      <c r="I875">
        <v>1</v>
      </c>
      <c r="J875">
        <v>0.16</v>
      </c>
      <c r="K875">
        <v>0.13639999999999999</v>
      </c>
      <c r="L875">
        <v>0.4</v>
      </c>
      <c r="M875">
        <v>0.32840000000000003</v>
      </c>
      <c r="N875">
        <v>3</v>
      </c>
      <c r="O875">
        <v>53</v>
      </c>
      <c r="P875">
        <v>56</v>
      </c>
      <c r="Q875" t="str">
        <f t="shared" si="117"/>
        <v>Weekday</v>
      </c>
      <c r="R875" t="str">
        <f t="shared" si="118"/>
        <v>Clear</v>
      </c>
      <c r="S875" t="str">
        <f t="shared" si="119"/>
        <v>Evening</v>
      </c>
      <c r="T875" t="str">
        <f t="shared" si="120"/>
        <v>February</v>
      </c>
      <c r="U875" t="str">
        <f t="shared" si="121"/>
        <v>Spring</v>
      </c>
      <c r="V875">
        <f t="shared" si="122"/>
        <v>0.22929155386993369</v>
      </c>
      <c r="W875">
        <f t="shared" si="123"/>
        <v>-0.25435329828790432</v>
      </c>
      <c r="X875">
        <f t="shared" si="124"/>
        <v>0.10399668008577614</v>
      </c>
      <c r="Y875">
        <f t="shared" si="125"/>
        <v>0.36604748519325236</v>
      </c>
    </row>
    <row r="876" spans="1:25" x14ac:dyDescent="0.3">
      <c r="A876">
        <v>875</v>
      </c>
      <c r="B876" s="1">
        <v>40582</v>
      </c>
      <c r="C876">
        <v>1</v>
      </c>
      <c r="D876">
        <v>0</v>
      </c>
      <c r="E876">
        <v>2</v>
      </c>
      <c r="F876">
        <v>21</v>
      </c>
      <c r="G876" t="b">
        <v>0</v>
      </c>
      <c r="H876">
        <v>2</v>
      </c>
      <c r="I876">
        <v>1</v>
      </c>
      <c r="J876">
        <v>0.14000000000000001</v>
      </c>
      <c r="K876">
        <v>0.1061</v>
      </c>
      <c r="L876">
        <v>0.33</v>
      </c>
      <c r="M876">
        <v>0.4627</v>
      </c>
      <c r="N876">
        <v>8</v>
      </c>
      <c r="O876">
        <v>46</v>
      </c>
      <c r="P876">
        <v>54</v>
      </c>
      <c r="Q876" t="str">
        <f t="shared" si="117"/>
        <v>Weekday</v>
      </c>
      <c r="R876" t="str">
        <f t="shared" si="118"/>
        <v>Clear</v>
      </c>
      <c r="S876" t="str">
        <f t="shared" si="119"/>
        <v>Night</v>
      </c>
      <c r="T876" t="str">
        <f t="shared" si="120"/>
        <v>February</v>
      </c>
      <c r="U876" t="str">
        <f t="shared" si="121"/>
        <v>Spring</v>
      </c>
      <c r="V876">
        <f t="shared" si="122"/>
        <v>0.22929155386993369</v>
      </c>
      <c r="W876">
        <f t="shared" si="123"/>
        <v>-0.25435329828790432</v>
      </c>
      <c r="X876">
        <f t="shared" si="124"/>
        <v>0.10399668008577614</v>
      </c>
      <c r="Y876">
        <f t="shared" si="125"/>
        <v>0.36604748519325236</v>
      </c>
    </row>
    <row r="877" spans="1:25" x14ac:dyDescent="0.3">
      <c r="A877">
        <v>876</v>
      </c>
      <c r="B877" s="1">
        <v>40582</v>
      </c>
      <c r="C877">
        <v>1</v>
      </c>
      <c r="D877">
        <v>0</v>
      </c>
      <c r="E877">
        <v>2</v>
      </c>
      <c r="F877">
        <v>22</v>
      </c>
      <c r="G877" t="b">
        <v>0</v>
      </c>
      <c r="H877">
        <v>2</v>
      </c>
      <c r="I877">
        <v>1</v>
      </c>
      <c r="J877">
        <v>0.12</v>
      </c>
      <c r="K877">
        <v>0.1061</v>
      </c>
      <c r="L877">
        <v>0.33</v>
      </c>
      <c r="M877">
        <v>0.35820000000000002</v>
      </c>
      <c r="N877">
        <v>0</v>
      </c>
      <c r="O877">
        <v>29</v>
      </c>
      <c r="P877">
        <v>29</v>
      </c>
      <c r="Q877" t="str">
        <f t="shared" si="117"/>
        <v>Weekday</v>
      </c>
      <c r="R877" t="str">
        <f t="shared" si="118"/>
        <v>Clear</v>
      </c>
      <c r="S877" t="str">
        <f t="shared" si="119"/>
        <v>Night</v>
      </c>
      <c r="T877" t="str">
        <f t="shared" si="120"/>
        <v>February</v>
      </c>
      <c r="U877" t="str">
        <f t="shared" si="121"/>
        <v>Spring</v>
      </c>
      <c r="V877">
        <f t="shared" si="122"/>
        <v>0.22929155386993369</v>
      </c>
      <c r="W877">
        <f t="shared" si="123"/>
        <v>-0.25435329828790432</v>
      </c>
      <c r="X877">
        <f t="shared" si="124"/>
        <v>0.10399668008577614</v>
      </c>
      <c r="Y877">
        <f t="shared" si="125"/>
        <v>0.36604748519325236</v>
      </c>
    </row>
    <row r="878" spans="1:25" x14ac:dyDescent="0.3">
      <c r="A878">
        <v>877</v>
      </c>
      <c r="B878" s="1">
        <v>40582</v>
      </c>
      <c r="C878">
        <v>1</v>
      </c>
      <c r="D878">
        <v>0</v>
      </c>
      <c r="E878">
        <v>2</v>
      </c>
      <c r="F878">
        <v>23</v>
      </c>
      <c r="G878" t="b">
        <v>0</v>
      </c>
      <c r="H878">
        <v>2</v>
      </c>
      <c r="I878">
        <v>1</v>
      </c>
      <c r="J878">
        <v>0.12</v>
      </c>
      <c r="K878">
        <v>0.1061</v>
      </c>
      <c r="L878">
        <v>0.33</v>
      </c>
      <c r="M878">
        <v>0.32840000000000003</v>
      </c>
      <c r="N878">
        <v>3</v>
      </c>
      <c r="O878">
        <v>9</v>
      </c>
      <c r="P878">
        <v>12</v>
      </c>
      <c r="Q878" t="str">
        <f t="shared" si="117"/>
        <v>Weekday</v>
      </c>
      <c r="R878" t="str">
        <f t="shared" si="118"/>
        <v>Clear</v>
      </c>
      <c r="S878" t="str">
        <f t="shared" si="119"/>
        <v>Night</v>
      </c>
      <c r="T878" t="str">
        <f t="shared" si="120"/>
        <v>February</v>
      </c>
      <c r="U878" t="str">
        <f t="shared" si="121"/>
        <v>Spring</v>
      </c>
      <c r="V878">
        <f t="shared" si="122"/>
        <v>0.22929155386993369</v>
      </c>
      <c r="W878">
        <f t="shared" si="123"/>
        <v>-0.25435329828790432</v>
      </c>
      <c r="X878">
        <f t="shared" si="124"/>
        <v>0.10399668008577614</v>
      </c>
      <c r="Y878">
        <f t="shared" si="125"/>
        <v>0.36604748519325236</v>
      </c>
    </row>
    <row r="879" spans="1:25" x14ac:dyDescent="0.3">
      <c r="A879">
        <v>878</v>
      </c>
      <c r="B879" s="1">
        <v>40583</v>
      </c>
      <c r="C879">
        <v>1</v>
      </c>
      <c r="D879">
        <v>0</v>
      </c>
      <c r="E879">
        <v>2</v>
      </c>
      <c r="F879">
        <v>0</v>
      </c>
      <c r="G879" t="b">
        <v>0</v>
      </c>
      <c r="H879">
        <v>3</v>
      </c>
      <c r="I879">
        <v>1</v>
      </c>
      <c r="J879">
        <v>0.1</v>
      </c>
      <c r="K879">
        <v>7.5800000000000006E-2</v>
      </c>
      <c r="L879">
        <v>0.36</v>
      </c>
      <c r="M879">
        <v>0.35820000000000002</v>
      </c>
      <c r="N879">
        <v>0</v>
      </c>
      <c r="O879">
        <v>17</v>
      </c>
      <c r="P879">
        <v>17</v>
      </c>
      <c r="Q879" t="str">
        <f t="shared" si="117"/>
        <v>Weekday</v>
      </c>
      <c r="R879" t="str">
        <f t="shared" si="118"/>
        <v>Clear</v>
      </c>
      <c r="S879" t="str">
        <f t="shared" si="119"/>
        <v>Night</v>
      </c>
      <c r="T879" t="str">
        <f t="shared" si="120"/>
        <v>February</v>
      </c>
      <c r="U879" t="str">
        <f t="shared" si="121"/>
        <v>Spring</v>
      </c>
      <c r="V879">
        <f t="shared" si="122"/>
        <v>0.22929155386993369</v>
      </c>
      <c r="W879">
        <f t="shared" si="123"/>
        <v>-0.25435329828790432</v>
      </c>
      <c r="X879">
        <f t="shared" si="124"/>
        <v>0.10399668008577614</v>
      </c>
      <c r="Y879">
        <f t="shared" si="125"/>
        <v>0.36604748519325236</v>
      </c>
    </row>
    <row r="880" spans="1:25" x14ac:dyDescent="0.3">
      <c r="A880">
        <v>879</v>
      </c>
      <c r="B880" s="1">
        <v>40583</v>
      </c>
      <c r="C880">
        <v>1</v>
      </c>
      <c r="D880">
        <v>0</v>
      </c>
      <c r="E880">
        <v>2</v>
      </c>
      <c r="F880">
        <v>1</v>
      </c>
      <c r="G880" t="b">
        <v>0</v>
      </c>
      <c r="H880">
        <v>3</v>
      </c>
      <c r="I880">
        <v>1</v>
      </c>
      <c r="J880">
        <v>0.1</v>
      </c>
      <c r="K880">
        <v>0.1061</v>
      </c>
      <c r="L880">
        <v>0.36</v>
      </c>
      <c r="M880">
        <v>0.22389999999999999</v>
      </c>
      <c r="N880">
        <v>0</v>
      </c>
      <c r="O880">
        <v>7</v>
      </c>
      <c r="P880">
        <v>7</v>
      </c>
      <c r="Q880" t="str">
        <f t="shared" si="117"/>
        <v>Weekday</v>
      </c>
      <c r="R880" t="str">
        <f t="shared" si="118"/>
        <v>Clear</v>
      </c>
      <c r="S880" t="str">
        <f t="shared" si="119"/>
        <v>Night</v>
      </c>
      <c r="T880" t="str">
        <f t="shared" si="120"/>
        <v>February</v>
      </c>
      <c r="U880" t="str">
        <f t="shared" si="121"/>
        <v>Spring</v>
      </c>
      <c r="V880">
        <f t="shared" si="122"/>
        <v>0.22929155386993369</v>
      </c>
      <c r="W880">
        <f t="shared" si="123"/>
        <v>-0.25435329828790432</v>
      </c>
      <c r="X880">
        <f t="shared" si="124"/>
        <v>0.10399668008577614</v>
      </c>
      <c r="Y880">
        <f t="shared" si="125"/>
        <v>0.36604748519325236</v>
      </c>
    </row>
    <row r="881" spans="1:25" x14ac:dyDescent="0.3">
      <c r="A881">
        <v>880</v>
      </c>
      <c r="B881" s="1">
        <v>40583</v>
      </c>
      <c r="C881">
        <v>1</v>
      </c>
      <c r="D881">
        <v>0</v>
      </c>
      <c r="E881">
        <v>2</v>
      </c>
      <c r="F881">
        <v>2</v>
      </c>
      <c r="G881" t="b">
        <v>0</v>
      </c>
      <c r="H881">
        <v>3</v>
      </c>
      <c r="I881">
        <v>1</v>
      </c>
      <c r="J881">
        <v>0.08</v>
      </c>
      <c r="K881">
        <v>7.5800000000000006E-2</v>
      </c>
      <c r="L881">
        <v>0.38</v>
      </c>
      <c r="M881">
        <v>0.28360000000000002</v>
      </c>
      <c r="N881">
        <v>1</v>
      </c>
      <c r="O881">
        <v>2</v>
      </c>
      <c r="P881">
        <v>3</v>
      </c>
      <c r="Q881" t="str">
        <f t="shared" si="117"/>
        <v>Weekday</v>
      </c>
      <c r="R881" t="str">
        <f t="shared" si="118"/>
        <v>Clear</v>
      </c>
      <c r="S881" t="str">
        <f t="shared" si="119"/>
        <v>Night</v>
      </c>
      <c r="T881" t="str">
        <f t="shared" si="120"/>
        <v>February</v>
      </c>
      <c r="U881" t="str">
        <f t="shared" si="121"/>
        <v>Spring</v>
      </c>
      <c r="V881">
        <f t="shared" si="122"/>
        <v>0.22929155386993369</v>
      </c>
      <c r="W881">
        <f t="shared" si="123"/>
        <v>-0.25435329828790432</v>
      </c>
      <c r="X881">
        <f t="shared" si="124"/>
        <v>0.10399668008577614</v>
      </c>
      <c r="Y881">
        <f t="shared" si="125"/>
        <v>0.36604748519325236</v>
      </c>
    </row>
    <row r="882" spans="1:25" x14ac:dyDescent="0.3">
      <c r="A882">
        <v>881</v>
      </c>
      <c r="B882" s="1">
        <v>40583</v>
      </c>
      <c r="C882">
        <v>1</v>
      </c>
      <c r="D882">
        <v>0</v>
      </c>
      <c r="E882">
        <v>2</v>
      </c>
      <c r="F882">
        <v>3</v>
      </c>
      <c r="G882" t="b">
        <v>0</v>
      </c>
      <c r="H882">
        <v>3</v>
      </c>
      <c r="I882">
        <v>1</v>
      </c>
      <c r="J882">
        <v>0.06</v>
      </c>
      <c r="K882">
        <v>7.5800000000000006E-2</v>
      </c>
      <c r="L882">
        <v>0.45</v>
      </c>
      <c r="M882">
        <v>0.1343</v>
      </c>
      <c r="N882">
        <v>0</v>
      </c>
      <c r="O882">
        <v>2</v>
      </c>
      <c r="P882">
        <v>2</v>
      </c>
      <c r="Q882" t="str">
        <f t="shared" si="117"/>
        <v>Weekday</v>
      </c>
      <c r="R882" t="str">
        <f t="shared" si="118"/>
        <v>Clear</v>
      </c>
      <c r="S882" t="str">
        <f t="shared" si="119"/>
        <v>Night</v>
      </c>
      <c r="T882" t="str">
        <f t="shared" si="120"/>
        <v>February</v>
      </c>
      <c r="U882" t="str">
        <f t="shared" si="121"/>
        <v>Spring</v>
      </c>
      <c r="V882">
        <f t="shared" si="122"/>
        <v>0.22929155386993369</v>
      </c>
      <c r="W882">
        <f t="shared" si="123"/>
        <v>-0.25435329828790432</v>
      </c>
      <c r="X882">
        <f t="shared" si="124"/>
        <v>0.10399668008577614</v>
      </c>
      <c r="Y882">
        <f t="shared" si="125"/>
        <v>0.36604748519325236</v>
      </c>
    </row>
    <row r="883" spans="1:25" x14ac:dyDescent="0.3">
      <c r="A883">
        <v>882</v>
      </c>
      <c r="B883" s="1">
        <v>40583</v>
      </c>
      <c r="C883">
        <v>1</v>
      </c>
      <c r="D883">
        <v>0</v>
      </c>
      <c r="E883">
        <v>2</v>
      </c>
      <c r="F883">
        <v>5</v>
      </c>
      <c r="G883" t="b">
        <v>0</v>
      </c>
      <c r="H883">
        <v>3</v>
      </c>
      <c r="I883">
        <v>1</v>
      </c>
      <c r="J883">
        <v>0.06</v>
      </c>
      <c r="K883">
        <v>0.1061</v>
      </c>
      <c r="L883">
        <v>0.45</v>
      </c>
      <c r="M883">
        <v>0.1045</v>
      </c>
      <c r="N883">
        <v>0</v>
      </c>
      <c r="O883">
        <v>7</v>
      </c>
      <c r="P883">
        <v>7</v>
      </c>
      <c r="Q883" t="str">
        <f t="shared" si="117"/>
        <v>Weekday</v>
      </c>
      <c r="R883" t="str">
        <f t="shared" si="118"/>
        <v>Clear</v>
      </c>
      <c r="S883" t="str">
        <f t="shared" si="119"/>
        <v>Night</v>
      </c>
      <c r="T883" t="str">
        <f t="shared" si="120"/>
        <v>February</v>
      </c>
      <c r="U883" t="str">
        <f t="shared" si="121"/>
        <v>Spring</v>
      </c>
      <c r="V883">
        <f t="shared" si="122"/>
        <v>0.22929155386993369</v>
      </c>
      <c r="W883">
        <f t="shared" si="123"/>
        <v>-0.25435329828790432</v>
      </c>
      <c r="X883">
        <f t="shared" si="124"/>
        <v>0.10399668008577614</v>
      </c>
      <c r="Y883">
        <f t="shared" si="125"/>
        <v>0.36604748519325236</v>
      </c>
    </row>
    <row r="884" spans="1:25" x14ac:dyDescent="0.3">
      <c r="A884">
        <v>883</v>
      </c>
      <c r="B884" s="1">
        <v>40583</v>
      </c>
      <c r="C884">
        <v>1</v>
      </c>
      <c r="D884">
        <v>0</v>
      </c>
      <c r="E884">
        <v>2</v>
      </c>
      <c r="F884">
        <v>6</v>
      </c>
      <c r="G884" t="b">
        <v>0</v>
      </c>
      <c r="H884">
        <v>3</v>
      </c>
      <c r="I884">
        <v>1</v>
      </c>
      <c r="J884">
        <v>0.06</v>
      </c>
      <c r="K884">
        <v>0.1515</v>
      </c>
      <c r="L884">
        <v>0.45</v>
      </c>
      <c r="M884">
        <v>0</v>
      </c>
      <c r="N884">
        <v>0</v>
      </c>
      <c r="O884">
        <v>43</v>
      </c>
      <c r="P884">
        <v>43</v>
      </c>
      <c r="Q884" t="str">
        <f t="shared" si="117"/>
        <v>Weekday</v>
      </c>
      <c r="R884" t="str">
        <f t="shared" si="118"/>
        <v>Clear</v>
      </c>
      <c r="S884" t="str">
        <f t="shared" si="119"/>
        <v>Morning</v>
      </c>
      <c r="T884" t="str">
        <f t="shared" si="120"/>
        <v>February</v>
      </c>
      <c r="U884" t="str">
        <f t="shared" si="121"/>
        <v>Spring</v>
      </c>
      <c r="V884">
        <f t="shared" si="122"/>
        <v>0.22929155386993369</v>
      </c>
      <c r="W884">
        <f t="shared" si="123"/>
        <v>-0.25435329828790432</v>
      </c>
      <c r="X884">
        <f t="shared" si="124"/>
        <v>0.10399668008577614</v>
      </c>
      <c r="Y884">
        <f t="shared" si="125"/>
        <v>0.36604748519325236</v>
      </c>
    </row>
    <row r="885" spans="1:25" x14ac:dyDescent="0.3">
      <c r="A885">
        <v>884</v>
      </c>
      <c r="B885" s="1">
        <v>40583</v>
      </c>
      <c r="C885">
        <v>1</v>
      </c>
      <c r="D885">
        <v>0</v>
      </c>
      <c r="E885">
        <v>2</v>
      </c>
      <c r="F885">
        <v>7</v>
      </c>
      <c r="G885" t="b">
        <v>0</v>
      </c>
      <c r="H885">
        <v>3</v>
      </c>
      <c r="I885">
        <v>1</v>
      </c>
      <c r="J885">
        <v>0.06</v>
      </c>
      <c r="K885">
        <v>0.1061</v>
      </c>
      <c r="L885">
        <v>0.49</v>
      </c>
      <c r="M885">
        <v>0.1045</v>
      </c>
      <c r="N885">
        <v>4</v>
      </c>
      <c r="O885">
        <v>95</v>
      </c>
      <c r="P885">
        <v>99</v>
      </c>
      <c r="Q885" t="str">
        <f t="shared" si="117"/>
        <v>Weekday</v>
      </c>
      <c r="R885" t="str">
        <f t="shared" si="118"/>
        <v>Clear</v>
      </c>
      <c r="S885" t="str">
        <f t="shared" si="119"/>
        <v>Morning</v>
      </c>
      <c r="T885" t="str">
        <f t="shared" si="120"/>
        <v>February</v>
      </c>
      <c r="U885" t="str">
        <f t="shared" si="121"/>
        <v>Spring</v>
      </c>
      <c r="V885">
        <f t="shared" si="122"/>
        <v>0.22929155386993369</v>
      </c>
      <c r="W885">
        <f t="shared" si="123"/>
        <v>-0.25435329828790432</v>
      </c>
      <c r="X885">
        <f t="shared" si="124"/>
        <v>0.10399668008577614</v>
      </c>
      <c r="Y885">
        <f t="shared" si="125"/>
        <v>0.36604748519325236</v>
      </c>
    </row>
    <row r="886" spans="1:25" x14ac:dyDescent="0.3">
      <c r="A886">
        <v>885</v>
      </c>
      <c r="B886" s="1">
        <v>40583</v>
      </c>
      <c r="C886">
        <v>1</v>
      </c>
      <c r="D886">
        <v>0</v>
      </c>
      <c r="E886">
        <v>2</v>
      </c>
      <c r="F886">
        <v>8</v>
      </c>
      <c r="G886" t="b">
        <v>0</v>
      </c>
      <c r="H886">
        <v>3</v>
      </c>
      <c r="I886">
        <v>1</v>
      </c>
      <c r="J886">
        <v>0.1</v>
      </c>
      <c r="K886">
        <v>0.13639999999999999</v>
      </c>
      <c r="L886">
        <v>0.42</v>
      </c>
      <c r="M886">
        <v>0</v>
      </c>
      <c r="N886">
        <v>1</v>
      </c>
      <c r="O886">
        <v>198</v>
      </c>
      <c r="P886">
        <v>199</v>
      </c>
      <c r="Q886" t="str">
        <f t="shared" si="117"/>
        <v>Weekday</v>
      </c>
      <c r="R886" t="str">
        <f t="shared" si="118"/>
        <v>Clear</v>
      </c>
      <c r="S886" t="str">
        <f t="shared" si="119"/>
        <v>Morning</v>
      </c>
      <c r="T886" t="str">
        <f t="shared" si="120"/>
        <v>February</v>
      </c>
      <c r="U886" t="str">
        <f t="shared" si="121"/>
        <v>Spring</v>
      </c>
      <c r="V886">
        <f t="shared" si="122"/>
        <v>0.22929155386993369</v>
      </c>
      <c r="W886">
        <f t="shared" si="123"/>
        <v>-0.25435329828790432</v>
      </c>
      <c r="X886">
        <f t="shared" si="124"/>
        <v>0.10399668008577614</v>
      </c>
      <c r="Y886">
        <f t="shared" si="125"/>
        <v>0.36604748519325236</v>
      </c>
    </row>
    <row r="887" spans="1:25" x14ac:dyDescent="0.3">
      <c r="A887">
        <v>886</v>
      </c>
      <c r="B887" s="1">
        <v>40583</v>
      </c>
      <c r="C887">
        <v>1</v>
      </c>
      <c r="D887">
        <v>0</v>
      </c>
      <c r="E887">
        <v>2</v>
      </c>
      <c r="F887">
        <v>9</v>
      </c>
      <c r="G887" t="b">
        <v>0</v>
      </c>
      <c r="H887">
        <v>3</v>
      </c>
      <c r="I887">
        <v>1</v>
      </c>
      <c r="J887">
        <v>0.12</v>
      </c>
      <c r="K887">
        <v>0.13639999999999999</v>
      </c>
      <c r="L887">
        <v>0.39</v>
      </c>
      <c r="M887">
        <v>0.16420000000000001</v>
      </c>
      <c r="N887">
        <v>4</v>
      </c>
      <c r="O887">
        <v>119</v>
      </c>
      <c r="P887">
        <v>123</v>
      </c>
      <c r="Q887" t="str">
        <f t="shared" si="117"/>
        <v>Weekday</v>
      </c>
      <c r="R887" t="str">
        <f t="shared" si="118"/>
        <v>Clear</v>
      </c>
      <c r="S887" t="str">
        <f t="shared" si="119"/>
        <v>Morning</v>
      </c>
      <c r="T887" t="str">
        <f t="shared" si="120"/>
        <v>February</v>
      </c>
      <c r="U887" t="str">
        <f t="shared" si="121"/>
        <v>Spring</v>
      </c>
      <c r="V887">
        <f t="shared" si="122"/>
        <v>0.22929155386993369</v>
      </c>
      <c r="W887">
        <f t="shared" si="123"/>
        <v>-0.25435329828790432</v>
      </c>
      <c r="X887">
        <f t="shared" si="124"/>
        <v>0.10399668008577614</v>
      </c>
      <c r="Y887">
        <f t="shared" si="125"/>
        <v>0.36604748519325236</v>
      </c>
    </row>
    <row r="888" spans="1:25" x14ac:dyDescent="0.3">
      <c r="A888">
        <v>887</v>
      </c>
      <c r="B888" s="1">
        <v>40583</v>
      </c>
      <c r="C888">
        <v>1</v>
      </c>
      <c r="D888">
        <v>0</v>
      </c>
      <c r="E888">
        <v>2</v>
      </c>
      <c r="F888">
        <v>10</v>
      </c>
      <c r="G888" t="b">
        <v>0</v>
      </c>
      <c r="H888">
        <v>3</v>
      </c>
      <c r="I888">
        <v>1</v>
      </c>
      <c r="J888">
        <v>0.14000000000000001</v>
      </c>
      <c r="K888">
        <v>0.18179999999999999</v>
      </c>
      <c r="L888">
        <v>0.36</v>
      </c>
      <c r="M888">
        <v>0</v>
      </c>
      <c r="N888">
        <v>8</v>
      </c>
      <c r="O888">
        <v>51</v>
      </c>
      <c r="P888">
        <v>59</v>
      </c>
      <c r="Q888" t="str">
        <f t="shared" si="117"/>
        <v>Weekday</v>
      </c>
      <c r="R888" t="str">
        <f t="shared" si="118"/>
        <v>Clear</v>
      </c>
      <c r="S888" t="str">
        <f t="shared" si="119"/>
        <v>Morning</v>
      </c>
      <c r="T888" t="str">
        <f t="shared" si="120"/>
        <v>February</v>
      </c>
      <c r="U888" t="str">
        <f t="shared" si="121"/>
        <v>Spring</v>
      </c>
      <c r="V888">
        <f t="shared" si="122"/>
        <v>0.22929155386993369</v>
      </c>
      <c r="W888">
        <f t="shared" si="123"/>
        <v>-0.25435329828790432</v>
      </c>
      <c r="X888">
        <f t="shared" si="124"/>
        <v>0.10399668008577614</v>
      </c>
      <c r="Y888">
        <f t="shared" si="125"/>
        <v>0.36604748519325236</v>
      </c>
    </row>
    <row r="889" spans="1:25" x14ac:dyDescent="0.3">
      <c r="A889">
        <v>888</v>
      </c>
      <c r="B889" s="1">
        <v>40583</v>
      </c>
      <c r="C889">
        <v>1</v>
      </c>
      <c r="D889">
        <v>0</v>
      </c>
      <c r="E889">
        <v>2</v>
      </c>
      <c r="F889">
        <v>11</v>
      </c>
      <c r="G889" t="b">
        <v>0</v>
      </c>
      <c r="H889">
        <v>3</v>
      </c>
      <c r="I889">
        <v>2</v>
      </c>
      <c r="J889">
        <v>0.14000000000000001</v>
      </c>
      <c r="K889">
        <v>0.1515</v>
      </c>
      <c r="L889">
        <v>0.43</v>
      </c>
      <c r="M889">
        <v>0.16420000000000001</v>
      </c>
      <c r="N889">
        <v>1</v>
      </c>
      <c r="O889">
        <v>40</v>
      </c>
      <c r="P889">
        <v>41</v>
      </c>
      <c r="Q889" t="str">
        <f t="shared" si="117"/>
        <v>Weekday</v>
      </c>
      <c r="R889" t="str">
        <f t="shared" si="118"/>
        <v>Mist/Cloudy</v>
      </c>
      <c r="S889" t="str">
        <f t="shared" si="119"/>
        <v>Morning</v>
      </c>
      <c r="T889" t="str">
        <f t="shared" si="120"/>
        <v>February</v>
      </c>
      <c r="U889" t="str">
        <f t="shared" si="121"/>
        <v>Spring</v>
      </c>
      <c r="V889">
        <f t="shared" si="122"/>
        <v>0.22929155386993369</v>
      </c>
      <c r="W889">
        <f t="shared" si="123"/>
        <v>-0.25435329828790432</v>
      </c>
      <c r="X889">
        <f t="shared" si="124"/>
        <v>0.10399668008577614</v>
      </c>
      <c r="Y889">
        <f t="shared" si="125"/>
        <v>0.36604748519325236</v>
      </c>
    </row>
    <row r="890" spans="1:25" x14ac:dyDescent="0.3">
      <c r="A890">
        <v>889</v>
      </c>
      <c r="B890" s="1">
        <v>40583</v>
      </c>
      <c r="C890">
        <v>1</v>
      </c>
      <c r="D890">
        <v>0</v>
      </c>
      <c r="E890">
        <v>2</v>
      </c>
      <c r="F890">
        <v>12</v>
      </c>
      <c r="G890" t="b">
        <v>0</v>
      </c>
      <c r="H890">
        <v>3</v>
      </c>
      <c r="I890">
        <v>2</v>
      </c>
      <c r="J890">
        <v>0.18</v>
      </c>
      <c r="K890">
        <v>0.18179999999999999</v>
      </c>
      <c r="L890">
        <v>0.4</v>
      </c>
      <c r="M890">
        <v>0.22389999999999999</v>
      </c>
      <c r="N890">
        <v>4</v>
      </c>
      <c r="O890">
        <v>57</v>
      </c>
      <c r="P890">
        <v>61</v>
      </c>
      <c r="Q890" t="str">
        <f t="shared" si="117"/>
        <v>Weekday</v>
      </c>
      <c r="R890" t="str">
        <f t="shared" si="118"/>
        <v>Mist/Cloudy</v>
      </c>
      <c r="S890" t="str">
        <f t="shared" si="119"/>
        <v>Afternoon</v>
      </c>
      <c r="T890" t="str">
        <f t="shared" si="120"/>
        <v>February</v>
      </c>
      <c r="U890" t="str">
        <f t="shared" si="121"/>
        <v>Spring</v>
      </c>
      <c r="V890">
        <f t="shared" si="122"/>
        <v>0.22929155386993369</v>
      </c>
      <c r="W890">
        <f t="shared" si="123"/>
        <v>-0.25435329828790432</v>
      </c>
      <c r="X890">
        <f t="shared" si="124"/>
        <v>0.10399668008577614</v>
      </c>
      <c r="Y890">
        <f t="shared" si="125"/>
        <v>0.36604748519325236</v>
      </c>
    </row>
    <row r="891" spans="1:25" x14ac:dyDescent="0.3">
      <c r="A891">
        <v>890</v>
      </c>
      <c r="B891" s="1">
        <v>40583</v>
      </c>
      <c r="C891">
        <v>1</v>
      </c>
      <c r="D891">
        <v>0</v>
      </c>
      <c r="E891">
        <v>2</v>
      </c>
      <c r="F891">
        <v>13</v>
      </c>
      <c r="G891" t="b">
        <v>0</v>
      </c>
      <c r="H891">
        <v>3</v>
      </c>
      <c r="I891">
        <v>1</v>
      </c>
      <c r="J891">
        <v>0.18</v>
      </c>
      <c r="K891">
        <v>0.16669999999999999</v>
      </c>
      <c r="L891">
        <v>0.4</v>
      </c>
      <c r="M891">
        <v>0.25369999999999998</v>
      </c>
      <c r="N891">
        <v>2</v>
      </c>
      <c r="O891">
        <v>67</v>
      </c>
      <c r="P891">
        <v>69</v>
      </c>
      <c r="Q891" t="str">
        <f t="shared" si="117"/>
        <v>Weekday</v>
      </c>
      <c r="R891" t="str">
        <f t="shared" si="118"/>
        <v>Clear</v>
      </c>
      <c r="S891" t="str">
        <f t="shared" si="119"/>
        <v>Afternoon</v>
      </c>
      <c r="T891" t="str">
        <f t="shared" si="120"/>
        <v>February</v>
      </c>
      <c r="U891" t="str">
        <f t="shared" si="121"/>
        <v>Spring</v>
      </c>
      <c r="V891">
        <f t="shared" si="122"/>
        <v>0.22929155386993369</v>
      </c>
      <c r="W891">
        <f t="shared" si="123"/>
        <v>-0.25435329828790432</v>
      </c>
      <c r="X891">
        <f t="shared" si="124"/>
        <v>0.10399668008577614</v>
      </c>
      <c r="Y891">
        <f t="shared" si="125"/>
        <v>0.36604748519325236</v>
      </c>
    </row>
    <row r="892" spans="1:25" x14ac:dyDescent="0.3">
      <c r="A892">
        <v>891</v>
      </c>
      <c r="B892" s="1">
        <v>40583</v>
      </c>
      <c r="C892">
        <v>1</v>
      </c>
      <c r="D892">
        <v>0</v>
      </c>
      <c r="E892">
        <v>2</v>
      </c>
      <c r="F892">
        <v>14</v>
      </c>
      <c r="G892" t="b">
        <v>0</v>
      </c>
      <c r="H892">
        <v>3</v>
      </c>
      <c r="I892">
        <v>1</v>
      </c>
      <c r="J892">
        <v>0.2</v>
      </c>
      <c r="K892">
        <v>0.18179999999999999</v>
      </c>
      <c r="L892">
        <v>0.34</v>
      </c>
      <c r="M892">
        <v>0.29849999999999999</v>
      </c>
      <c r="N892">
        <v>2</v>
      </c>
      <c r="O892">
        <v>56</v>
      </c>
      <c r="P892">
        <v>58</v>
      </c>
      <c r="Q892" t="str">
        <f t="shared" si="117"/>
        <v>Weekday</v>
      </c>
      <c r="R892" t="str">
        <f t="shared" si="118"/>
        <v>Clear</v>
      </c>
      <c r="S892" t="str">
        <f t="shared" si="119"/>
        <v>Afternoon</v>
      </c>
      <c r="T892" t="str">
        <f t="shared" si="120"/>
        <v>February</v>
      </c>
      <c r="U892" t="str">
        <f t="shared" si="121"/>
        <v>Spring</v>
      </c>
      <c r="V892">
        <f t="shared" si="122"/>
        <v>0.22929155386993369</v>
      </c>
      <c r="W892">
        <f t="shared" si="123"/>
        <v>-0.25435329828790432</v>
      </c>
      <c r="X892">
        <f t="shared" si="124"/>
        <v>0.10399668008577614</v>
      </c>
      <c r="Y892">
        <f t="shared" si="125"/>
        <v>0.36604748519325236</v>
      </c>
    </row>
    <row r="893" spans="1:25" x14ac:dyDescent="0.3">
      <c r="A893">
        <v>892</v>
      </c>
      <c r="B893" s="1">
        <v>40583</v>
      </c>
      <c r="C893">
        <v>1</v>
      </c>
      <c r="D893">
        <v>0</v>
      </c>
      <c r="E893">
        <v>2</v>
      </c>
      <c r="F893">
        <v>15</v>
      </c>
      <c r="G893" t="b">
        <v>0</v>
      </c>
      <c r="H893">
        <v>3</v>
      </c>
      <c r="I893">
        <v>2</v>
      </c>
      <c r="J893">
        <v>0.2</v>
      </c>
      <c r="K893">
        <v>0.18179999999999999</v>
      </c>
      <c r="L893">
        <v>0.34</v>
      </c>
      <c r="M893">
        <v>0.28360000000000002</v>
      </c>
      <c r="N893">
        <v>3</v>
      </c>
      <c r="O893">
        <v>61</v>
      </c>
      <c r="P893">
        <v>64</v>
      </c>
      <c r="Q893" t="str">
        <f t="shared" si="117"/>
        <v>Weekday</v>
      </c>
      <c r="R893" t="str">
        <f t="shared" si="118"/>
        <v>Mist/Cloudy</v>
      </c>
      <c r="S893" t="str">
        <f t="shared" si="119"/>
        <v>Afternoon</v>
      </c>
      <c r="T893" t="str">
        <f t="shared" si="120"/>
        <v>February</v>
      </c>
      <c r="U893" t="str">
        <f t="shared" si="121"/>
        <v>Spring</v>
      </c>
      <c r="V893">
        <f t="shared" si="122"/>
        <v>0.22929155386993369</v>
      </c>
      <c r="W893">
        <f t="shared" si="123"/>
        <v>-0.25435329828790432</v>
      </c>
      <c r="X893">
        <f t="shared" si="124"/>
        <v>0.10399668008577614</v>
      </c>
      <c r="Y893">
        <f t="shared" si="125"/>
        <v>0.36604748519325236</v>
      </c>
    </row>
    <row r="894" spans="1:25" x14ac:dyDescent="0.3">
      <c r="A894">
        <v>893</v>
      </c>
      <c r="B894" s="1">
        <v>40583</v>
      </c>
      <c r="C894">
        <v>1</v>
      </c>
      <c r="D894">
        <v>0</v>
      </c>
      <c r="E894">
        <v>2</v>
      </c>
      <c r="F894">
        <v>16</v>
      </c>
      <c r="G894" t="b">
        <v>0</v>
      </c>
      <c r="H894">
        <v>3</v>
      </c>
      <c r="I894">
        <v>2</v>
      </c>
      <c r="J894">
        <v>0.2</v>
      </c>
      <c r="K894">
        <v>0.19700000000000001</v>
      </c>
      <c r="L894">
        <v>0.37</v>
      </c>
      <c r="M894">
        <v>0.25369999999999998</v>
      </c>
      <c r="N894">
        <v>7</v>
      </c>
      <c r="O894">
        <v>72</v>
      </c>
      <c r="P894">
        <v>79</v>
      </c>
      <c r="Q894" t="str">
        <f t="shared" si="117"/>
        <v>Weekday</v>
      </c>
      <c r="R894" t="str">
        <f t="shared" si="118"/>
        <v>Mist/Cloudy</v>
      </c>
      <c r="S894" t="str">
        <f t="shared" si="119"/>
        <v>Afternoon</v>
      </c>
      <c r="T894" t="str">
        <f t="shared" si="120"/>
        <v>February</v>
      </c>
      <c r="U894" t="str">
        <f t="shared" si="121"/>
        <v>Spring</v>
      </c>
      <c r="V894">
        <f t="shared" si="122"/>
        <v>0.22929155386993369</v>
      </c>
      <c r="W894">
        <f t="shared" si="123"/>
        <v>-0.25435329828790432</v>
      </c>
      <c r="X894">
        <f t="shared" si="124"/>
        <v>0.10399668008577614</v>
      </c>
      <c r="Y894">
        <f t="shared" si="125"/>
        <v>0.36604748519325236</v>
      </c>
    </row>
    <row r="895" spans="1:25" x14ac:dyDescent="0.3">
      <c r="A895">
        <v>894</v>
      </c>
      <c r="B895" s="1">
        <v>40583</v>
      </c>
      <c r="C895">
        <v>1</v>
      </c>
      <c r="D895">
        <v>0</v>
      </c>
      <c r="E895">
        <v>2</v>
      </c>
      <c r="F895">
        <v>17</v>
      </c>
      <c r="G895" t="b">
        <v>0</v>
      </c>
      <c r="H895">
        <v>3</v>
      </c>
      <c r="I895">
        <v>2</v>
      </c>
      <c r="J895">
        <v>0.2</v>
      </c>
      <c r="K895">
        <v>0.19700000000000001</v>
      </c>
      <c r="L895">
        <v>0.34</v>
      </c>
      <c r="M895">
        <v>0.25369999999999998</v>
      </c>
      <c r="N895">
        <v>9</v>
      </c>
      <c r="O895">
        <v>157</v>
      </c>
      <c r="P895">
        <v>166</v>
      </c>
      <c r="Q895" t="str">
        <f t="shared" si="117"/>
        <v>Weekday</v>
      </c>
      <c r="R895" t="str">
        <f t="shared" si="118"/>
        <v>Mist/Cloudy</v>
      </c>
      <c r="S895" t="str">
        <f t="shared" si="119"/>
        <v>Evening</v>
      </c>
      <c r="T895" t="str">
        <f t="shared" si="120"/>
        <v>February</v>
      </c>
      <c r="U895" t="str">
        <f t="shared" si="121"/>
        <v>Spring</v>
      </c>
      <c r="V895">
        <f t="shared" si="122"/>
        <v>0.22929155386993369</v>
      </c>
      <c r="W895">
        <f t="shared" si="123"/>
        <v>-0.25435329828790432</v>
      </c>
      <c r="X895">
        <f t="shared" si="124"/>
        <v>0.10399668008577614</v>
      </c>
      <c r="Y895">
        <f t="shared" si="125"/>
        <v>0.36604748519325236</v>
      </c>
    </row>
    <row r="896" spans="1:25" x14ac:dyDescent="0.3">
      <c r="A896">
        <v>895</v>
      </c>
      <c r="B896" s="1">
        <v>40583</v>
      </c>
      <c r="C896">
        <v>1</v>
      </c>
      <c r="D896">
        <v>0</v>
      </c>
      <c r="E896">
        <v>2</v>
      </c>
      <c r="F896">
        <v>18</v>
      </c>
      <c r="G896" t="b">
        <v>0</v>
      </c>
      <c r="H896">
        <v>3</v>
      </c>
      <c r="I896">
        <v>2</v>
      </c>
      <c r="J896">
        <v>0.18</v>
      </c>
      <c r="K896">
        <v>0.16669999999999999</v>
      </c>
      <c r="L896">
        <v>0.47</v>
      </c>
      <c r="M896">
        <v>0.29849999999999999</v>
      </c>
      <c r="N896">
        <v>2</v>
      </c>
      <c r="O896">
        <v>168</v>
      </c>
      <c r="P896">
        <v>170</v>
      </c>
      <c r="Q896" t="str">
        <f t="shared" si="117"/>
        <v>Weekday</v>
      </c>
      <c r="R896" t="str">
        <f t="shared" si="118"/>
        <v>Mist/Cloudy</v>
      </c>
      <c r="S896" t="str">
        <f t="shared" si="119"/>
        <v>Evening</v>
      </c>
      <c r="T896" t="str">
        <f t="shared" si="120"/>
        <v>February</v>
      </c>
      <c r="U896" t="str">
        <f t="shared" si="121"/>
        <v>Spring</v>
      </c>
      <c r="V896">
        <f t="shared" si="122"/>
        <v>0.22929155386993369</v>
      </c>
      <c r="W896">
        <f t="shared" si="123"/>
        <v>-0.25435329828790432</v>
      </c>
      <c r="X896">
        <f t="shared" si="124"/>
        <v>0.10399668008577614</v>
      </c>
      <c r="Y896">
        <f t="shared" si="125"/>
        <v>0.36604748519325236</v>
      </c>
    </row>
    <row r="897" spans="1:25" x14ac:dyDescent="0.3">
      <c r="A897">
        <v>896</v>
      </c>
      <c r="B897" s="1">
        <v>40583</v>
      </c>
      <c r="C897">
        <v>1</v>
      </c>
      <c r="D897">
        <v>0</v>
      </c>
      <c r="E897">
        <v>2</v>
      </c>
      <c r="F897">
        <v>19</v>
      </c>
      <c r="G897" t="b">
        <v>0</v>
      </c>
      <c r="H897">
        <v>3</v>
      </c>
      <c r="I897">
        <v>3</v>
      </c>
      <c r="J897">
        <v>0.14000000000000001</v>
      </c>
      <c r="K897">
        <v>0.1212</v>
      </c>
      <c r="L897">
        <v>0.86</v>
      </c>
      <c r="M897">
        <v>0.25369999999999998</v>
      </c>
      <c r="N897">
        <v>1</v>
      </c>
      <c r="O897">
        <v>87</v>
      </c>
      <c r="P897">
        <v>88</v>
      </c>
      <c r="Q897" t="str">
        <f t="shared" si="117"/>
        <v>Weekday</v>
      </c>
      <c r="R897" t="str">
        <f t="shared" si="118"/>
        <v>Light Rain/Snow</v>
      </c>
      <c r="S897" t="str">
        <f t="shared" si="119"/>
        <v>Evening</v>
      </c>
      <c r="T897" t="str">
        <f t="shared" si="120"/>
        <v>February</v>
      </c>
      <c r="U897" t="str">
        <f t="shared" si="121"/>
        <v>Spring</v>
      </c>
      <c r="V897">
        <f t="shared" si="122"/>
        <v>0.22929155386993369</v>
      </c>
      <c r="W897">
        <f t="shared" si="123"/>
        <v>-0.25435329828790432</v>
      </c>
      <c r="X897">
        <f t="shared" si="124"/>
        <v>0.10399668008577614</v>
      </c>
      <c r="Y897">
        <f t="shared" si="125"/>
        <v>0.36604748519325236</v>
      </c>
    </row>
    <row r="898" spans="1:25" x14ac:dyDescent="0.3">
      <c r="A898">
        <v>897</v>
      </c>
      <c r="B898" s="1">
        <v>40583</v>
      </c>
      <c r="C898">
        <v>1</v>
      </c>
      <c r="D898">
        <v>0</v>
      </c>
      <c r="E898">
        <v>2</v>
      </c>
      <c r="F898">
        <v>20</v>
      </c>
      <c r="G898" t="b">
        <v>0</v>
      </c>
      <c r="H898">
        <v>3</v>
      </c>
      <c r="I898">
        <v>3</v>
      </c>
      <c r="J898">
        <v>0.14000000000000001</v>
      </c>
      <c r="K898">
        <v>0.1515</v>
      </c>
      <c r="L898">
        <v>0.86</v>
      </c>
      <c r="M898">
        <v>0.16420000000000001</v>
      </c>
      <c r="N898">
        <v>0</v>
      </c>
      <c r="O898">
        <v>84</v>
      </c>
      <c r="P898">
        <v>84</v>
      </c>
      <c r="Q898" t="str">
        <f t="shared" ref="Q898:Q961" si="126">IF(OR(WEEKDAY(B898)=1, WEEKDAY(B898)=7), "Weekend", "Weekday")</f>
        <v>Weekday</v>
      </c>
      <c r="R898" t="str">
        <f t="shared" ref="R898:R961" si="127">IF(I898=1,"Clear",IF(I898=2,"Mist/Cloudy",IF(I898=3,"Light Rain/Snow","Heavy Rain/Snow")))</f>
        <v>Light Rain/Snow</v>
      </c>
      <c r="S898" t="str">
        <f t="shared" ref="S898:S961" si="128">IF(AND(F898&gt;=6, F898&lt;12), "Morning", IF(AND(F898&gt;=12, F898&lt;17), "Afternoon", IF(AND(F898&gt;=17, F898&lt;21), "Evening", "Night")))</f>
        <v>Evening</v>
      </c>
      <c r="T898" t="str">
        <f t="shared" ref="T898:T961" si="129">TEXT(B898, "mmmm")</f>
        <v>February</v>
      </c>
      <c r="U898" t="str">
        <f t="shared" ref="U898:U961" si="130">CHOOSE(C898, "Spring", "Summer", "Fall", "Winter")</f>
        <v>Spring</v>
      </c>
      <c r="V898">
        <f t="shared" ref="V898:V961" si="131">CORREL($J$2:$J$1001, $P$2:$P$1001)</f>
        <v>0.22929155386993369</v>
      </c>
      <c r="W898">
        <f t="shared" ref="W898:W961" si="132">CORREL($L$2:$L$1001, $P$2:$P$1001)</f>
        <v>-0.25435329828790432</v>
      </c>
      <c r="X898">
        <f t="shared" ref="X898:X961" si="133">CORREL($M$2:$M$1001, $P$2:$P$1001)</f>
        <v>0.10399668008577614</v>
      </c>
      <c r="Y898">
        <f t="shared" ref="Y898:Y961" si="134">CORREL($F$2:$F$1001, $P$2:$P$1001)</f>
        <v>0.36604748519325236</v>
      </c>
    </row>
    <row r="899" spans="1:25" x14ac:dyDescent="0.3">
      <c r="A899">
        <v>898</v>
      </c>
      <c r="B899" s="1">
        <v>40583</v>
      </c>
      <c r="C899">
        <v>1</v>
      </c>
      <c r="D899">
        <v>0</v>
      </c>
      <c r="E899">
        <v>2</v>
      </c>
      <c r="F899">
        <v>21</v>
      </c>
      <c r="G899" t="b">
        <v>0</v>
      </c>
      <c r="H899">
        <v>3</v>
      </c>
      <c r="I899">
        <v>2</v>
      </c>
      <c r="J899">
        <v>0.14000000000000001</v>
      </c>
      <c r="K899">
        <v>0.1515</v>
      </c>
      <c r="L899">
        <v>0.86</v>
      </c>
      <c r="M899">
        <v>0.16420000000000001</v>
      </c>
      <c r="N899">
        <v>0</v>
      </c>
      <c r="O899">
        <v>83</v>
      </c>
      <c r="P899">
        <v>83</v>
      </c>
      <c r="Q899" t="str">
        <f t="shared" si="126"/>
        <v>Weekday</v>
      </c>
      <c r="R899" t="str">
        <f t="shared" si="127"/>
        <v>Mist/Cloudy</v>
      </c>
      <c r="S899" t="str">
        <f t="shared" si="128"/>
        <v>Night</v>
      </c>
      <c r="T899" t="str">
        <f t="shared" si="129"/>
        <v>February</v>
      </c>
      <c r="U899" t="str">
        <f t="shared" si="130"/>
        <v>Spring</v>
      </c>
      <c r="V899">
        <f t="shared" si="131"/>
        <v>0.22929155386993369</v>
      </c>
      <c r="W899">
        <f t="shared" si="132"/>
        <v>-0.25435329828790432</v>
      </c>
      <c r="X899">
        <f t="shared" si="133"/>
        <v>0.10399668008577614</v>
      </c>
      <c r="Y899">
        <f t="shared" si="134"/>
        <v>0.36604748519325236</v>
      </c>
    </row>
    <row r="900" spans="1:25" x14ac:dyDescent="0.3">
      <c r="A900">
        <v>899</v>
      </c>
      <c r="B900" s="1">
        <v>40583</v>
      </c>
      <c r="C900">
        <v>1</v>
      </c>
      <c r="D900">
        <v>0</v>
      </c>
      <c r="E900">
        <v>2</v>
      </c>
      <c r="F900">
        <v>22</v>
      </c>
      <c r="G900" t="b">
        <v>0</v>
      </c>
      <c r="H900">
        <v>3</v>
      </c>
      <c r="I900">
        <v>3</v>
      </c>
      <c r="J900">
        <v>0.16</v>
      </c>
      <c r="K900">
        <v>0.16669999999999999</v>
      </c>
      <c r="L900">
        <v>0.8</v>
      </c>
      <c r="M900">
        <v>0.16420000000000001</v>
      </c>
      <c r="N900">
        <v>4</v>
      </c>
      <c r="O900">
        <v>42</v>
      </c>
      <c r="P900">
        <v>46</v>
      </c>
      <c r="Q900" t="str">
        <f t="shared" si="126"/>
        <v>Weekday</v>
      </c>
      <c r="R900" t="str">
        <f t="shared" si="127"/>
        <v>Light Rain/Snow</v>
      </c>
      <c r="S900" t="str">
        <f t="shared" si="128"/>
        <v>Night</v>
      </c>
      <c r="T900" t="str">
        <f t="shared" si="129"/>
        <v>February</v>
      </c>
      <c r="U900" t="str">
        <f t="shared" si="130"/>
        <v>Spring</v>
      </c>
      <c r="V900">
        <f t="shared" si="131"/>
        <v>0.22929155386993369</v>
      </c>
      <c r="W900">
        <f t="shared" si="132"/>
        <v>-0.25435329828790432</v>
      </c>
      <c r="X900">
        <f t="shared" si="133"/>
        <v>0.10399668008577614</v>
      </c>
      <c r="Y900">
        <f t="shared" si="134"/>
        <v>0.36604748519325236</v>
      </c>
    </row>
    <row r="901" spans="1:25" x14ac:dyDescent="0.3">
      <c r="A901">
        <v>900</v>
      </c>
      <c r="B901" s="1">
        <v>40583</v>
      </c>
      <c r="C901">
        <v>1</v>
      </c>
      <c r="D901">
        <v>0</v>
      </c>
      <c r="E901">
        <v>2</v>
      </c>
      <c r="F901">
        <v>23</v>
      </c>
      <c r="G901" t="b">
        <v>0</v>
      </c>
      <c r="H901">
        <v>3</v>
      </c>
      <c r="I901">
        <v>3</v>
      </c>
      <c r="J901">
        <v>0.16</v>
      </c>
      <c r="K901">
        <v>0.1515</v>
      </c>
      <c r="L901">
        <v>0.8</v>
      </c>
      <c r="M901">
        <v>0.19400000000000001</v>
      </c>
      <c r="N901">
        <v>0</v>
      </c>
      <c r="O901">
        <v>37</v>
      </c>
      <c r="P901">
        <v>37</v>
      </c>
      <c r="Q901" t="str">
        <f t="shared" si="126"/>
        <v>Weekday</v>
      </c>
      <c r="R901" t="str">
        <f t="shared" si="127"/>
        <v>Light Rain/Snow</v>
      </c>
      <c r="S901" t="str">
        <f t="shared" si="128"/>
        <v>Night</v>
      </c>
      <c r="T901" t="str">
        <f t="shared" si="129"/>
        <v>February</v>
      </c>
      <c r="U901" t="str">
        <f t="shared" si="130"/>
        <v>Spring</v>
      </c>
      <c r="V901">
        <f t="shared" si="131"/>
        <v>0.22929155386993369</v>
      </c>
      <c r="W901">
        <f t="shared" si="132"/>
        <v>-0.25435329828790432</v>
      </c>
      <c r="X901">
        <f t="shared" si="133"/>
        <v>0.10399668008577614</v>
      </c>
      <c r="Y901">
        <f t="shared" si="134"/>
        <v>0.36604748519325236</v>
      </c>
    </row>
    <row r="902" spans="1:25" x14ac:dyDescent="0.3">
      <c r="A902">
        <v>901</v>
      </c>
      <c r="B902" s="1">
        <v>40584</v>
      </c>
      <c r="C902">
        <v>1</v>
      </c>
      <c r="D902">
        <v>0</v>
      </c>
      <c r="E902">
        <v>2</v>
      </c>
      <c r="F902">
        <v>0</v>
      </c>
      <c r="G902" t="b">
        <v>0</v>
      </c>
      <c r="H902">
        <v>4</v>
      </c>
      <c r="I902">
        <v>3</v>
      </c>
      <c r="J902">
        <v>0.14000000000000001</v>
      </c>
      <c r="K902">
        <v>0.13639999999999999</v>
      </c>
      <c r="L902">
        <v>0.86</v>
      </c>
      <c r="M902">
        <v>0.19400000000000001</v>
      </c>
      <c r="N902">
        <v>0</v>
      </c>
      <c r="O902">
        <v>16</v>
      </c>
      <c r="P902">
        <v>16</v>
      </c>
      <c r="Q902" t="str">
        <f t="shared" si="126"/>
        <v>Weekday</v>
      </c>
      <c r="R902" t="str">
        <f t="shared" si="127"/>
        <v>Light Rain/Snow</v>
      </c>
      <c r="S902" t="str">
        <f t="shared" si="128"/>
        <v>Night</v>
      </c>
      <c r="T902" t="str">
        <f t="shared" si="129"/>
        <v>February</v>
      </c>
      <c r="U902" t="str">
        <f t="shared" si="130"/>
        <v>Spring</v>
      </c>
      <c r="V902">
        <f t="shared" si="131"/>
        <v>0.22929155386993369</v>
      </c>
      <c r="W902">
        <f t="shared" si="132"/>
        <v>-0.25435329828790432</v>
      </c>
      <c r="X902">
        <f t="shared" si="133"/>
        <v>0.10399668008577614</v>
      </c>
      <c r="Y902">
        <f t="shared" si="134"/>
        <v>0.36604748519325236</v>
      </c>
    </row>
    <row r="903" spans="1:25" x14ac:dyDescent="0.3">
      <c r="A903">
        <v>902</v>
      </c>
      <c r="B903" s="1">
        <v>40584</v>
      </c>
      <c r="C903">
        <v>1</v>
      </c>
      <c r="D903">
        <v>0</v>
      </c>
      <c r="E903">
        <v>2</v>
      </c>
      <c r="F903">
        <v>1</v>
      </c>
      <c r="G903" t="b">
        <v>0</v>
      </c>
      <c r="H903">
        <v>4</v>
      </c>
      <c r="I903">
        <v>3</v>
      </c>
      <c r="J903">
        <v>0.14000000000000001</v>
      </c>
      <c r="K903">
        <v>0.1515</v>
      </c>
      <c r="L903">
        <v>0.8</v>
      </c>
      <c r="M903">
        <v>0.1343</v>
      </c>
      <c r="N903">
        <v>0</v>
      </c>
      <c r="O903">
        <v>7</v>
      </c>
      <c r="P903">
        <v>7</v>
      </c>
      <c r="Q903" t="str">
        <f t="shared" si="126"/>
        <v>Weekday</v>
      </c>
      <c r="R903" t="str">
        <f t="shared" si="127"/>
        <v>Light Rain/Snow</v>
      </c>
      <c r="S903" t="str">
        <f t="shared" si="128"/>
        <v>Night</v>
      </c>
      <c r="T903" t="str">
        <f t="shared" si="129"/>
        <v>February</v>
      </c>
      <c r="U903" t="str">
        <f t="shared" si="130"/>
        <v>Spring</v>
      </c>
      <c r="V903">
        <f t="shared" si="131"/>
        <v>0.22929155386993369</v>
      </c>
      <c r="W903">
        <f t="shared" si="132"/>
        <v>-0.25435329828790432</v>
      </c>
      <c r="X903">
        <f t="shared" si="133"/>
        <v>0.10399668008577614</v>
      </c>
      <c r="Y903">
        <f t="shared" si="134"/>
        <v>0.36604748519325236</v>
      </c>
    </row>
    <row r="904" spans="1:25" x14ac:dyDescent="0.3">
      <c r="A904">
        <v>903</v>
      </c>
      <c r="B904" s="1">
        <v>40584</v>
      </c>
      <c r="C904">
        <v>1</v>
      </c>
      <c r="D904">
        <v>0</v>
      </c>
      <c r="E904">
        <v>2</v>
      </c>
      <c r="F904">
        <v>2</v>
      </c>
      <c r="G904" t="b">
        <v>0</v>
      </c>
      <c r="H904">
        <v>4</v>
      </c>
      <c r="I904">
        <v>3</v>
      </c>
      <c r="J904">
        <v>0.14000000000000001</v>
      </c>
      <c r="K904">
        <v>0.1515</v>
      </c>
      <c r="L904">
        <v>0.8</v>
      </c>
      <c r="M904">
        <v>0.1343</v>
      </c>
      <c r="N904">
        <v>0</v>
      </c>
      <c r="O904">
        <v>3</v>
      </c>
      <c r="P904">
        <v>3</v>
      </c>
      <c r="Q904" t="str">
        <f t="shared" si="126"/>
        <v>Weekday</v>
      </c>
      <c r="R904" t="str">
        <f t="shared" si="127"/>
        <v>Light Rain/Snow</v>
      </c>
      <c r="S904" t="str">
        <f t="shared" si="128"/>
        <v>Night</v>
      </c>
      <c r="T904" t="str">
        <f t="shared" si="129"/>
        <v>February</v>
      </c>
      <c r="U904" t="str">
        <f t="shared" si="130"/>
        <v>Spring</v>
      </c>
      <c r="V904">
        <f t="shared" si="131"/>
        <v>0.22929155386993369</v>
      </c>
      <c r="W904">
        <f t="shared" si="132"/>
        <v>-0.25435329828790432</v>
      </c>
      <c r="X904">
        <f t="shared" si="133"/>
        <v>0.10399668008577614</v>
      </c>
      <c r="Y904">
        <f t="shared" si="134"/>
        <v>0.36604748519325236</v>
      </c>
    </row>
    <row r="905" spans="1:25" x14ac:dyDescent="0.3">
      <c r="A905">
        <v>904</v>
      </c>
      <c r="B905" s="1">
        <v>40584</v>
      </c>
      <c r="C905">
        <v>1</v>
      </c>
      <c r="D905">
        <v>0</v>
      </c>
      <c r="E905">
        <v>2</v>
      </c>
      <c r="F905">
        <v>4</v>
      </c>
      <c r="G905" t="b">
        <v>0</v>
      </c>
      <c r="H905">
        <v>4</v>
      </c>
      <c r="I905">
        <v>2</v>
      </c>
      <c r="J905">
        <v>0.14000000000000001</v>
      </c>
      <c r="K905">
        <v>0.13639999999999999</v>
      </c>
      <c r="L905">
        <v>0.59</v>
      </c>
      <c r="M905">
        <v>0.22389999999999999</v>
      </c>
      <c r="N905">
        <v>0</v>
      </c>
      <c r="O905">
        <v>1</v>
      </c>
      <c r="P905">
        <v>1</v>
      </c>
      <c r="Q905" t="str">
        <f t="shared" si="126"/>
        <v>Weekday</v>
      </c>
      <c r="R905" t="str">
        <f t="shared" si="127"/>
        <v>Mist/Cloudy</v>
      </c>
      <c r="S905" t="str">
        <f t="shared" si="128"/>
        <v>Night</v>
      </c>
      <c r="T905" t="str">
        <f t="shared" si="129"/>
        <v>February</v>
      </c>
      <c r="U905" t="str">
        <f t="shared" si="130"/>
        <v>Spring</v>
      </c>
      <c r="V905">
        <f t="shared" si="131"/>
        <v>0.22929155386993369</v>
      </c>
      <c r="W905">
        <f t="shared" si="132"/>
        <v>-0.25435329828790432</v>
      </c>
      <c r="X905">
        <f t="shared" si="133"/>
        <v>0.10399668008577614</v>
      </c>
      <c r="Y905">
        <f t="shared" si="134"/>
        <v>0.36604748519325236</v>
      </c>
    </row>
    <row r="906" spans="1:25" x14ac:dyDescent="0.3">
      <c r="A906">
        <v>905</v>
      </c>
      <c r="B906" s="1">
        <v>40584</v>
      </c>
      <c r="C906">
        <v>1</v>
      </c>
      <c r="D906">
        <v>0</v>
      </c>
      <c r="E906">
        <v>2</v>
      </c>
      <c r="F906">
        <v>5</v>
      </c>
      <c r="G906" t="b">
        <v>0</v>
      </c>
      <c r="H906">
        <v>4</v>
      </c>
      <c r="I906">
        <v>2</v>
      </c>
      <c r="J906">
        <v>0.12</v>
      </c>
      <c r="K906">
        <v>0.1212</v>
      </c>
      <c r="L906">
        <v>0.5</v>
      </c>
      <c r="M906">
        <v>0.22389999999999999</v>
      </c>
      <c r="N906">
        <v>0</v>
      </c>
      <c r="O906">
        <v>6</v>
      </c>
      <c r="P906">
        <v>6</v>
      </c>
      <c r="Q906" t="str">
        <f t="shared" si="126"/>
        <v>Weekday</v>
      </c>
      <c r="R906" t="str">
        <f t="shared" si="127"/>
        <v>Mist/Cloudy</v>
      </c>
      <c r="S906" t="str">
        <f t="shared" si="128"/>
        <v>Night</v>
      </c>
      <c r="T906" t="str">
        <f t="shared" si="129"/>
        <v>February</v>
      </c>
      <c r="U906" t="str">
        <f t="shared" si="130"/>
        <v>Spring</v>
      </c>
      <c r="V906">
        <f t="shared" si="131"/>
        <v>0.22929155386993369</v>
      </c>
      <c r="W906">
        <f t="shared" si="132"/>
        <v>-0.25435329828790432</v>
      </c>
      <c r="X906">
        <f t="shared" si="133"/>
        <v>0.10399668008577614</v>
      </c>
      <c r="Y906">
        <f t="shared" si="134"/>
        <v>0.36604748519325236</v>
      </c>
    </row>
    <row r="907" spans="1:25" x14ac:dyDescent="0.3">
      <c r="A907">
        <v>906</v>
      </c>
      <c r="B907" s="1">
        <v>40584</v>
      </c>
      <c r="C907">
        <v>1</v>
      </c>
      <c r="D907">
        <v>0</v>
      </c>
      <c r="E907">
        <v>2</v>
      </c>
      <c r="F907">
        <v>6</v>
      </c>
      <c r="G907" t="b">
        <v>0</v>
      </c>
      <c r="H907">
        <v>4</v>
      </c>
      <c r="I907">
        <v>2</v>
      </c>
      <c r="J907">
        <v>0.12</v>
      </c>
      <c r="K907">
        <v>0.1212</v>
      </c>
      <c r="L907">
        <v>0.54</v>
      </c>
      <c r="M907">
        <v>0.28360000000000002</v>
      </c>
      <c r="N907">
        <v>0</v>
      </c>
      <c r="O907">
        <v>26</v>
      </c>
      <c r="P907">
        <v>26</v>
      </c>
      <c r="Q907" t="str">
        <f t="shared" si="126"/>
        <v>Weekday</v>
      </c>
      <c r="R907" t="str">
        <f t="shared" si="127"/>
        <v>Mist/Cloudy</v>
      </c>
      <c r="S907" t="str">
        <f t="shared" si="128"/>
        <v>Morning</v>
      </c>
      <c r="T907" t="str">
        <f t="shared" si="129"/>
        <v>February</v>
      </c>
      <c r="U907" t="str">
        <f t="shared" si="130"/>
        <v>Spring</v>
      </c>
      <c r="V907">
        <f t="shared" si="131"/>
        <v>0.22929155386993369</v>
      </c>
      <c r="W907">
        <f t="shared" si="132"/>
        <v>-0.25435329828790432</v>
      </c>
      <c r="X907">
        <f t="shared" si="133"/>
        <v>0.10399668008577614</v>
      </c>
      <c r="Y907">
        <f t="shared" si="134"/>
        <v>0.36604748519325236</v>
      </c>
    </row>
    <row r="908" spans="1:25" x14ac:dyDescent="0.3">
      <c r="A908">
        <v>907</v>
      </c>
      <c r="B908" s="1">
        <v>40584</v>
      </c>
      <c r="C908">
        <v>1</v>
      </c>
      <c r="D908">
        <v>0</v>
      </c>
      <c r="E908">
        <v>2</v>
      </c>
      <c r="F908">
        <v>7</v>
      </c>
      <c r="G908" t="b">
        <v>0</v>
      </c>
      <c r="H908">
        <v>4</v>
      </c>
      <c r="I908">
        <v>1</v>
      </c>
      <c r="J908">
        <v>0.1</v>
      </c>
      <c r="K908">
        <v>7.5800000000000006E-2</v>
      </c>
      <c r="L908">
        <v>0.5</v>
      </c>
      <c r="M908">
        <v>0.41789999999999999</v>
      </c>
      <c r="N908">
        <v>0</v>
      </c>
      <c r="O908">
        <v>99</v>
      </c>
      <c r="P908">
        <v>99</v>
      </c>
      <c r="Q908" t="str">
        <f t="shared" si="126"/>
        <v>Weekday</v>
      </c>
      <c r="R908" t="str">
        <f t="shared" si="127"/>
        <v>Clear</v>
      </c>
      <c r="S908" t="str">
        <f t="shared" si="128"/>
        <v>Morning</v>
      </c>
      <c r="T908" t="str">
        <f t="shared" si="129"/>
        <v>February</v>
      </c>
      <c r="U908" t="str">
        <f t="shared" si="130"/>
        <v>Spring</v>
      </c>
      <c r="V908">
        <f t="shared" si="131"/>
        <v>0.22929155386993369</v>
      </c>
      <c r="W908">
        <f t="shared" si="132"/>
        <v>-0.25435329828790432</v>
      </c>
      <c r="X908">
        <f t="shared" si="133"/>
        <v>0.10399668008577614</v>
      </c>
      <c r="Y908">
        <f t="shared" si="134"/>
        <v>0.36604748519325236</v>
      </c>
    </row>
    <row r="909" spans="1:25" x14ac:dyDescent="0.3">
      <c r="A909">
        <v>908</v>
      </c>
      <c r="B909" s="1">
        <v>40584</v>
      </c>
      <c r="C909">
        <v>1</v>
      </c>
      <c r="D909">
        <v>0</v>
      </c>
      <c r="E909">
        <v>2</v>
      </c>
      <c r="F909">
        <v>8</v>
      </c>
      <c r="G909" t="b">
        <v>0</v>
      </c>
      <c r="H909">
        <v>4</v>
      </c>
      <c r="I909">
        <v>1</v>
      </c>
      <c r="J909">
        <v>0.1</v>
      </c>
      <c r="K909">
        <v>7.5800000000000006E-2</v>
      </c>
      <c r="L909">
        <v>0.49</v>
      </c>
      <c r="M909">
        <v>0.32840000000000003</v>
      </c>
      <c r="N909">
        <v>5</v>
      </c>
      <c r="O909">
        <v>173</v>
      </c>
      <c r="P909">
        <v>178</v>
      </c>
      <c r="Q909" t="str">
        <f t="shared" si="126"/>
        <v>Weekday</v>
      </c>
      <c r="R909" t="str">
        <f t="shared" si="127"/>
        <v>Clear</v>
      </c>
      <c r="S909" t="str">
        <f t="shared" si="128"/>
        <v>Morning</v>
      </c>
      <c r="T909" t="str">
        <f t="shared" si="129"/>
        <v>February</v>
      </c>
      <c r="U909" t="str">
        <f t="shared" si="130"/>
        <v>Spring</v>
      </c>
      <c r="V909">
        <f t="shared" si="131"/>
        <v>0.22929155386993369</v>
      </c>
      <c r="W909">
        <f t="shared" si="132"/>
        <v>-0.25435329828790432</v>
      </c>
      <c r="X909">
        <f t="shared" si="133"/>
        <v>0.10399668008577614</v>
      </c>
      <c r="Y909">
        <f t="shared" si="134"/>
        <v>0.36604748519325236</v>
      </c>
    </row>
    <row r="910" spans="1:25" x14ac:dyDescent="0.3">
      <c r="A910">
        <v>909</v>
      </c>
      <c r="B910" s="1">
        <v>40584</v>
      </c>
      <c r="C910">
        <v>1</v>
      </c>
      <c r="D910">
        <v>0</v>
      </c>
      <c r="E910">
        <v>2</v>
      </c>
      <c r="F910">
        <v>9</v>
      </c>
      <c r="G910" t="b">
        <v>0</v>
      </c>
      <c r="H910">
        <v>4</v>
      </c>
      <c r="I910">
        <v>1</v>
      </c>
      <c r="J910">
        <v>0.12</v>
      </c>
      <c r="K910">
        <v>0.1061</v>
      </c>
      <c r="L910">
        <v>0.42</v>
      </c>
      <c r="M910">
        <v>0.35820000000000002</v>
      </c>
      <c r="N910">
        <v>1</v>
      </c>
      <c r="O910">
        <v>121</v>
      </c>
      <c r="P910">
        <v>122</v>
      </c>
      <c r="Q910" t="str">
        <f t="shared" si="126"/>
        <v>Weekday</v>
      </c>
      <c r="R910" t="str">
        <f t="shared" si="127"/>
        <v>Clear</v>
      </c>
      <c r="S910" t="str">
        <f t="shared" si="128"/>
        <v>Morning</v>
      </c>
      <c r="T910" t="str">
        <f t="shared" si="129"/>
        <v>February</v>
      </c>
      <c r="U910" t="str">
        <f t="shared" si="130"/>
        <v>Spring</v>
      </c>
      <c r="V910">
        <f t="shared" si="131"/>
        <v>0.22929155386993369</v>
      </c>
      <c r="W910">
        <f t="shared" si="132"/>
        <v>-0.25435329828790432</v>
      </c>
      <c r="X910">
        <f t="shared" si="133"/>
        <v>0.10399668008577614</v>
      </c>
      <c r="Y910">
        <f t="shared" si="134"/>
        <v>0.36604748519325236</v>
      </c>
    </row>
    <row r="911" spans="1:25" x14ac:dyDescent="0.3">
      <c r="A911">
        <v>910</v>
      </c>
      <c r="B911" s="1">
        <v>40584</v>
      </c>
      <c r="C911">
        <v>1</v>
      </c>
      <c r="D911">
        <v>0</v>
      </c>
      <c r="E911">
        <v>2</v>
      </c>
      <c r="F911">
        <v>10</v>
      </c>
      <c r="G911" t="b">
        <v>0</v>
      </c>
      <c r="H911">
        <v>4</v>
      </c>
      <c r="I911">
        <v>1</v>
      </c>
      <c r="J911">
        <v>0.12</v>
      </c>
      <c r="K911">
        <v>0.1061</v>
      </c>
      <c r="L911">
        <v>0.42</v>
      </c>
      <c r="M911">
        <v>0.29849999999999999</v>
      </c>
      <c r="N911">
        <v>1</v>
      </c>
      <c r="O911">
        <v>34</v>
      </c>
      <c r="P911">
        <v>35</v>
      </c>
      <c r="Q911" t="str">
        <f t="shared" si="126"/>
        <v>Weekday</v>
      </c>
      <c r="R911" t="str">
        <f t="shared" si="127"/>
        <v>Clear</v>
      </c>
      <c r="S911" t="str">
        <f t="shared" si="128"/>
        <v>Morning</v>
      </c>
      <c r="T911" t="str">
        <f t="shared" si="129"/>
        <v>February</v>
      </c>
      <c r="U911" t="str">
        <f t="shared" si="130"/>
        <v>Spring</v>
      </c>
      <c r="V911">
        <f t="shared" si="131"/>
        <v>0.22929155386993369</v>
      </c>
      <c r="W911">
        <f t="shared" si="132"/>
        <v>-0.25435329828790432</v>
      </c>
      <c r="X911">
        <f t="shared" si="133"/>
        <v>0.10399668008577614</v>
      </c>
      <c r="Y911">
        <f t="shared" si="134"/>
        <v>0.36604748519325236</v>
      </c>
    </row>
    <row r="912" spans="1:25" x14ac:dyDescent="0.3">
      <c r="A912">
        <v>911</v>
      </c>
      <c r="B912" s="1">
        <v>40584</v>
      </c>
      <c r="C912">
        <v>1</v>
      </c>
      <c r="D912">
        <v>0</v>
      </c>
      <c r="E912">
        <v>2</v>
      </c>
      <c r="F912">
        <v>11</v>
      </c>
      <c r="G912" t="b">
        <v>0</v>
      </c>
      <c r="H912">
        <v>4</v>
      </c>
      <c r="I912">
        <v>1</v>
      </c>
      <c r="J912">
        <v>0.14000000000000001</v>
      </c>
      <c r="K912">
        <v>0.1212</v>
      </c>
      <c r="L912">
        <v>0.39</v>
      </c>
      <c r="M912">
        <v>0.35820000000000002</v>
      </c>
      <c r="N912">
        <v>1</v>
      </c>
      <c r="O912">
        <v>44</v>
      </c>
      <c r="P912">
        <v>45</v>
      </c>
      <c r="Q912" t="str">
        <f t="shared" si="126"/>
        <v>Weekday</v>
      </c>
      <c r="R912" t="str">
        <f t="shared" si="127"/>
        <v>Clear</v>
      </c>
      <c r="S912" t="str">
        <f t="shared" si="128"/>
        <v>Morning</v>
      </c>
      <c r="T912" t="str">
        <f t="shared" si="129"/>
        <v>February</v>
      </c>
      <c r="U912" t="str">
        <f t="shared" si="130"/>
        <v>Spring</v>
      </c>
      <c r="V912">
        <f t="shared" si="131"/>
        <v>0.22929155386993369</v>
      </c>
      <c r="W912">
        <f t="shared" si="132"/>
        <v>-0.25435329828790432</v>
      </c>
      <c r="X912">
        <f t="shared" si="133"/>
        <v>0.10399668008577614</v>
      </c>
      <c r="Y912">
        <f t="shared" si="134"/>
        <v>0.36604748519325236</v>
      </c>
    </row>
    <row r="913" spans="1:25" x14ac:dyDescent="0.3">
      <c r="A913">
        <v>912</v>
      </c>
      <c r="B913" s="1">
        <v>40584</v>
      </c>
      <c r="C913">
        <v>1</v>
      </c>
      <c r="D913">
        <v>0</v>
      </c>
      <c r="E913">
        <v>2</v>
      </c>
      <c r="F913">
        <v>12</v>
      </c>
      <c r="G913" t="b">
        <v>0</v>
      </c>
      <c r="H913">
        <v>4</v>
      </c>
      <c r="I913">
        <v>1</v>
      </c>
      <c r="J913">
        <v>0.16</v>
      </c>
      <c r="K913">
        <v>0.13639999999999999</v>
      </c>
      <c r="L913">
        <v>0.34</v>
      </c>
      <c r="M913">
        <v>0.3881</v>
      </c>
      <c r="N913">
        <v>4</v>
      </c>
      <c r="O913">
        <v>65</v>
      </c>
      <c r="P913">
        <v>69</v>
      </c>
      <c r="Q913" t="str">
        <f t="shared" si="126"/>
        <v>Weekday</v>
      </c>
      <c r="R913" t="str">
        <f t="shared" si="127"/>
        <v>Clear</v>
      </c>
      <c r="S913" t="str">
        <f t="shared" si="128"/>
        <v>Afternoon</v>
      </c>
      <c r="T913" t="str">
        <f t="shared" si="129"/>
        <v>February</v>
      </c>
      <c r="U913" t="str">
        <f t="shared" si="130"/>
        <v>Spring</v>
      </c>
      <c r="V913">
        <f t="shared" si="131"/>
        <v>0.22929155386993369</v>
      </c>
      <c r="W913">
        <f t="shared" si="132"/>
        <v>-0.25435329828790432</v>
      </c>
      <c r="X913">
        <f t="shared" si="133"/>
        <v>0.10399668008577614</v>
      </c>
      <c r="Y913">
        <f t="shared" si="134"/>
        <v>0.36604748519325236</v>
      </c>
    </row>
    <row r="914" spans="1:25" x14ac:dyDescent="0.3">
      <c r="A914">
        <v>913</v>
      </c>
      <c r="B914" s="1">
        <v>40584</v>
      </c>
      <c r="C914">
        <v>1</v>
      </c>
      <c r="D914">
        <v>0</v>
      </c>
      <c r="E914">
        <v>2</v>
      </c>
      <c r="F914">
        <v>13</v>
      </c>
      <c r="G914" t="b">
        <v>0</v>
      </c>
      <c r="H914">
        <v>4</v>
      </c>
      <c r="I914">
        <v>1</v>
      </c>
      <c r="J914">
        <v>0.18</v>
      </c>
      <c r="K914">
        <v>0.16669999999999999</v>
      </c>
      <c r="L914">
        <v>0.28999999999999998</v>
      </c>
      <c r="M914">
        <v>0.29849999999999999</v>
      </c>
      <c r="N914">
        <v>3</v>
      </c>
      <c r="O914">
        <v>59</v>
      </c>
      <c r="P914">
        <v>62</v>
      </c>
      <c r="Q914" t="str">
        <f t="shared" si="126"/>
        <v>Weekday</v>
      </c>
      <c r="R914" t="str">
        <f t="shared" si="127"/>
        <v>Clear</v>
      </c>
      <c r="S914" t="str">
        <f t="shared" si="128"/>
        <v>Afternoon</v>
      </c>
      <c r="T914" t="str">
        <f t="shared" si="129"/>
        <v>February</v>
      </c>
      <c r="U914" t="str">
        <f t="shared" si="130"/>
        <v>Spring</v>
      </c>
      <c r="V914">
        <f t="shared" si="131"/>
        <v>0.22929155386993369</v>
      </c>
      <c r="W914">
        <f t="shared" si="132"/>
        <v>-0.25435329828790432</v>
      </c>
      <c r="X914">
        <f t="shared" si="133"/>
        <v>0.10399668008577614</v>
      </c>
      <c r="Y914">
        <f t="shared" si="134"/>
        <v>0.36604748519325236</v>
      </c>
    </row>
    <row r="915" spans="1:25" x14ac:dyDescent="0.3">
      <c r="A915">
        <v>914</v>
      </c>
      <c r="B915" s="1">
        <v>40584</v>
      </c>
      <c r="C915">
        <v>1</v>
      </c>
      <c r="D915">
        <v>0</v>
      </c>
      <c r="E915">
        <v>2</v>
      </c>
      <c r="F915">
        <v>14</v>
      </c>
      <c r="G915" t="b">
        <v>0</v>
      </c>
      <c r="H915">
        <v>4</v>
      </c>
      <c r="I915">
        <v>1</v>
      </c>
      <c r="J915">
        <v>0.2</v>
      </c>
      <c r="K915">
        <v>0.18179999999999999</v>
      </c>
      <c r="L915">
        <v>0.27</v>
      </c>
      <c r="M915">
        <v>0.28360000000000002</v>
      </c>
      <c r="N915">
        <v>6</v>
      </c>
      <c r="O915">
        <v>42</v>
      </c>
      <c r="P915">
        <v>48</v>
      </c>
      <c r="Q915" t="str">
        <f t="shared" si="126"/>
        <v>Weekday</v>
      </c>
      <c r="R915" t="str">
        <f t="shared" si="127"/>
        <v>Clear</v>
      </c>
      <c r="S915" t="str">
        <f t="shared" si="128"/>
        <v>Afternoon</v>
      </c>
      <c r="T915" t="str">
        <f t="shared" si="129"/>
        <v>February</v>
      </c>
      <c r="U915" t="str">
        <f t="shared" si="130"/>
        <v>Spring</v>
      </c>
      <c r="V915">
        <f t="shared" si="131"/>
        <v>0.22929155386993369</v>
      </c>
      <c r="W915">
        <f t="shared" si="132"/>
        <v>-0.25435329828790432</v>
      </c>
      <c r="X915">
        <f t="shared" si="133"/>
        <v>0.10399668008577614</v>
      </c>
      <c r="Y915">
        <f t="shared" si="134"/>
        <v>0.36604748519325236</v>
      </c>
    </row>
    <row r="916" spans="1:25" x14ac:dyDescent="0.3">
      <c r="A916">
        <v>915</v>
      </c>
      <c r="B916" s="1">
        <v>40584</v>
      </c>
      <c r="C916">
        <v>1</v>
      </c>
      <c r="D916">
        <v>0</v>
      </c>
      <c r="E916">
        <v>2</v>
      </c>
      <c r="F916">
        <v>15</v>
      </c>
      <c r="G916" t="b">
        <v>0</v>
      </c>
      <c r="H916">
        <v>4</v>
      </c>
      <c r="I916">
        <v>1</v>
      </c>
      <c r="J916">
        <v>0.2</v>
      </c>
      <c r="K916">
        <v>0.19700000000000001</v>
      </c>
      <c r="L916">
        <v>0.25</v>
      </c>
      <c r="M916">
        <v>0.25369999999999998</v>
      </c>
      <c r="N916">
        <v>0</v>
      </c>
      <c r="O916">
        <v>50</v>
      </c>
      <c r="P916">
        <v>50</v>
      </c>
      <c r="Q916" t="str">
        <f t="shared" si="126"/>
        <v>Weekday</v>
      </c>
      <c r="R916" t="str">
        <f t="shared" si="127"/>
        <v>Clear</v>
      </c>
      <c r="S916" t="str">
        <f t="shared" si="128"/>
        <v>Afternoon</v>
      </c>
      <c r="T916" t="str">
        <f t="shared" si="129"/>
        <v>February</v>
      </c>
      <c r="U916" t="str">
        <f t="shared" si="130"/>
        <v>Spring</v>
      </c>
      <c r="V916">
        <f t="shared" si="131"/>
        <v>0.22929155386993369</v>
      </c>
      <c r="W916">
        <f t="shared" si="132"/>
        <v>-0.25435329828790432</v>
      </c>
      <c r="X916">
        <f t="shared" si="133"/>
        <v>0.10399668008577614</v>
      </c>
      <c r="Y916">
        <f t="shared" si="134"/>
        <v>0.36604748519325236</v>
      </c>
    </row>
    <row r="917" spans="1:25" x14ac:dyDescent="0.3">
      <c r="A917">
        <v>916</v>
      </c>
      <c r="B917" s="1">
        <v>40584</v>
      </c>
      <c r="C917">
        <v>1</v>
      </c>
      <c r="D917">
        <v>0</v>
      </c>
      <c r="E917">
        <v>2</v>
      </c>
      <c r="F917">
        <v>16</v>
      </c>
      <c r="G917" t="b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0.29849999999999999</v>
      </c>
      <c r="N917">
        <v>4</v>
      </c>
      <c r="O917">
        <v>76</v>
      </c>
      <c r="P917">
        <v>80</v>
      </c>
      <c r="Q917" t="str">
        <f t="shared" si="126"/>
        <v>Weekday</v>
      </c>
      <c r="R917" t="str">
        <f t="shared" si="127"/>
        <v>Clear</v>
      </c>
      <c r="S917" t="str">
        <f t="shared" si="128"/>
        <v>Afternoon</v>
      </c>
      <c r="T917" t="str">
        <f t="shared" si="129"/>
        <v>February</v>
      </c>
      <c r="U917" t="str">
        <f t="shared" si="130"/>
        <v>Spring</v>
      </c>
      <c r="V917">
        <f t="shared" si="131"/>
        <v>0.22929155386993369</v>
      </c>
      <c r="W917">
        <f t="shared" si="132"/>
        <v>-0.25435329828790432</v>
      </c>
      <c r="X917">
        <f t="shared" si="133"/>
        <v>0.10399668008577614</v>
      </c>
      <c r="Y917">
        <f t="shared" si="134"/>
        <v>0.36604748519325236</v>
      </c>
    </row>
    <row r="918" spans="1:25" x14ac:dyDescent="0.3">
      <c r="A918">
        <v>917</v>
      </c>
      <c r="B918" s="1">
        <v>40584</v>
      </c>
      <c r="C918">
        <v>1</v>
      </c>
      <c r="D918">
        <v>0</v>
      </c>
      <c r="E918">
        <v>2</v>
      </c>
      <c r="F918">
        <v>17</v>
      </c>
      <c r="G918" t="b">
        <v>0</v>
      </c>
      <c r="H918">
        <v>4</v>
      </c>
      <c r="I918">
        <v>1</v>
      </c>
      <c r="J918">
        <v>0.18</v>
      </c>
      <c r="K918">
        <v>0.18179999999999999</v>
      </c>
      <c r="L918">
        <v>0.26</v>
      </c>
      <c r="M918">
        <v>0.19400000000000001</v>
      </c>
      <c r="N918">
        <v>6</v>
      </c>
      <c r="O918">
        <v>159</v>
      </c>
      <c r="P918">
        <v>165</v>
      </c>
      <c r="Q918" t="str">
        <f t="shared" si="126"/>
        <v>Weekday</v>
      </c>
      <c r="R918" t="str">
        <f t="shared" si="127"/>
        <v>Clear</v>
      </c>
      <c r="S918" t="str">
        <f t="shared" si="128"/>
        <v>Evening</v>
      </c>
      <c r="T918" t="str">
        <f t="shared" si="129"/>
        <v>February</v>
      </c>
      <c r="U918" t="str">
        <f t="shared" si="130"/>
        <v>Spring</v>
      </c>
      <c r="V918">
        <f t="shared" si="131"/>
        <v>0.22929155386993369</v>
      </c>
      <c r="W918">
        <f t="shared" si="132"/>
        <v>-0.25435329828790432</v>
      </c>
      <c r="X918">
        <f t="shared" si="133"/>
        <v>0.10399668008577614</v>
      </c>
      <c r="Y918">
        <f t="shared" si="134"/>
        <v>0.36604748519325236</v>
      </c>
    </row>
    <row r="919" spans="1:25" x14ac:dyDescent="0.3">
      <c r="A919">
        <v>918</v>
      </c>
      <c r="B919" s="1">
        <v>40584</v>
      </c>
      <c r="C919">
        <v>1</v>
      </c>
      <c r="D919">
        <v>0</v>
      </c>
      <c r="E919">
        <v>2</v>
      </c>
      <c r="F919">
        <v>18</v>
      </c>
      <c r="G919" t="b">
        <v>0</v>
      </c>
      <c r="H919">
        <v>4</v>
      </c>
      <c r="I919">
        <v>1</v>
      </c>
      <c r="J919">
        <v>0.16</v>
      </c>
      <c r="K919">
        <v>0.18179999999999999</v>
      </c>
      <c r="L919">
        <v>0.28000000000000003</v>
      </c>
      <c r="M919">
        <v>0.1343</v>
      </c>
      <c r="N919">
        <v>3</v>
      </c>
      <c r="O919">
        <v>157</v>
      </c>
      <c r="P919">
        <v>160</v>
      </c>
      <c r="Q919" t="str">
        <f t="shared" si="126"/>
        <v>Weekday</v>
      </c>
      <c r="R919" t="str">
        <f t="shared" si="127"/>
        <v>Clear</v>
      </c>
      <c r="S919" t="str">
        <f t="shared" si="128"/>
        <v>Evening</v>
      </c>
      <c r="T919" t="str">
        <f t="shared" si="129"/>
        <v>February</v>
      </c>
      <c r="U919" t="str">
        <f t="shared" si="130"/>
        <v>Spring</v>
      </c>
      <c r="V919">
        <f t="shared" si="131"/>
        <v>0.22929155386993369</v>
      </c>
      <c r="W919">
        <f t="shared" si="132"/>
        <v>-0.25435329828790432</v>
      </c>
      <c r="X919">
        <f t="shared" si="133"/>
        <v>0.10399668008577614</v>
      </c>
      <c r="Y919">
        <f t="shared" si="134"/>
        <v>0.36604748519325236</v>
      </c>
    </row>
    <row r="920" spans="1:25" x14ac:dyDescent="0.3">
      <c r="A920">
        <v>919</v>
      </c>
      <c r="B920" s="1">
        <v>40584</v>
      </c>
      <c r="C920">
        <v>1</v>
      </c>
      <c r="D920">
        <v>0</v>
      </c>
      <c r="E920">
        <v>2</v>
      </c>
      <c r="F920">
        <v>19</v>
      </c>
      <c r="G920" t="b">
        <v>0</v>
      </c>
      <c r="H920">
        <v>4</v>
      </c>
      <c r="I920">
        <v>1</v>
      </c>
      <c r="J920">
        <v>0.14000000000000001</v>
      </c>
      <c r="K920">
        <v>0.16669999999999999</v>
      </c>
      <c r="L920">
        <v>0.28000000000000003</v>
      </c>
      <c r="M920">
        <v>0.1045</v>
      </c>
      <c r="N920">
        <v>2</v>
      </c>
      <c r="O920">
        <v>110</v>
      </c>
      <c r="P920">
        <v>112</v>
      </c>
      <c r="Q920" t="str">
        <f t="shared" si="126"/>
        <v>Weekday</v>
      </c>
      <c r="R920" t="str">
        <f t="shared" si="127"/>
        <v>Clear</v>
      </c>
      <c r="S920" t="str">
        <f t="shared" si="128"/>
        <v>Evening</v>
      </c>
      <c r="T920" t="str">
        <f t="shared" si="129"/>
        <v>February</v>
      </c>
      <c r="U920" t="str">
        <f t="shared" si="130"/>
        <v>Spring</v>
      </c>
      <c r="V920">
        <f t="shared" si="131"/>
        <v>0.22929155386993369</v>
      </c>
      <c r="W920">
        <f t="shared" si="132"/>
        <v>-0.25435329828790432</v>
      </c>
      <c r="X920">
        <f t="shared" si="133"/>
        <v>0.10399668008577614</v>
      </c>
      <c r="Y920">
        <f t="shared" si="134"/>
        <v>0.36604748519325236</v>
      </c>
    </row>
    <row r="921" spans="1:25" x14ac:dyDescent="0.3">
      <c r="A921">
        <v>920</v>
      </c>
      <c r="B921" s="1">
        <v>40584</v>
      </c>
      <c r="C921">
        <v>1</v>
      </c>
      <c r="D921">
        <v>0</v>
      </c>
      <c r="E921">
        <v>2</v>
      </c>
      <c r="F921">
        <v>20</v>
      </c>
      <c r="G921" t="b">
        <v>0</v>
      </c>
      <c r="H921">
        <v>4</v>
      </c>
      <c r="I921">
        <v>1</v>
      </c>
      <c r="J921">
        <v>0.14000000000000001</v>
      </c>
      <c r="K921">
        <v>0.18179999999999999</v>
      </c>
      <c r="L921">
        <v>0.31</v>
      </c>
      <c r="M921">
        <v>8.9599999999999999E-2</v>
      </c>
      <c r="N921">
        <v>4</v>
      </c>
      <c r="O921">
        <v>93</v>
      </c>
      <c r="P921">
        <v>97</v>
      </c>
      <c r="Q921" t="str">
        <f t="shared" si="126"/>
        <v>Weekday</v>
      </c>
      <c r="R921" t="str">
        <f t="shared" si="127"/>
        <v>Clear</v>
      </c>
      <c r="S921" t="str">
        <f t="shared" si="128"/>
        <v>Evening</v>
      </c>
      <c r="T921" t="str">
        <f t="shared" si="129"/>
        <v>February</v>
      </c>
      <c r="U921" t="str">
        <f t="shared" si="130"/>
        <v>Spring</v>
      </c>
      <c r="V921">
        <f t="shared" si="131"/>
        <v>0.22929155386993369</v>
      </c>
      <c r="W921">
        <f t="shared" si="132"/>
        <v>-0.25435329828790432</v>
      </c>
      <c r="X921">
        <f t="shared" si="133"/>
        <v>0.10399668008577614</v>
      </c>
      <c r="Y921">
        <f t="shared" si="134"/>
        <v>0.36604748519325236</v>
      </c>
    </row>
    <row r="922" spans="1:25" x14ac:dyDescent="0.3">
      <c r="A922">
        <v>921</v>
      </c>
      <c r="B922" s="1">
        <v>40584</v>
      </c>
      <c r="C922">
        <v>1</v>
      </c>
      <c r="D922">
        <v>0</v>
      </c>
      <c r="E922">
        <v>2</v>
      </c>
      <c r="F922">
        <v>21</v>
      </c>
      <c r="G922" t="b">
        <v>0</v>
      </c>
      <c r="H922">
        <v>4</v>
      </c>
      <c r="I922">
        <v>1</v>
      </c>
      <c r="J922">
        <v>0.14000000000000001</v>
      </c>
      <c r="K922">
        <v>0.21210000000000001</v>
      </c>
      <c r="L922">
        <v>0.39</v>
      </c>
      <c r="M922">
        <v>0</v>
      </c>
      <c r="N922">
        <v>2</v>
      </c>
      <c r="O922">
        <v>70</v>
      </c>
      <c r="P922">
        <v>72</v>
      </c>
      <c r="Q922" t="str">
        <f t="shared" si="126"/>
        <v>Weekday</v>
      </c>
      <c r="R922" t="str">
        <f t="shared" si="127"/>
        <v>Clear</v>
      </c>
      <c r="S922" t="str">
        <f t="shared" si="128"/>
        <v>Night</v>
      </c>
      <c r="T922" t="str">
        <f t="shared" si="129"/>
        <v>February</v>
      </c>
      <c r="U922" t="str">
        <f t="shared" si="130"/>
        <v>Spring</v>
      </c>
      <c r="V922">
        <f t="shared" si="131"/>
        <v>0.22929155386993369</v>
      </c>
      <c r="W922">
        <f t="shared" si="132"/>
        <v>-0.25435329828790432</v>
      </c>
      <c r="X922">
        <f t="shared" si="133"/>
        <v>0.10399668008577614</v>
      </c>
      <c r="Y922">
        <f t="shared" si="134"/>
        <v>0.36604748519325236</v>
      </c>
    </row>
    <row r="923" spans="1:25" x14ac:dyDescent="0.3">
      <c r="A923">
        <v>922</v>
      </c>
      <c r="B923" s="1">
        <v>40584</v>
      </c>
      <c r="C923">
        <v>1</v>
      </c>
      <c r="D923">
        <v>0</v>
      </c>
      <c r="E923">
        <v>2</v>
      </c>
      <c r="F923">
        <v>22</v>
      </c>
      <c r="G923" t="b">
        <v>0</v>
      </c>
      <c r="H923">
        <v>4</v>
      </c>
      <c r="I923">
        <v>1</v>
      </c>
      <c r="J923">
        <v>0.12</v>
      </c>
      <c r="K923">
        <v>0.19700000000000001</v>
      </c>
      <c r="L923">
        <v>0.39</v>
      </c>
      <c r="M923">
        <v>0</v>
      </c>
      <c r="N923">
        <v>4</v>
      </c>
      <c r="O923">
        <v>47</v>
      </c>
      <c r="P923">
        <v>51</v>
      </c>
      <c r="Q923" t="str">
        <f t="shared" si="126"/>
        <v>Weekday</v>
      </c>
      <c r="R923" t="str">
        <f t="shared" si="127"/>
        <v>Clear</v>
      </c>
      <c r="S923" t="str">
        <f t="shared" si="128"/>
        <v>Night</v>
      </c>
      <c r="T923" t="str">
        <f t="shared" si="129"/>
        <v>February</v>
      </c>
      <c r="U923" t="str">
        <f t="shared" si="130"/>
        <v>Spring</v>
      </c>
      <c r="V923">
        <f t="shared" si="131"/>
        <v>0.22929155386993369</v>
      </c>
      <c r="W923">
        <f t="shared" si="132"/>
        <v>-0.25435329828790432</v>
      </c>
      <c r="X923">
        <f t="shared" si="133"/>
        <v>0.10399668008577614</v>
      </c>
      <c r="Y923">
        <f t="shared" si="134"/>
        <v>0.36604748519325236</v>
      </c>
    </row>
    <row r="924" spans="1:25" x14ac:dyDescent="0.3">
      <c r="A924">
        <v>923</v>
      </c>
      <c r="B924" s="1">
        <v>40584</v>
      </c>
      <c r="C924">
        <v>1</v>
      </c>
      <c r="D924">
        <v>0</v>
      </c>
      <c r="E924">
        <v>2</v>
      </c>
      <c r="F924">
        <v>23</v>
      </c>
      <c r="G924" t="b">
        <v>0</v>
      </c>
      <c r="H924">
        <v>4</v>
      </c>
      <c r="I924">
        <v>1</v>
      </c>
      <c r="J924">
        <v>0.12</v>
      </c>
      <c r="K924">
        <v>0.1515</v>
      </c>
      <c r="L924">
        <v>0.42</v>
      </c>
      <c r="M924">
        <v>0.1045</v>
      </c>
      <c r="N924">
        <v>1</v>
      </c>
      <c r="O924">
        <v>33</v>
      </c>
      <c r="P924">
        <v>34</v>
      </c>
      <c r="Q924" t="str">
        <f t="shared" si="126"/>
        <v>Weekday</v>
      </c>
      <c r="R924" t="str">
        <f t="shared" si="127"/>
        <v>Clear</v>
      </c>
      <c r="S924" t="str">
        <f t="shared" si="128"/>
        <v>Night</v>
      </c>
      <c r="T924" t="str">
        <f t="shared" si="129"/>
        <v>February</v>
      </c>
      <c r="U924" t="str">
        <f t="shared" si="130"/>
        <v>Spring</v>
      </c>
      <c r="V924">
        <f t="shared" si="131"/>
        <v>0.22929155386993369</v>
      </c>
      <c r="W924">
        <f t="shared" si="132"/>
        <v>-0.25435329828790432</v>
      </c>
      <c r="X924">
        <f t="shared" si="133"/>
        <v>0.10399668008577614</v>
      </c>
      <c r="Y924">
        <f t="shared" si="134"/>
        <v>0.36604748519325236</v>
      </c>
    </row>
    <row r="925" spans="1:25" x14ac:dyDescent="0.3">
      <c r="A925">
        <v>924</v>
      </c>
      <c r="B925" s="1">
        <v>40585</v>
      </c>
      <c r="C925">
        <v>1</v>
      </c>
      <c r="D925">
        <v>0</v>
      </c>
      <c r="E925">
        <v>2</v>
      </c>
      <c r="F925">
        <v>0</v>
      </c>
      <c r="G925" t="b">
        <v>0</v>
      </c>
      <c r="H925">
        <v>5</v>
      </c>
      <c r="I925">
        <v>1</v>
      </c>
      <c r="J925">
        <v>0.1</v>
      </c>
      <c r="K925">
        <v>0.13639999999999999</v>
      </c>
      <c r="L925">
        <v>0.49</v>
      </c>
      <c r="M925">
        <v>0.1045</v>
      </c>
      <c r="N925">
        <v>2</v>
      </c>
      <c r="O925">
        <v>12</v>
      </c>
      <c r="P925">
        <v>14</v>
      </c>
      <c r="Q925" t="str">
        <f t="shared" si="126"/>
        <v>Weekday</v>
      </c>
      <c r="R925" t="str">
        <f t="shared" si="127"/>
        <v>Clear</v>
      </c>
      <c r="S925" t="str">
        <f t="shared" si="128"/>
        <v>Night</v>
      </c>
      <c r="T925" t="str">
        <f t="shared" si="129"/>
        <v>February</v>
      </c>
      <c r="U925" t="str">
        <f t="shared" si="130"/>
        <v>Spring</v>
      </c>
      <c r="V925">
        <f t="shared" si="131"/>
        <v>0.22929155386993369</v>
      </c>
      <c r="W925">
        <f t="shared" si="132"/>
        <v>-0.25435329828790432</v>
      </c>
      <c r="X925">
        <f t="shared" si="133"/>
        <v>0.10399668008577614</v>
      </c>
      <c r="Y925">
        <f t="shared" si="134"/>
        <v>0.36604748519325236</v>
      </c>
    </row>
    <row r="926" spans="1:25" x14ac:dyDescent="0.3">
      <c r="A926">
        <v>925</v>
      </c>
      <c r="B926" s="1">
        <v>40585</v>
      </c>
      <c r="C926">
        <v>1</v>
      </c>
      <c r="D926">
        <v>0</v>
      </c>
      <c r="E926">
        <v>2</v>
      </c>
      <c r="F926">
        <v>1</v>
      </c>
      <c r="G926" t="b">
        <v>0</v>
      </c>
      <c r="H926">
        <v>5</v>
      </c>
      <c r="I926">
        <v>1</v>
      </c>
      <c r="J926">
        <v>0.1</v>
      </c>
      <c r="K926">
        <v>0.13639999999999999</v>
      </c>
      <c r="L926">
        <v>0.54</v>
      </c>
      <c r="M926">
        <v>8.9599999999999999E-2</v>
      </c>
      <c r="N926">
        <v>1</v>
      </c>
      <c r="O926">
        <v>6</v>
      </c>
      <c r="P926">
        <v>7</v>
      </c>
      <c r="Q926" t="str">
        <f t="shared" si="126"/>
        <v>Weekday</v>
      </c>
      <c r="R926" t="str">
        <f t="shared" si="127"/>
        <v>Clear</v>
      </c>
      <c r="S926" t="str">
        <f t="shared" si="128"/>
        <v>Night</v>
      </c>
      <c r="T926" t="str">
        <f t="shared" si="129"/>
        <v>February</v>
      </c>
      <c r="U926" t="str">
        <f t="shared" si="130"/>
        <v>Spring</v>
      </c>
      <c r="V926">
        <f t="shared" si="131"/>
        <v>0.22929155386993369</v>
      </c>
      <c r="W926">
        <f t="shared" si="132"/>
        <v>-0.25435329828790432</v>
      </c>
      <c r="X926">
        <f t="shared" si="133"/>
        <v>0.10399668008577614</v>
      </c>
      <c r="Y926">
        <f t="shared" si="134"/>
        <v>0.36604748519325236</v>
      </c>
    </row>
    <row r="927" spans="1:25" x14ac:dyDescent="0.3">
      <c r="A927">
        <v>926</v>
      </c>
      <c r="B927" s="1">
        <v>40585</v>
      </c>
      <c r="C927">
        <v>1</v>
      </c>
      <c r="D927">
        <v>0</v>
      </c>
      <c r="E927">
        <v>2</v>
      </c>
      <c r="F927">
        <v>2</v>
      </c>
      <c r="G927" t="b">
        <v>0</v>
      </c>
      <c r="H927">
        <v>5</v>
      </c>
      <c r="I927">
        <v>1</v>
      </c>
      <c r="J927">
        <v>0.1</v>
      </c>
      <c r="K927">
        <v>0.13639999999999999</v>
      </c>
      <c r="L927">
        <v>0.54</v>
      </c>
      <c r="M927">
        <v>8.9599999999999999E-2</v>
      </c>
      <c r="N927">
        <v>0</v>
      </c>
      <c r="O927">
        <v>3</v>
      </c>
      <c r="P927">
        <v>3</v>
      </c>
      <c r="Q927" t="str">
        <f t="shared" si="126"/>
        <v>Weekday</v>
      </c>
      <c r="R927" t="str">
        <f t="shared" si="127"/>
        <v>Clear</v>
      </c>
      <c r="S927" t="str">
        <f t="shared" si="128"/>
        <v>Night</v>
      </c>
      <c r="T927" t="str">
        <f t="shared" si="129"/>
        <v>February</v>
      </c>
      <c r="U927" t="str">
        <f t="shared" si="130"/>
        <v>Spring</v>
      </c>
      <c r="V927">
        <f t="shared" si="131"/>
        <v>0.22929155386993369</v>
      </c>
      <c r="W927">
        <f t="shared" si="132"/>
        <v>-0.25435329828790432</v>
      </c>
      <c r="X927">
        <f t="shared" si="133"/>
        <v>0.10399668008577614</v>
      </c>
      <c r="Y927">
        <f t="shared" si="134"/>
        <v>0.36604748519325236</v>
      </c>
    </row>
    <row r="928" spans="1:25" x14ac:dyDescent="0.3">
      <c r="A928">
        <v>927</v>
      </c>
      <c r="B928" s="1">
        <v>40585</v>
      </c>
      <c r="C928">
        <v>1</v>
      </c>
      <c r="D928">
        <v>0</v>
      </c>
      <c r="E928">
        <v>2</v>
      </c>
      <c r="F928">
        <v>5</v>
      </c>
      <c r="G928" t="b">
        <v>0</v>
      </c>
      <c r="H928">
        <v>5</v>
      </c>
      <c r="I928">
        <v>1</v>
      </c>
      <c r="J928">
        <v>0.08</v>
      </c>
      <c r="K928">
        <v>0.1212</v>
      </c>
      <c r="L928">
        <v>0.63</v>
      </c>
      <c r="M928">
        <v>8.9599999999999999E-2</v>
      </c>
      <c r="N928">
        <v>0</v>
      </c>
      <c r="O928">
        <v>4</v>
      </c>
      <c r="P928">
        <v>4</v>
      </c>
      <c r="Q928" t="str">
        <f t="shared" si="126"/>
        <v>Weekday</v>
      </c>
      <c r="R928" t="str">
        <f t="shared" si="127"/>
        <v>Clear</v>
      </c>
      <c r="S928" t="str">
        <f t="shared" si="128"/>
        <v>Night</v>
      </c>
      <c r="T928" t="str">
        <f t="shared" si="129"/>
        <v>February</v>
      </c>
      <c r="U928" t="str">
        <f t="shared" si="130"/>
        <v>Spring</v>
      </c>
      <c r="V928">
        <f t="shared" si="131"/>
        <v>0.22929155386993369</v>
      </c>
      <c r="W928">
        <f t="shared" si="132"/>
        <v>-0.25435329828790432</v>
      </c>
      <c r="X928">
        <f t="shared" si="133"/>
        <v>0.10399668008577614</v>
      </c>
      <c r="Y928">
        <f t="shared" si="134"/>
        <v>0.36604748519325236</v>
      </c>
    </row>
    <row r="929" spans="1:25" x14ac:dyDescent="0.3">
      <c r="A929">
        <v>928</v>
      </c>
      <c r="B929" s="1">
        <v>40585</v>
      </c>
      <c r="C929">
        <v>1</v>
      </c>
      <c r="D929">
        <v>0</v>
      </c>
      <c r="E929">
        <v>2</v>
      </c>
      <c r="F929">
        <v>6</v>
      </c>
      <c r="G929" t="b">
        <v>0</v>
      </c>
      <c r="H929">
        <v>5</v>
      </c>
      <c r="I929">
        <v>1</v>
      </c>
      <c r="J929">
        <v>0.1</v>
      </c>
      <c r="K929">
        <v>0.18179999999999999</v>
      </c>
      <c r="L929">
        <v>0.68</v>
      </c>
      <c r="M929">
        <v>0</v>
      </c>
      <c r="N929">
        <v>1</v>
      </c>
      <c r="O929">
        <v>23</v>
      </c>
      <c r="P929">
        <v>24</v>
      </c>
      <c r="Q929" t="str">
        <f t="shared" si="126"/>
        <v>Weekday</v>
      </c>
      <c r="R929" t="str">
        <f t="shared" si="127"/>
        <v>Clear</v>
      </c>
      <c r="S929" t="str">
        <f t="shared" si="128"/>
        <v>Morning</v>
      </c>
      <c r="T929" t="str">
        <f t="shared" si="129"/>
        <v>February</v>
      </c>
      <c r="U929" t="str">
        <f t="shared" si="130"/>
        <v>Spring</v>
      </c>
      <c r="V929">
        <f t="shared" si="131"/>
        <v>0.22929155386993369</v>
      </c>
      <c r="W929">
        <f t="shared" si="132"/>
        <v>-0.25435329828790432</v>
      </c>
      <c r="X929">
        <f t="shared" si="133"/>
        <v>0.10399668008577614</v>
      </c>
      <c r="Y929">
        <f t="shared" si="134"/>
        <v>0.36604748519325236</v>
      </c>
    </row>
    <row r="930" spans="1:25" x14ac:dyDescent="0.3">
      <c r="A930">
        <v>929</v>
      </c>
      <c r="B930" s="1">
        <v>40585</v>
      </c>
      <c r="C930">
        <v>1</v>
      </c>
      <c r="D930">
        <v>0</v>
      </c>
      <c r="E930">
        <v>2</v>
      </c>
      <c r="F930">
        <v>7</v>
      </c>
      <c r="G930" t="b">
        <v>0</v>
      </c>
      <c r="H930">
        <v>5</v>
      </c>
      <c r="I930">
        <v>1</v>
      </c>
      <c r="J930">
        <v>0.08</v>
      </c>
      <c r="K930">
        <v>0.16669999999999999</v>
      </c>
      <c r="L930">
        <v>0.73</v>
      </c>
      <c r="M930">
        <v>0</v>
      </c>
      <c r="N930">
        <v>1</v>
      </c>
      <c r="O930">
        <v>73</v>
      </c>
      <c r="P930">
        <v>74</v>
      </c>
      <c r="Q930" t="str">
        <f t="shared" si="126"/>
        <v>Weekday</v>
      </c>
      <c r="R930" t="str">
        <f t="shared" si="127"/>
        <v>Clear</v>
      </c>
      <c r="S930" t="str">
        <f t="shared" si="128"/>
        <v>Morning</v>
      </c>
      <c r="T930" t="str">
        <f t="shared" si="129"/>
        <v>February</v>
      </c>
      <c r="U930" t="str">
        <f t="shared" si="130"/>
        <v>Spring</v>
      </c>
      <c r="V930">
        <f t="shared" si="131"/>
        <v>0.22929155386993369</v>
      </c>
      <c r="W930">
        <f t="shared" si="132"/>
        <v>-0.25435329828790432</v>
      </c>
      <c r="X930">
        <f t="shared" si="133"/>
        <v>0.10399668008577614</v>
      </c>
      <c r="Y930">
        <f t="shared" si="134"/>
        <v>0.36604748519325236</v>
      </c>
    </row>
    <row r="931" spans="1:25" x14ac:dyDescent="0.3">
      <c r="A931">
        <v>930</v>
      </c>
      <c r="B931" s="1">
        <v>40585</v>
      </c>
      <c r="C931">
        <v>1</v>
      </c>
      <c r="D931">
        <v>0</v>
      </c>
      <c r="E931">
        <v>2</v>
      </c>
      <c r="F931">
        <v>8</v>
      </c>
      <c r="G931" t="b">
        <v>0</v>
      </c>
      <c r="H931">
        <v>5</v>
      </c>
      <c r="I931">
        <v>1</v>
      </c>
      <c r="J931">
        <v>0.1</v>
      </c>
      <c r="K931">
        <v>0.1212</v>
      </c>
      <c r="L931">
        <v>0.74</v>
      </c>
      <c r="M931">
        <v>0.16420000000000001</v>
      </c>
      <c r="N931">
        <v>4</v>
      </c>
      <c r="O931">
        <v>212</v>
      </c>
      <c r="P931">
        <v>216</v>
      </c>
      <c r="Q931" t="str">
        <f t="shared" si="126"/>
        <v>Weekday</v>
      </c>
      <c r="R931" t="str">
        <f t="shared" si="127"/>
        <v>Clear</v>
      </c>
      <c r="S931" t="str">
        <f t="shared" si="128"/>
        <v>Morning</v>
      </c>
      <c r="T931" t="str">
        <f t="shared" si="129"/>
        <v>February</v>
      </c>
      <c r="U931" t="str">
        <f t="shared" si="130"/>
        <v>Spring</v>
      </c>
      <c r="V931">
        <f t="shared" si="131"/>
        <v>0.22929155386993369</v>
      </c>
      <c r="W931">
        <f t="shared" si="132"/>
        <v>-0.25435329828790432</v>
      </c>
      <c r="X931">
        <f t="shared" si="133"/>
        <v>0.10399668008577614</v>
      </c>
      <c r="Y931">
        <f t="shared" si="134"/>
        <v>0.36604748519325236</v>
      </c>
    </row>
    <row r="932" spans="1:25" x14ac:dyDescent="0.3">
      <c r="A932">
        <v>931</v>
      </c>
      <c r="B932" s="1">
        <v>40585</v>
      </c>
      <c r="C932">
        <v>1</v>
      </c>
      <c r="D932">
        <v>0</v>
      </c>
      <c r="E932">
        <v>2</v>
      </c>
      <c r="F932">
        <v>9</v>
      </c>
      <c r="G932" t="b">
        <v>0</v>
      </c>
      <c r="H932">
        <v>5</v>
      </c>
      <c r="I932">
        <v>1</v>
      </c>
      <c r="J932">
        <v>0.12</v>
      </c>
      <c r="K932">
        <v>0.1212</v>
      </c>
      <c r="L932">
        <v>0.74</v>
      </c>
      <c r="M932">
        <v>0.22389999999999999</v>
      </c>
      <c r="N932">
        <v>8</v>
      </c>
      <c r="O932">
        <v>132</v>
      </c>
      <c r="P932">
        <v>140</v>
      </c>
      <c r="Q932" t="str">
        <f t="shared" si="126"/>
        <v>Weekday</v>
      </c>
      <c r="R932" t="str">
        <f t="shared" si="127"/>
        <v>Clear</v>
      </c>
      <c r="S932" t="str">
        <f t="shared" si="128"/>
        <v>Morning</v>
      </c>
      <c r="T932" t="str">
        <f t="shared" si="129"/>
        <v>February</v>
      </c>
      <c r="U932" t="str">
        <f t="shared" si="130"/>
        <v>Spring</v>
      </c>
      <c r="V932">
        <f t="shared" si="131"/>
        <v>0.22929155386993369</v>
      </c>
      <c r="W932">
        <f t="shared" si="132"/>
        <v>-0.25435329828790432</v>
      </c>
      <c r="X932">
        <f t="shared" si="133"/>
        <v>0.10399668008577614</v>
      </c>
      <c r="Y932">
        <f t="shared" si="134"/>
        <v>0.36604748519325236</v>
      </c>
    </row>
    <row r="933" spans="1:25" x14ac:dyDescent="0.3">
      <c r="A933">
        <v>932</v>
      </c>
      <c r="B933" s="1">
        <v>40585</v>
      </c>
      <c r="C933">
        <v>1</v>
      </c>
      <c r="D933">
        <v>0</v>
      </c>
      <c r="E933">
        <v>2</v>
      </c>
      <c r="F933">
        <v>10</v>
      </c>
      <c r="G933" t="b">
        <v>0</v>
      </c>
      <c r="H933">
        <v>5</v>
      </c>
      <c r="I933">
        <v>1</v>
      </c>
      <c r="J933">
        <v>0.14000000000000001</v>
      </c>
      <c r="K933">
        <v>0.13639999999999999</v>
      </c>
      <c r="L933">
        <v>0.69</v>
      </c>
      <c r="M933">
        <v>0.19400000000000001</v>
      </c>
      <c r="N933">
        <v>5</v>
      </c>
      <c r="O933">
        <v>39</v>
      </c>
      <c r="P933">
        <v>44</v>
      </c>
      <c r="Q933" t="str">
        <f t="shared" si="126"/>
        <v>Weekday</v>
      </c>
      <c r="R933" t="str">
        <f t="shared" si="127"/>
        <v>Clear</v>
      </c>
      <c r="S933" t="str">
        <f t="shared" si="128"/>
        <v>Morning</v>
      </c>
      <c r="T933" t="str">
        <f t="shared" si="129"/>
        <v>February</v>
      </c>
      <c r="U933" t="str">
        <f t="shared" si="130"/>
        <v>Spring</v>
      </c>
      <c r="V933">
        <f t="shared" si="131"/>
        <v>0.22929155386993369</v>
      </c>
      <c r="W933">
        <f t="shared" si="132"/>
        <v>-0.25435329828790432</v>
      </c>
      <c r="X933">
        <f t="shared" si="133"/>
        <v>0.10399668008577614</v>
      </c>
      <c r="Y933">
        <f t="shared" si="134"/>
        <v>0.36604748519325236</v>
      </c>
    </row>
    <row r="934" spans="1:25" x14ac:dyDescent="0.3">
      <c r="A934">
        <v>933</v>
      </c>
      <c r="B934" s="1">
        <v>40585</v>
      </c>
      <c r="C934">
        <v>1</v>
      </c>
      <c r="D934">
        <v>0</v>
      </c>
      <c r="E934">
        <v>2</v>
      </c>
      <c r="F934">
        <v>11</v>
      </c>
      <c r="G934" t="b">
        <v>0</v>
      </c>
      <c r="H934">
        <v>5</v>
      </c>
      <c r="I934">
        <v>1</v>
      </c>
      <c r="J934">
        <v>0.22</v>
      </c>
      <c r="K934">
        <v>0.2273</v>
      </c>
      <c r="L934">
        <v>0.47</v>
      </c>
      <c r="M934">
        <v>0.1343</v>
      </c>
      <c r="N934">
        <v>12</v>
      </c>
      <c r="O934">
        <v>52</v>
      </c>
      <c r="P934">
        <v>64</v>
      </c>
      <c r="Q934" t="str">
        <f t="shared" si="126"/>
        <v>Weekday</v>
      </c>
      <c r="R934" t="str">
        <f t="shared" si="127"/>
        <v>Clear</v>
      </c>
      <c r="S934" t="str">
        <f t="shared" si="128"/>
        <v>Morning</v>
      </c>
      <c r="T934" t="str">
        <f t="shared" si="129"/>
        <v>February</v>
      </c>
      <c r="U934" t="str">
        <f t="shared" si="130"/>
        <v>Spring</v>
      </c>
      <c r="V934">
        <f t="shared" si="131"/>
        <v>0.22929155386993369</v>
      </c>
      <c r="W934">
        <f t="shared" si="132"/>
        <v>-0.25435329828790432</v>
      </c>
      <c r="X934">
        <f t="shared" si="133"/>
        <v>0.10399668008577614</v>
      </c>
      <c r="Y934">
        <f t="shared" si="134"/>
        <v>0.36604748519325236</v>
      </c>
    </row>
    <row r="935" spans="1:25" x14ac:dyDescent="0.3">
      <c r="A935">
        <v>934</v>
      </c>
      <c r="B935" s="1">
        <v>40585</v>
      </c>
      <c r="C935">
        <v>1</v>
      </c>
      <c r="D935">
        <v>0</v>
      </c>
      <c r="E935">
        <v>2</v>
      </c>
      <c r="F935">
        <v>12</v>
      </c>
      <c r="G935" t="b">
        <v>0</v>
      </c>
      <c r="H935">
        <v>5</v>
      </c>
      <c r="I935">
        <v>1</v>
      </c>
      <c r="J935">
        <v>0.22</v>
      </c>
      <c r="K935">
        <v>0.2273</v>
      </c>
      <c r="L935">
        <v>0.47</v>
      </c>
      <c r="M935">
        <v>0.1343</v>
      </c>
      <c r="N935">
        <v>7</v>
      </c>
      <c r="O935">
        <v>64</v>
      </c>
      <c r="P935">
        <v>71</v>
      </c>
      <c r="Q935" t="str">
        <f t="shared" si="126"/>
        <v>Weekday</v>
      </c>
      <c r="R935" t="str">
        <f t="shared" si="127"/>
        <v>Clear</v>
      </c>
      <c r="S935" t="str">
        <f t="shared" si="128"/>
        <v>Afternoon</v>
      </c>
      <c r="T935" t="str">
        <f t="shared" si="129"/>
        <v>February</v>
      </c>
      <c r="U935" t="str">
        <f t="shared" si="130"/>
        <v>Spring</v>
      </c>
      <c r="V935">
        <f t="shared" si="131"/>
        <v>0.22929155386993369</v>
      </c>
      <c r="W935">
        <f t="shared" si="132"/>
        <v>-0.25435329828790432</v>
      </c>
      <c r="X935">
        <f t="shared" si="133"/>
        <v>0.10399668008577614</v>
      </c>
      <c r="Y935">
        <f t="shared" si="134"/>
        <v>0.36604748519325236</v>
      </c>
    </row>
    <row r="936" spans="1:25" x14ac:dyDescent="0.3">
      <c r="A936">
        <v>935</v>
      </c>
      <c r="B936" s="1">
        <v>40585</v>
      </c>
      <c r="C936">
        <v>1</v>
      </c>
      <c r="D936">
        <v>0</v>
      </c>
      <c r="E936">
        <v>2</v>
      </c>
      <c r="F936">
        <v>13</v>
      </c>
      <c r="G936" t="b">
        <v>0</v>
      </c>
      <c r="H936">
        <v>5</v>
      </c>
      <c r="I936">
        <v>1</v>
      </c>
      <c r="J936">
        <v>0.24</v>
      </c>
      <c r="K936">
        <v>0.2273</v>
      </c>
      <c r="L936">
        <v>0.35</v>
      </c>
      <c r="M936">
        <v>0.19400000000000001</v>
      </c>
      <c r="N936">
        <v>21</v>
      </c>
      <c r="O936">
        <v>89</v>
      </c>
      <c r="P936">
        <v>110</v>
      </c>
      <c r="Q936" t="str">
        <f t="shared" si="126"/>
        <v>Weekday</v>
      </c>
      <c r="R936" t="str">
        <f t="shared" si="127"/>
        <v>Clear</v>
      </c>
      <c r="S936" t="str">
        <f t="shared" si="128"/>
        <v>Afternoon</v>
      </c>
      <c r="T936" t="str">
        <f t="shared" si="129"/>
        <v>February</v>
      </c>
      <c r="U936" t="str">
        <f t="shared" si="130"/>
        <v>Spring</v>
      </c>
      <c r="V936">
        <f t="shared" si="131"/>
        <v>0.22929155386993369</v>
      </c>
      <c r="W936">
        <f t="shared" si="132"/>
        <v>-0.25435329828790432</v>
      </c>
      <c r="X936">
        <f t="shared" si="133"/>
        <v>0.10399668008577614</v>
      </c>
      <c r="Y936">
        <f t="shared" si="134"/>
        <v>0.36604748519325236</v>
      </c>
    </row>
    <row r="937" spans="1:25" x14ac:dyDescent="0.3">
      <c r="A937">
        <v>936</v>
      </c>
      <c r="B937" s="1">
        <v>40585</v>
      </c>
      <c r="C937">
        <v>1</v>
      </c>
      <c r="D937">
        <v>0</v>
      </c>
      <c r="E937">
        <v>2</v>
      </c>
      <c r="F937">
        <v>14</v>
      </c>
      <c r="G937" t="b">
        <v>0</v>
      </c>
      <c r="H937">
        <v>5</v>
      </c>
      <c r="I937">
        <v>1</v>
      </c>
      <c r="J937">
        <v>0.3</v>
      </c>
      <c r="K937">
        <v>0.28789999999999999</v>
      </c>
      <c r="L937">
        <v>0.26</v>
      </c>
      <c r="M937">
        <v>0.25369999999999998</v>
      </c>
      <c r="N937">
        <v>17</v>
      </c>
      <c r="O937">
        <v>67</v>
      </c>
      <c r="P937">
        <v>84</v>
      </c>
      <c r="Q937" t="str">
        <f t="shared" si="126"/>
        <v>Weekday</v>
      </c>
      <c r="R937" t="str">
        <f t="shared" si="127"/>
        <v>Clear</v>
      </c>
      <c r="S937" t="str">
        <f t="shared" si="128"/>
        <v>Afternoon</v>
      </c>
      <c r="T937" t="str">
        <f t="shared" si="129"/>
        <v>February</v>
      </c>
      <c r="U937" t="str">
        <f t="shared" si="130"/>
        <v>Spring</v>
      </c>
      <c r="V937">
        <f t="shared" si="131"/>
        <v>0.22929155386993369</v>
      </c>
      <c r="W937">
        <f t="shared" si="132"/>
        <v>-0.25435329828790432</v>
      </c>
      <c r="X937">
        <f t="shared" si="133"/>
        <v>0.10399668008577614</v>
      </c>
      <c r="Y937">
        <f t="shared" si="134"/>
        <v>0.36604748519325236</v>
      </c>
    </row>
    <row r="938" spans="1:25" x14ac:dyDescent="0.3">
      <c r="A938">
        <v>937</v>
      </c>
      <c r="B938" s="1">
        <v>40585</v>
      </c>
      <c r="C938">
        <v>1</v>
      </c>
      <c r="D938">
        <v>0</v>
      </c>
      <c r="E938">
        <v>2</v>
      </c>
      <c r="F938">
        <v>15</v>
      </c>
      <c r="G938" t="b">
        <v>0</v>
      </c>
      <c r="H938">
        <v>5</v>
      </c>
      <c r="I938">
        <v>1</v>
      </c>
      <c r="J938">
        <v>0.32</v>
      </c>
      <c r="K938">
        <v>0.31819999999999998</v>
      </c>
      <c r="L938">
        <v>0.21</v>
      </c>
      <c r="M938">
        <v>0.16420000000000001</v>
      </c>
      <c r="N938">
        <v>12</v>
      </c>
      <c r="O938">
        <v>62</v>
      </c>
      <c r="P938">
        <v>74</v>
      </c>
      <c r="Q938" t="str">
        <f t="shared" si="126"/>
        <v>Weekday</v>
      </c>
      <c r="R938" t="str">
        <f t="shared" si="127"/>
        <v>Clear</v>
      </c>
      <c r="S938" t="str">
        <f t="shared" si="128"/>
        <v>Afternoon</v>
      </c>
      <c r="T938" t="str">
        <f t="shared" si="129"/>
        <v>February</v>
      </c>
      <c r="U938" t="str">
        <f t="shared" si="130"/>
        <v>Spring</v>
      </c>
      <c r="V938">
        <f t="shared" si="131"/>
        <v>0.22929155386993369</v>
      </c>
      <c r="W938">
        <f t="shared" si="132"/>
        <v>-0.25435329828790432</v>
      </c>
      <c r="X938">
        <f t="shared" si="133"/>
        <v>0.10399668008577614</v>
      </c>
      <c r="Y938">
        <f t="shared" si="134"/>
        <v>0.36604748519325236</v>
      </c>
    </row>
    <row r="939" spans="1:25" x14ac:dyDescent="0.3">
      <c r="A939">
        <v>938</v>
      </c>
      <c r="B939" s="1">
        <v>40585</v>
      </c>
      <c r="C939">
        <v>1</v>
      </c>
      <c r="D939">
        <v>0</v>
      </c>
      <c r="E939">
        <v>2</v>
      </c>
      <c r="F939">
        <v>16</v>
      </c>
      <c r="G939" t="b">
        <v>0</v>
      </c>
      <c r="H939">
        <v>5</v>
      </c>
      <c r="I939">
        <v>1</v>
      </c>
      <c r="J939">
        <v>0.3</v>
      </c>
      <c r="K939">
        <v>0.28789999999999999</v>
      </c>
      <c r="L939">
        <v>0.28000000000000003</v>
      </c>
      <c r="M939">
        <v>0.19400000000000001</v>
      </c>
      <c r="N939">
        <v>14</v>
      </c>
      <c r="O939">
        <v>111</v>
      </c>
      <c r="P939">
        <v>125</v>
      </c>
      <c r="Q939" t="str">
        <f t="shared" si="126"/>
        <v>Weekday</v>
      </c>
      <c r="R939" t="str">
        <f t="shared" si="127"/>
        <v>Clear</v>
      </c>
      <c r="S939" t="str">
        <f t="shared" si="128"/>
        <v>Afternoon</v>
      </c>
      <c r="T939" t="str">
        <f t="shared" si="129"/>
        <v>February</v>
      </c>
      <c r="U939" t="str">
        <f t="shared" si="130"/>
        <v>Spring</v>
      </c>
      <c r="V939">
        <f t="shared" si="131"/>
        <v>0.22929155386993369</v>
      </c>
      <c r="W939">
        <f t="shared" si="132"/>
        <v>-0.25435329828790432</v>
      </c>
      <c r="X939">
        <f t="shared" si="133"/>
        <v>0.10399668008577614</v>
      </c>
      <c r="Y939">
        <f t="shared" si="134"/>
        <v>0.36604748519325236</v>
      </c>
    </row>
    <row r="940" spans="1:25" x14ac:dyDescent="0.3">
      <c r="A940">
        <v>939</v>
      </c>
      <c r="B940" s="1">
        <v>40585</v>
      </c>
      <c r="C940">
        <v>1</v>
      </c>
      <c r="D940">
        <v>0</v>
      </c>
      <c r="E940">
        <v>2</v>
      </c>
      <c r="F940">
        <v>17</v>
      </c>
      <c r="G940" t="b">
        <v>0</v>
      </c>
      <c r="H940">
        <v>5</v>
      </c>
      <c r="I940">
        <v>1</v>
      </c>
      <c r="J940">
        <v>0.3</v>
      </c>
      <c r="K940">
        <v>0.33329999999999999</v>
      </c>
      <c r="L940">
        <v>0.24</v>
      </c>
      <c r="M940">
        <v>0</v>
      </c>
      <c r="N940">
        <v>18</v>
      </c>
      <c r="O940">
        <v>193</v>
      </c>
      <c r="P940">
        <v>211</v>
      </c>
      <c r="Q940" t="str">
        <f t="shared" si="126"/>
        <v>Weekday</v>
      </c>
      <c r="R940" t="str">
        <f t="shared" si="127"/>
        <v>Clear</v>
      </c>
      <c r="S940" t="str">
        <f t="shared" si="128"/>
        <v>Evening</v>
      </c>
      <c r="T940" t="str">
        <f t="shared" si="129"/>
        <v>February</v>
      </c>
      <c r="U940" t="str">
        <f t="shared" si="130"/>
        <v>Spring</v>
      </c>
      <c r="V940">
        <f t="shared" si="131"/>
        <v>0.22929155386993369</v>
      </c>
      <c r="W940">
        <f t="shared" si="132"/>
        <v>-0.25435329828790432</v>
      </c>
      <c r="X940">
        <f t="shared" si="133"/>
        <v>0.10399668008577614</v>
      </c>
      <c r="Y940">
        <f t="shared" si="134"/>
        <v>0.36604748519325236</v>
      </c>
    </row>
    <row r="941" spans="1:25" x14ac:dyDescent="0.3">
      <c r="A941">
        <v>940</v>
      </c>
      <c r="B941" s="1">
        <v>40585</v>
      </c>
      <c r="C941">
        <v>1</v>
      </c>
      <c r="D941">
        <v>0</v>
      </c>
      <c r="E941">
        <v>2</v>
      </c>
      <c r="F941">
        <v>18</v>
      </c>
      <c r="G941" t="b">
        <v>0</v>
      </c>
      <c r="H941">
        <v>5</v>
      </c>
      <c r="I941">
        <v>1</v>
      </c>
      <c r="J941">
        <v>0.28000000000000003</v>
      </c>
      <c r="K941">
        <v>0.31819999999999998</v>
      </c>
      <c r="L941">
        <v>0.28000000000000003</v>
      </c>
      <c r="M941">
        <v>0</v>
      </c>
      <c r="N941">
        <v>9</v>
      </c>
      <c r="O941">
        <v>165</v>
      </c>
      <c r="P941">
        <v>174</v>
      </c>
      <c r="Q941" t="str">
        <f t="shared" si="126"/>
        <v>Weekday</v>
      </c>
      <c r="R941" t="str">
        <f t="shared" si="127"/>
        <v>Clear</v>
      </c>
      <c r="S941" t="str">
        <f t="shared" si="128"/>
        <v>Evening</v>
      </c>
      <c r="T941" t="str">
        <f t="shared" si="129"/>
        <v>February</v>
      </c>
      <c r="U941" t="str">
        <f t="shared" si="130"/>
        <v>Spring</v>
      </c>
      <c r="V941">
        <f t="shared" si="131"/>
        <v>0.22929155386993369</v>
      </c>
      <c r="W941">
        <f t="shared" si="132"/>
        <v>-0.25435329828790432</v>
      </c>
      <c r="X941">
        <f t="shared" si="133"/>
        <v>0.10399668008577614</v>
      </c>
      <c r="Y941">
        <f t="shared" si="134"/>
        <v>0.36604748519325236</v>
      </c>
    </row>
    <row r="942" spans="1:25" x14ac:dyDescent="0.3">
      <c r="A942">
        <v>941</v>
      </c>
      <c r="B942" s="1">
        <v>40585</v>
      </c>
      <c r="C942">
        <v>1</v>
      </c>
      <c r="D942">
        <v>0</v>
      </c>
      <c r="E942">
        <v>2</v>
      </c>
      <c r="F942">
        <v>19</v>
      </c>
      <c r="G942" t="b">
        <v>0</v>
      </c>
      <c r="H942">
        <v>5</v>
      </c>
      <c r="I942">
        <v>1</v>
      </c>
      <c r="J942">
        <v>0.26</v>
      </c>
      <c r="K942">
        <v>0.30299999999999999</v>
      </c>
      <c r="L942">
        <v>0.33</v>
      </c>
      <c r="M942">
        <v>0</v>
      </c>
      <c r="N942">
        <v>7</v>
      </c>
      <c r="O942">
        <v>94</v>
      </c>
      <c r="P942">
        <v>101</v>
      </c>
      <c r="Q942" t="str">
        <f t="shared" si="126"/>
        <v>Weekday</v>
      </c>
      <c r="R942" t="str">
        <f t="shared" si="127"/>
        <v>Clear</v>
      </c>
      <c r="S942" t="str">
        <f t="shared" si="128"/>
        <v>Evening</v>
      </c>
      <c r="T942" t="str">
        <f t="shared" si="129"/>
        <v>February</v>
      </c>
      <c r="U942" t="str">
        <f t="shared" si="130"/>
        <v>Spring</v>
      </c>
      <c r="V942">
        <f t="shared" si="131"/>
        <v>0.22929155386993369</v>
      </c>
      <c r="W942">
        <f t="shared" si="132"/>
        <v>-0.25435329828790432</v>
      </c>
      <c r="X942">
        <f t="shared" si="133"/>
        <v>0.10399668008577614</v>
      </c>
      <c r="Y942">
        <f t="shared" si="134"/>
        <v>0.36604748519325236</v>
      </c>
    </row>
    <row r="943" spans="1:25" x14ac:dyDescent="0.3">
      <c r="A943">
        <v>942</v>
      </c>
      <c r="B943" s="1">
        <v>40585</v>
      </c>
      <c r="C943">
        <v>1</v>
      </c>
      <c r="D943">
        <v>0</v>
      </c>
      <c r="E943">
        <v>2</v>
      </c>
      <c r="F943">
        <v>20</v>
      </c>
      <c r="G943" t="b">
        <v>0</v>
      </c>
      <c r="H943">
        <v>5</v>
      </c>
      <c r="I943">
        <v>1</v>
      </c>
      <c r="J943">
        <v>0.22</v>
      </c>
      <c r="K943">
        <v>0.2273</v>
      </c>
      <c r="L943">
        <v>0.55000000000000004</v>
      </c>
      <c r="M943">
        <v>0.1343</v>
      </c>
      <c r="N943">
        <v>2</v>
      </c>
      <c r="O943">
        <v>61</v>
      </c>
      <c r="P943">
        <v>63</v>
      </c>
      <c r="Q943" t="str">
        <f t="shared" si="126"/>
        <v>Weekday</v>
      </c>
      <c r="R943" t="str">
        <f t="shared" si="127"/>
        <v>Clear</v>
      </c>
      <c r="S943" t="str">
        <f t="shared" si="128"/>
        <v>Evening</v>
      </c>
      <c r="T943" t="str">
        <f t="shared" si="129"/>
        <v>February</v>
      </c>
      <c r="U943" t="str">
        <f t="shared" si="130"/>
        <v>Spring</v>
      </c>
      <c r="V943">
        <f t="shared" si="131"/>
        <v>0.22929155386993369</v>
      </c>
      <c r="W943">
        <f t="shared" si="132"/>
        <v>-0.25435329828790432</v>
      </c>
      <c r="X943">
        <f t="shared" si="133"/>
        <v>0.10399668008577614</v>
      </c>
      <c r="Y943">
        <f t="shared" si="134"/>
        <v>0.36604748519325236</v>
      </c>
    </row>
    <row r="944" spans="1:25" x14ac:dyDescent="0.3">
      <c r="A944">
        <v>943</v>
      </c>
      <c r="B944" s="1">
        <v>40585</v>
      </c>
      <c r="C944">
        <v>1</v>
      </c>
      <c r="D944">
        <v>0</v>
      </c>
      <c r="E944">
        <v>2</v>
      </c>
      <c r="F944">
        <v>21</v>
      </c>
      <c r="G944" t="b">
        <v>0</v>
      </c>
      <c r="H944">
        <v>5</v>
      </c>
      <c r="I944">
        <v>1</v>
      </c>
      <c r="J944">
        <v>0.2</v>
      </c>
      <c r="K944">
        <v>0.21210000000000001</v>
      </c>
      <c r="L944">
        <v>0.59</v>
      </c>
      <c r="M944">
        <v>0.1343</v>
      </c>
      <c r="N944">
        <v>1</v>
      </c>
      <c r="O944">
        <v>46</v>
      </c>
      <c r="P944">
        <v>47</v>
      </c>
      <c r="Q944" t="str">
        <f t="shared" si="126"/>
        <v>Weekday</v>
      </c>
      <c r="R944" t="str">
        <f t="shared" si="127"/>
        <v>Clear</v>
      </c>
      <c r="S944" t="str">
        <f t="shared" si="128"/>
        <v>Night</v>
      </c>
      <c r="T944" t="str">
        <f t="shared" si="129"/>
        <v>February</v>
      </c>
      <c r="U944" t="str">
        <f t="shared" si="130"/>
        <v>Spring</v>
      </c>
      <c r="V944">
        <f t="shared" si="131"/>
        <v>0.22929155386993369</v>
      </c>
      <c r="W944">
        <f t="shared" si="132"/>
        <v>-0.25435329828790432</v>
      </c>
      <c r="X944">
        <f t="shared" si="133"/>
        <v>0.10399668008577614</v>
      </c>
      <c r="Y944">
        <f t="shared" si="134"/>
        <v>0.36604748519325236</v>
      </c>
    </row>
    <row r="945" spans="1:25" x14ac:dyDescent="0.3">
      <c r="A945">
        <v>944</v>
      </c>
      <c r="B945" s="1">
        <v>40585</v>
      </c>
      <c r="C945">
        <v>1</v>
      </c>
      <c r="D945">
        <v>0</v>
      </c>
      <c r="E945">
        <v>2</v>
      </c>
      <c r="F945">
        <v>22</v>
      </c>
      <c r="G945" t="b">
        <v>0</v>
      </c>
      <c r="H945">
        <v>5</v>
      </c>
      <c r="I945">
        <v>1</v>
      </c>
      <c r="J945">
        <v>0.2</v>
      </c>
      <c r="K945">
        <v>0.2273</v>
      </c>
      <c r="L945">
        <v>0.64</v>
      </c>
      <c r="M945">
        <v>8.9599999999999999E-2</v>
      </c>
      <c r="N945">
        <v>2</v>
      </c>
      <c r="O945">
        <v>41</v>
      </c>
      <c r="P945">
        <v>43</v>
      </c>
      <c r="Q945" t="str">
        <f t="shared" si="126"/>
        <v>Weekday</v>
      </c>
      <c r="R945" t="str">
        <f t="shared" si="127"/>
        <v>Clear</v>
      </c>
      <c r="S945" t="str">
        <f t="shared" si="128"/>
        <v>Night</v>
      </c>
      <c r="T945" t="str">
        <f t="shared" si="129"/>
        <v>February</v>
      </c>
      <c r="U945" t="str">
        <f t="shared" si="130"/>
        <v>Spring</v>
      </c>
      <c r="V945">
        <f t="shared" si="131"/>
        <v>0.22929155386993369</v>
      </c>
      <c r="W945">
        <f t="shared" si="132"/>
        <v>-0.25435329828790432</v>
      </c>
      <c r="X945">
        <f t="shared" si="133"/>
        <v>0.10399668008577614</v>
      </c>
      <c r="Y945">
        <f t="shared" si="134"/>
        <v>0.36604748519325236</v>
      </c>
    </row>
    <row r="946" spans="1:25" x14ac:dyDescent="0.3">
      <c r="A946">
        <v>945</v>
      </c>
      <c r="B946" s="1">
        <v>40585</v>
      </c>
      <c r="C946">
        <v>1</v>
      </c>
      <c r="D946">
        <v>0</v>
      </c>
      <c r="E946">
        <v>2</v>
      </c>
      <c r="F946">
        <v>23</v>
      </c>
      <c r="G946" t="b">
        <v>0</v>
      </c>
      <c r="H946">
        <v>5</v>
      </c>
      <c r="I946">
        <v>1</v>
      </c>
      <c r="J946">
        <v>0.18</v>
      </c>
      <c r="K946">
        <v>0.2424</v>
      </c>
      <c r="L946">
        <v>0.69</v>
      </c>
      <c r="M946">
        <v>0</v>
      </c>
      <c r="N946">
        <v>5</v>
      </c>
      <c r="O946">
        <v>48</v>
      </c>
      <c r="P946">
        <v>53</v>
      </c>
      <c r="Q946" t="str">
        <f t="shared" si="126"/>
        <v>Weekday</v>
      </c>
      <c r="R946" t="str">
        <f t="shared" si="127"/>
        <v>Clear</v>
      </c>
      <c r="S946" t="str">
        <f t="shared" si="128"/>
        <v>Night</v>
      </c>
      <c r="T946" t="str">
        <f t="shared" si="129"/>
        <v>February</v>
      </c>
      <c r="U946" t="str">
        <f t="shared" si="130"/>
        <v>Spring</v>
      </c>
      <c r="V946">
        <f t="shared" si="131"/>
        <v>0.22929155386993369</v>
      </c>
      <c r="W946">
        <f t="shared" si="132"/>
        <v>-0.25435329828790432</v>
      </c>
      <c r="X946">
        <f t="shared" si="133"/>
        <v>0.10399668008577614</v>
      </c>
      <c r="Y946">
        <f t="shared" si="134"/>
        <v>0.36604748519325236</v>
      </c>
    </row>
    <row r="947" spans="1:25" x14ac:dyDescent="0.3">
      <c r="A947">
        <v>946</v>
      </c>
      <c r="B947" s="1">
        <v>40586</v>
      </c>
      <c r="C947">
        <v>1</v>
      </c>
      <c r="D947">
        <v>0</v>
      </c>
      <c r="E947">
        <v>2</v>
      </c>
      <c r="F947">
        <v>0</v>
      </c>
      <c r="G947" t="b">
        <v>0</v>
      </c>
      <c r="H947">
        <v>6</v>
      </c>
      <c r="I947">
        <v>1</v>
      </c>
      <c r="J947">
        <v>0.16</v>
      </c>
      <c r="K947">
        <v>0.19700000000000001</v>
      </c>
      <c r="L947">
        <v>0.69</v>
      </c>
      <c r="M947">
        <v>8.9599999999999999E-2</v>
      </c>
      <c r="N947">
        <v>3</v>
      </c>
      <c r="O947">
        <v>27</v>
      </c>
      <c r="P947">
        <v>30</v>
      </c>
      <c r="Q947" t="str">
        <f t="shared" si="126"/>
        <v>Weekend</v>
      </c>
      <c r="R947" t="str">
        <f t="shared" si="127"/>
        <v>Clear</v>
      </c>
      <c r="S947" t="str">
        <f t="shared" si="128"/>
        <v>Night</v>
      </c>
      <c r="T947" t="str">
        <f t="shared" si="129"/>
        <v>February</v>
      </c>
      <c r="U947" t="str">
        <f t="shared" si="130"/>
        <v>Spring</v>
      </c>
      <c r="V947">
        <f t="shared" si="131"/>
        <v>0.22929155386993369</v>
      </c>
      <c r="W947">
        <f t="shared" si="132"/>
        <v>-0.25435329828790432</v>
      </c>
      <c r="X947">
        <f t="shared" si="133"/>
        <v>0.10399668008577614</v>
      </c>
      <c r="Y947">
        <f t="shared" si="134"/>
        <v>0.36604748519325236</v>
      </c>
    </row>
    <row r="948" spans="1:25" x14ac:dyDescent="0.3">
      <c r="A948">
        <v>947</v>
      </c>
      <c r="B948" s="1">
        <v>40586</v>
      </c>
      <c r="C948">
        <v>1</v>
      </c>
      <c r="D948">
        <v>0</v>
      </c>
      <c r="E948">
        <v>2</v>
      </c>
      <c r="F948">
        <v>1</v>
      </c>
      <c r="G948" t="b">
        <v>0</v>
      </c>
      <c r="H948">
        <v>6</v>
      </c>
      <c r="I948">
        <v>1</v>
      </c>
      <c r="J948">
        <v>0.14000000000000001</v>
      </c>
      <c r="K948">
        <v>0.21210000000000001</v>
      </c>
      <c r="L948">
        <v>0.86</v>
      </c>
      <c r="M948">
        <v>0</v>
      </c>
      <c r="N948">
        <v>2</v>
      </c>
      <c r="O948">
        <v>22</v>
      </c>
      <c r="P948">
        <v>24</v>
      </c>
      <c r="Q948" t="str">
        <f t="shared" si="126"/>
        <v>Weekend</v>
      </c>
      <c r="R948" t="str">
        <f t="shared" si="127"/>
        <v>Clear</v>
      </c>
      <c r="S948" t="str">
        <f t="shared" si="128"/>
        <v>Night</v>
      </c>
      <c r="T948" t="str">
        <f t="shared" si="129"/>
        <v>February</v>
      </c>
      <c r="U948" t="str">
        <f t="shared" si="130"/>
        <v>Spring</v>
      </c>
      <c r="V948">
        <f t="shared" si="131"/>
        <v>0.22929155386993369</v>
      </c>
      <c r="W948">
        <f t="shared" si="132"/>
        <v>-0.25435329828790432</v>
      </c>
      <c r="X948">
        <f t="shared" si="133"/>
        <v>0.10399668008577614</v>
      </c>
      <c r="Y948">
        <f t="shared" si="134"/>
        <v>0.36604748519325236</v>
      </c>
    </row>
    <row r="949" spans="1:25" x14ac:dyDescent="0.3">
      <c r="A949">
        <v>948</v>
      </c>
      <c r="B949" s="1">
        <v>40586</v>
      </c>
      <c r="C949">
        <v>1</v>
      </c>
      <c r="D949">
        <v>0</v>
      </c>
      <c r="E949">
        <v>2</v>
      </c>
      <c r="F949">
        <v>2</v>
      </c>
      <c r="G949" t="b">
        <v>0</v>
      </c>
      <c r="H949">
        <v>6</v>
      </c>
      <c r="I949">
        <v>1</v>
      </c>
      <c r="J949">
        <v>0.14000000000000001</v>
      </c>
      <c r="K949">
        <v>0.21210000000000001</v>
      </c>
      <c r="L949">
        <v>0.8</v>
      </c>
      <c r="M949">
        <v>0</v>
      </c>
      <c r="N949">
        <v>2</v>
      </c>
      <c r="O949">
        <v>13</v>
      </c>
      <c r="P949">
        <v>15</v>
      </c>
      <c r="Q949" t="str">
        <f t="shared" si="126"/>
        <v>Weekend</v>
      </c>
      <c r="R949" t="str">
        <f t="shared" si="127"/>
        <v>Clear</v>
      </c>
      <c r="S949" t="str">
        <f t="shared" si="128"/>
        <v>Night</v>
      </c>
      <c r="T949" t="str">
        <f t="shared" si="129"/>
        <v>February</v>
      </c>
      <c r="U949" t="str">
        <f t="shared" si="130"/>
        <v>Spring</v>
      </c>
      <c r="V949">
        <f t="shared" si="131"/>
        <v>0.22929155386993369</v>
      </c>
      <c r="W949">
        <f t="shared" si="132"/>
        <v>-0.25435329828790432</v>
      </c>
      <c r="X949">
        <f t="shared" si="133"/>
        <v>0.10399668008577614</v>
      </c>
      <c r="Y949">
        <f t="shared" si="134"/>
        <v>0.36604748519325236</v>
      </c>
    </row>
    <row r="950" spans="1:25" x14ac:dyDescent="0.3">
      <c r="A950">
        <v>949</v>
      </c>
      <c r="B950" s="1">
        <v>40586</v>
      </c>
      <c r="C950">
        <v>1</v>
      </c>
      <c r="D950">
        <v>0</v>
      </c>
      <c r="E950">
        <v>2</v>
      </c>
      <c r="F950">
        <v>3</v>
      </c>
      <c r="G950" t="b">
        <v>0</v>
      </c>
      <c r="H950">
        <v>6</v>
      </c>
      <c r="I950">
        <v>1</v>
      </c>
      <c r="J950">
        <v>0.12</v>
      </c>
      <c r="K950">
        <v>0.19700000000000001</v>
      </c>
      <c r="L950">
        <v>0.8</v>
      </c>
      <c r="M950">
        <v>0</v>
      </c>
      <c r="N950">
        <v>3</v>
      </c>
      <c r="O950">
        <v>7</v>
      </c>
      <c r="P950">
        <v>10</v>
      </c>
      <c r="Q950" t="str">
        <f t="shared" si="126"/>
        <v>Weekend</v>
      </c>
      <c r="R950" t="str">
        <f t="shared" si="127"/>
        <v>Clear</v>
      </c>
      <c r="S950" t="str">
        <f t="shared" si="128"/>
        <v>Night</v>
      </c>
      <c r="T950" t="str">
        <f t="shared" si="129"/>
        <v>February</v>
      </c>
      <c r="U950" t="str">
        <f t="shared" si="130"/>
        <v>Spring</v>
      </c>
      <c r="V950">
        <f t="shared" si="131"/>
        <v>0.22929155386993369</v>
      </c>
      <c r="W950">
        <f t="shared" si="132"/>
        <v>-0.25435329828790432</v>
      </c>
      <c r="X950">
        <f t="shared" si="133"/>
        <v>0.10399668008577614</v>
      </c>
      <c r="Y950">
        <f t="shared" si="134"/>
        <v>0.36604748519325236</v>
      </c>
    </row>
    <row r="951" spans="1:25" x14ac:dyDescent="0.3">
      <c r="A951">
        <v>950</v>
      </c>
      <c r="B951" s="1">
        <v>40586</v>
      </c>
      <c r="C951">
        <v>1</v>
      </c>
      <c r="D951">
        <v>0</v>
      </c>
      <c r="E951">
        <v>2</v>
      </c>
      <c r="F951">
        <v>4</v>
      </c>
      <c r="G951" t="b">
        <v>0</v>
      </c>
      <c r="H951">
        <v>6</v>
      </c>
      <c r="I951">
        <v>1</v>
      </c>
      <c r="J951">
        <v>0.12</v>
      </c>
      <c r="K951">
        <v>0.16669999999999999</v>
      </c>
      <c r="L951">
        <v>0.74</v>
      </c>
      <c r="M951">
        <v>8.9599999999999999E-2</v>
      </c>
      <c r="N951">
        <v>0</v>
      </c>
      <c r="O951">
        <v>4</v>
      </c>
      <c r="P951">
        <v>4</v>
      </c>
      <c r="Q951" t="str">
        <f t="shared" si="126"/>
        <v>Weekend</v>
      </c>
      <c r="R951" t="str">
        <f t="shared" si="127"/>
        <v>Clear</v>
      </c>
      <c r="S951" t="str">
        <f t="shared" si="128"/>
        <v>Night</v>
      </c>
      <c r="T951" t="str">
        <f t="shared" si="129"/>
        <v>February</v>
      </c>
      <c r="U951" t="str">
        <f t="shared" si="130"/>
        <v>Spring</v>
      </c>
      <c r="V951">
        <f t="shared" si="131"/>
        <v>0.22929155386993369</v>
      </c>
      <c r="W951">
        <f t="shared" si="132"/>
        <v>-0.25435329828790432</v>
      </c>
      <c r="X951">
        <f t="shared" si="133"/>
        <v>0.10399668008577614</v>
      </c>
      <c r="Y951">
        <f t="shared" si="134"/>
        <v>0.36604748519325236</v>
      </c>
    </row>
    <row r="952" spans="1:25" x14ac:dyDescent="0.3">
      <c r="A952">
        <v>951</v>
      </c>
      <c r="B952" s="1">
        <v>40586</v>
      </c>
      <c r="C952">
        <v>1</v>
      </c>
      <c r="D952">
        <v>0</v>
      </c>
      <c r="E952">
        <v>2</v>
      </c>
      <c r="F952">
        <v>5</v>
      </c>
      <c r="G952" t="b">
        <v>0</v>
      </c>
      <c r="H952">
        <v>6</v>
      </c>
      <c r="I952">
        <v>1</v>
      </c>
      <c r="J952">
        <v>0.12</v>
      </c>
      <c r="K952">
        <v>0.16669999999999999</v>
      </c>
      <c r="L952">
        <v>0.74</v>
      </c>
      <c r="M952">
        <v>8.9599999999999999E-2</v>
      </c>
      <c r="N952">
        <v>0</v>
      </c>
      <c r="O952">
        <v>1</v>
      </c>
      <c r="P952">
        <v>1</v>
      </c>
      <c r="Q952" t="str">
        <f t="shared" si="126"/>
        <v>Weekend</v>
      </c>
      <c r="R952" t="str">
        <f t="shared" si="127"/>
        <v>Clear</v>
      </c>
      <c r="S952" t="str">
        <f t="shared" si="128"/>
        <v>Night</v>
      </c>
      <c r="T952" t="str">
        <f t="shared" si="129"/>
        <v>February</v>
      </c>
      <c r="U952" t="str">
        <f t="shared" si="130"/>
        <v>Spring</v>
      </c>
      <c r="V952">
        <f t="shared" si="131"/>
        <v>0.22929155386993369</v>
      </c>
      <c r="W952">
        <f t="shared" si="132"/>
        <v>-0.25435329828790432</v>
      </c>
      <c r="X952">
        <f t="shared" si="133"/>
        <v>0.10399668008577614</v>
      </c>
      <c r="Y952">
        <f t="shared" si="134"/>
        <v>0.36604748519325236</v>
      </c>
    </row>
    <row r="953" spans="1:25" x14ac:dyDescent="0.3">
      <c r="A953">
        <v>952</v>
      </c>
      <c r="B953" s="1">
        <v>40586</v>
      </c>
      <c r="C953">
        <v>1</v>
      </c>
      <c r="D953">
        <v>0</v>
      </c>
      <c r="E953">
        <v>2</v>
      </c>
      <c r="F953">
        <v>6</v>
      </c>
      <c r="G953" t="b">
        <v>0</v>
      </c>
      <c r="H953">
        <v>6</v>
      </c>
      <c r="I953">
        <v>1</v>
      </c>
      <c r="J953">
        <v>0.12</v>
      </c>
      <c r="K953">
        <v>0.13639999999999999</v>
      </c>
      <c r="L953">
        <v>0.93</v>
      </c>
      <c r="M953">
        <v>0.19400000000000001</v>
      </c>
      <c r="N953">
        <v>1</v>
      </c>
      <c r="O953">
        <v>1</v>
      </c>
      <c r="P953">
        <v>2</v>
      </c>
      <c r="Q953" t="str">
        <f t="shared" si="126"/>
        <v>Weekend</v>
      </c>
      <c r="R953" t="str">
        <f t="shared" si="127"/>
        <v>Clear</v>
      </c>
      <c r="S953" t="str">
        <f t="shared" si="128"/>
        <v>Morning</v>
      </c>
      <c r="T953" t="str">
        <f t="shared" si="129"/>
        <v>February</v>
      </c>
      <c r="U953" t="str">
        <f t="shared" si="130"/>
        <v>Spring</v>
      </c>
      <c r="V953">
        <f t="shared" si="131"/>
        <v>0.22929155386993369</v>
      </c>
      <c r="W953">
        <f t="shared" si="132"/>
        <v>-0.25435329828790432</v>
      </c>
      <c r="X953">
        <f t="shared" si="133"/>
        <v>0.10399668008577614</v>
      </c>
      <c r="Y953">
        <f t="shared" si="134"/>
        <v>0.36604748519325236</v>
      </c>
    </row>
    <row r="954" spans="1:25" x14ac:dyDescent="0.3">
      <c r="A954">
        <v>953</v>
      </c>
      <c r="B954" s="1">
        <v>40586</v>
      </c>
      <c r="C954">
        <v>1</v>
      </c>
      <c r="D954">
        <v>0</v>
      </c>
      <c r="E954">
        <v>2</v>
      </c>
      <c r="F954">
        <v>7</v>
      </c>
      <c r="G954" t="b">
        <v>0</v>
      </c>
      <c r="H954">
        <v>6</v>
      </c>
      <c r="I954">
        <v>1</v>
      </c>
      <c r="J954">
        <v>0.12</v>
      </c>
      <c r="K954">
        <v>0.1515</v>
      </c>
      <c r="L954">
        <v>0.8</v>
      </c>
      <c r="M954">
        <v>0.1045</v>
      </c>
      <c r="N954">
        <v>2</v>
      </c>
      <c r="O954">
        <v>9</v>
      </c>
      <c r="P954">
        <v>11</v>
      </c>
      <c r="Q954" t="str">
        <f t="shared" si="126"/>
        <v>Weekend</v>
      </c>
      <c r="R954" t="str">
        <f t="shared" si="127"/>
        <v>Clear</v>
      </c>
      <c r="S954" t="str">
        <f t="shared" si="128"/>
        <v>Morning</v>
      </c>
      <c r="T954" t="str">
        <f t="shared" si="129"/>
        <v>February</v>
      </c>
      <c r="U954" t="str">
        <f t="shared" si="130"/>
        <v>Spring</v>
      </c>
      <c r="V954">
        <f t="shared" si="131"/>
        <v>0.22929155386993369</v>
      </c>
      <c r="W954">
        <f t="shared" si="132"/>
        <v>-0.25435329828790432</v>
      </c>
      <c r="X954">
        <f t="shared" si="133"/>
        <v>0.10399668008577614</v>
      </c>
      <c r="Y954">
        <f t="shared" si="134"/>
        <v>0.36604748519325236</v>
      </c>
    </row>
    <row r="955" spans="1:25" x14ac:dyDescent="0.3">
      <c r="A955">
        <v>954</v>
      </c>
      <c r="B955" s="1">
        <v>40586</v>
      </c>
      <c r="C955">
        <v>1</v>
      </c>
      <c r="D955">
        <v>0</v>
      </c>
      <c r="E955">
        <v>2</v>
      </c>
      <c r="F955">
        <v>8</v>
      </c>
      <c r="G955" t="b">
        <v>0</v>
      </c>
      <c r="H955">
        <v>6</v>
      </c>
      <c r="I955">
        <v>1</v>
      </c>
      <c r="J955">
        <v>0.14000000000000001</v>
      </c>
      <c r="K955">
        <v>0.1515</v>
      </c>
      <c r="L955">
        <v>0.86</v>
      </c>
      <c r="M955">
        <v>0.1343</v>
      </c>
      <c r="N955">
        <v>2</v>
      </c>
      <c r="O955">
        <v>28</v>
      </c>
      <c r="P955">
        <v>30</v>
      </c>
      <c r="Q955" t="str">
        <f t="shared" si="126"/>
        <v>Weekend</v>
      </c>
      <c r="R955" t="str">
        <f t="shared" si="127"/>
        <v>Clear</v>
      </c>
      <c r="S955" t="str">
        <f t="shared" si="128"/>
        <v>Morning</v>
      </c>
      <c r="T955" t="str">
        <f t="shared" si="129"/>
        <v>February</v>
      </c>
      <c r="U955" t="str">
        <f t="shared" si="130"/>
        <v>Spring</v>
      </c>
      <c r="V955">
        <f t="shared" si="131"/>
        <v>0.22929155386993369</v>
      </c>
      <c r="W955">
        <f t="shared" si="132"/>
        <v>-0.25435329828790432</v>
      </c>
      <c r="X955">
        <f t="shared" si="133"/>
        <v>0.10399668008577614</v>
      </c>
      <c r="Y955">
        <f t="shared" si="134"/>
        <v>0.36604748519325236</v>
      </c>
    </row>
    <row r="956" spans="1:25" x14ac:dyDescent="0.3">
      <c r="A956">
        <v>955</v>
      </c>
      <c r="B956" s="1">
        <v>40586</v>
      </c>
      <c r="C956">
        <v>1</v>
      </c>
      <c r="D956">
        <v>0</v>
      </c>
      <c r="E956">
        <v>2</v>
      </c>
      <c r="F956">
        <v>9</v>
      </c>
      <c r="G956" t="b">
        <v>0</v>
      </c>
      <c r="H956">
        <v>6</v>
      </c>
      <c r="I956">
        <v>1</v>
      </c>
      <c r="J956">
        <v>0.16</v>
      </c>
      <c r="K956">
        <v>0.18179999999999999</v>
      </c>
      <c r="L956">
        <v>0.64</v>
      </c>
      <c r="M956">
        <v>0.1343</v>
      </c>
      <c r="N956">
        <v>5</v>
      </c>
      <c r="O956">
        <v>38</v>
      </c>
      <c r="P956">
        <v>43</v>
      </c>
      <c r="Q956" t="str">
        <f t="shared" si="126"/>
        <v>Weekend</v>
      </c>
      <c r="R956" t="str">
        <f t="shared" si="127"/>
        <v>Clear</v>
      </c>
      <c r="S956" t="str">
        <f t="shared" si="128"/>
        <v>Morning</v>
      </c>
      <c r="T956" t="str">
        <f t="shared" si="129"/>
        <v>February</v>
      </c>
      <c r="U956" t="str">
        <f t="shared" si="130"/>
        <v>Spring</v>
      </c>
      <c r="V956">
        <f t="shared" si="131"/>
        <v>0.22929155386993369</v>
      </c>
      <c r="W956">
        <f t="shared" si="132"/>
        <v>-0.25435329828790432</v>
      </c>
      <c r="X956">
        <f t="shared" si="133"/>
        <v>0.10399668008577614</v>
      </c>
      <c r="Y956">
        <f t="shared" si="134"/>
        <v>0.36604748519325236</v>
      </c>
    </row>
    <row r="957" spans="1:25" x14ac:dyDescent="0.3">
      <c r="A957">
        <v>956</v>
      </c>
      <c r="B957" s="1">
        <v>40586</v>
      </c>
      <c r="C957">
        <v>1</v>
      </c>
      <c r="D957">
        <v>0</v>
      </c>
      <c r="E957">
        <v>2</v>
      </c>
      <c r="F957">
        <v>10</v>
      </c>
      <c r="G957" t="b">
        <v>0</v>
      </c>
      <c r="H957">
        <v>6</v>
      </c>
      <c r="I957">
        <v>1</v>
      </c>
      <c r="J957">
        <v>0.22</v>
      </c>
      <c r="K957">
        <v>0.21210000000000001</v>
      </c>
      <c r="L957">
        <v>0.41</v>
      </c>
      <c r="M957">
        <v>0.25369999999999998</v>
      </c>
      <c r="N957">
        <v>13</v>
      </c>
      <c r="O957">
        <v>71</v>
      </c>
      <c r="P957">
        <v>84</v>
      </c>
      <c r="Q957" t="str">
        <f t="shared" si="126"/>
        <v>Weekend</v>
      </c>
      <c r="R957" t="str">
        <f t="shared" si="127"/>
        <v>Clear</v>
      </c>
      <c r="S957" t="str">
        <f t="shared" si="128"/>
        <v>Morning</v>
      </c>
      <c r="T957" t="str">
        <f t="shared" si="129"/>
        <v>February</v>
      </c>
      <c r="U957" t="str">
        <f t="shared" si="130"/>
        <v>Spring</v>
      </c>
      <c r="V957">
        <f t="shared" si="131"/>
        <v>0.22929155386993369</v>
      </c>
      <c r="W957">
        <f t="shared" si="132"/>
        <v>-0.25435329828790432</v>
      </c>
      <c r="X957">
        <f t="shared" si="133"/>
        <v>0.10399668008577614</v>
      </c>
      <c r="Y957">
        <f t="shared" si="134"/>
        <v>0.36604748519325236</v>
      </c>
    </row>
    <row r="958" spans="1:25" x14ac:dyDescent="0.3">
      <c r="A958">
        <v>957</v>
      </c>
      <c r="B958" s="1">
        <v>40586</v>
      </c>
      <c r="C958">
        <v>1</v>
      </c>
      <c r="D958">
        <v>0</v>
      </c>
      <c r="E958">
        <v>2</v>
      </c>
      <c r="F958">
        <v>11</v>
      </c>
      <c r="G958" t="b">
        <v>0</v>
      </c>
      <c r="H958">
        <v>6</v>
      </c>
      <c r="I958">
        <v>1</v>
      </c>
      <c r="J958">
        <v>0.3</v>
      </c>
      <c r="K958">
        <v>0.2727</v>
      </c>
      <c r="L958">
        <v>0.28000000000000003</v>
      </c>
      <c r="M958">
        <v>0.32840000000000003</v>
      </c>
      <c r="N958">
        <v>30</v>
      </c>
      <c r="O958">
        <v>84</v>
      </c>
      <c r="P958">
        <v>114</v>
      </c>
      <c r="Q958" t="str">
        <f t="shared" si="126"/>
        <v>Weekend</v>
      </c>
      <c r="R958" t="str">
        <f t="shared" si="127"/>
        <v>Clear</v>
      </c>
      <c r="S958" t="str">
        <f t="shared" si="128"/>
        <v>Morning</v>
      </c>
      <c r="T958" t="str">
        <f t="shared" si="129"/>
        <v>February</v>
      </c>
      <c r="U958" t="str">
        <f t="shared" si="130"/>
        <v>Spring</v>
      </c>
      <c r="V958">
        <f t="shared" si="131"/>
        <v>0.22929155386993369</v>
      </c>
      <c r="W958">
        <f t="shared" si="132"/>
        <v>-0.25435329828790432</v>
      </c>
      <c r="X958">
        <f t="shared" si="133"/>
        <v>0.10399668008577614</v>
      </c>
      <c r="Y958">
        <f t="shared" si="134"/>
        <v>0.36604748519325236</v>
      </c>
    </row>
    <row r="959" spans="1:25" x14ac:dyDescent="0.3">
      <c r="A959">
        <v>958</v>
      </c>
      <c r="B959" s="1">
        <v>40586</v>
      </c>
      <c r="C959">
        <v>1</v>
      </c>
      <c r="D959">
        <v>0</v>
      </c>
      <c r="E959">
        <v>2</v>
      </c>
      <c r="F959">
        <v>12</v>
      </c>
      <c r="G959" t="b">
        <v>0</v>
      </c>
      <c r="H959">
        <v>6</v>
      </c>
      <c r="I959">
        <v>1</v>
      </c>
      <c r="J959">
        <v>0.3</v>
      </c>
      <c r="K959">
        <v>0.2727</v>
      </c>
      <c r="L959">
        <v>0.39</v>
      </c>
      <c r="M959">
        <v>0.4627</v>
      </c>
      <c r="N959">
        <v>27</v>
      </c>
      <c r="O959">
        <v>93</v>
      </c>
      <c r="P959">
        <v>120</v>
      </c>
      <c r="Q959" t="str">
        <f t="shared" si="126"/>
        <v>Weekend</v>
      </c>
      <c r="R959" t="str">
        <f t="shared" si="127"/>
        <v>Clear</v>
      </c>
      <c r="S959" t="str">
        <f t="shared" si="128"/>
        <v>Afternoon</v>
      </c>
      <c r="T959" t="str">
        <f t="shared" si="129"/>
        <v>February</v>
      </c>
      <c r="U959" t="str">
        <f t="shared" si="130"/>
        <v>Spring</v>
      </c>
      <c r="V959">
        <f t="shared" si="131"/>
        <v>0.22929155386993369</v>
      </c>
      <c r="W959">
        <f t="shared" si="132"/>
        <v>-0.25435329828790432</v>
      </c>
      <c r="X959">
        <f t="shared" si="133"/>
        <v>0.10399668008577614</v>
      </c>
      <c r="Y959">
        <f t="shared" si="134"/>
        <v>0.36604748519325236</v>
      </c>
    </row>
    <row r="960" spans="1:25" x14ac:dyDescent="0.3">
      <c r="A960">
        <v>959</v>
      </c>
      <c r="B960" s="1">
        <v>40586</v>
      </c>
      <c r="C960">
        <v>1</v>
      </c>
      <c r="D960">
        <v>0</v>
      </c>
      <c r="E960">
        <v>2</v>
      </c>
      <c r="F960">
        <v>13</v>
      </c>
      <c r="G960" t="b">
        <v>0</v>
      </c>
      <c r="H960">
        <v>6</v>
      </c>
      <c r="I960">
        <v>1</v>
      </c>
      <c r="J960">
        <v>0.3</v>
      </c>
      <c r="K960">
        <v>0.2727</v>
      </c>
      <c r="L960">
        <v>0.39</v>
      </c>
      <c r="M960">
        <v>0.41789999999999999</v>
      </c>
      <c r="N960">
        <v>32</v>
      </c>
      <c r="O960">
        <v>103</v>
      </c>
      <c r="P960">
        <v>135</v>
      </c>
      <c r="Q960" t="str">
        <f t="shared" si="126"/>
        <v>Weekend</v>
      </c>
      <c r="R960" t="str">
        <f t="shared" si="127"/>
        <v>Clear</v>
      </c>
      <c r="S960" t="str">
        <f t="shared" si="128"/>
        <v>Afternoon</v>
      </c>
      <c r="T960" t="str">
        <f t="shared" si="129"/>
        <v>February</v>
      </c>
      <c r="U960" t="str">
        <f t="shared" si="130"/>
        <v>Spring</v>
      </c>
      <c r="V960">
        <f t="shared" si="131"/>
        <v>0.22929155386993369</v>
      </c>
      <c r="W960">
        <f t="shared" si="132"/>
        <v>-0.25435329828790432</v>
      </c>
      <c r="X960">
        <f t="shared" si="133"/>
        <v>0.10399668008577614</v>
      </c>
      <c r="Y960">
        <f t="shared" si="134"/>
        <v>0.36604748519325236</v>
      </c>
    </row>
    <row r="961" spans="1:25" x14ac:dyDescent="0.3">
      <c r="A961">
        <v>960</v>
      </c>
      <c r="B961" s="1">
        <v>40586</v>
      </c>
      <c r="C961">
        <v>1</v>
      </c>
      <c r="D961">
        <v>0</v>
      </c>
      <c r="E961">
        <v>2</v>
      </c>
      <c r="F961">
        <v>14</v>
      </c>
      <c r="G961" t="b">
        <v>0</v>
      </c>
      <c r="H961">
        <v>6</v>
      </c>
      <c r="I961">
        <v>1</v>
      </c>
      <c r="J961">
        <v>0.34</v>
      </c>
      <c r="K961">
        <v>0.31819999999999998</v>
      </c>
      <c r="L961">
        <v>0.31</v>
      </c>
      <c r="M961">
        <v>0.28360000000000002</v>
      </c>
      <c r="N961">
        <v>30</v>
      </c>
      <c r="O961">
        <v>90</v>
      </c>
      <c r="P961">
        <v>120</v>
      </c>
      <c r="Q961" t="str">
        <f t="shared" si="126"/>
        <v>Weekend</v>
      </c>
      <c r="R961" t="str">
        <f t="shared" si="127"/>
        <v>Clear</v>
      </c>
      <c r="S961" t="str">
        <f t="shared" si="128"/>
        <v>Afternoon</v>
      </c>
      <c r="T961" t="str">
        <f t="shared" si="129"/>
        <v>February</v>
      </c>
      <c r="U961" t="str">
        <f t="shared" si="130"/>
        <v>Spring</v>
      </c>
      <c r="V961">
        <f t="shared" si="131"/>
        <v>0.22929155386993369</v>
      </c>
      <c r="W961">
        <f t="shared" si="132"/>
        <v>-0.25435329828790432</v>
      </c>
      <c r="X961">
        <f t="shared" si="133"/>
        <v>0.10399668008577614</v>
      </c>
      <c r="Y961">
        <f t="shared" si="134"/>
        <v>0.36604748519325236</v>
      </c>
    </row>
    <row r="962" spans="1:25" x14ac:dyDescent="0.3">
      <c r="A962">
        <v>961</v>
      </c>
      <c r="B962" s="1">
        <v>40586</v>
      </c>
      <c r="C962">
        <v>1</v>
      </c>
      <c r="D962">
        <v>0</v>
      </c>
      <c r="E962">
        <v>2</v>
      </c>
      <c r="F962">
        <v>15</v>
      </c>
      <c r="G962" t="b">
        <v>0</v>
      </c>
      <c r="H962">
        <v>6</v>
      </c>
      <c r="I962">
        <v>1</v>
      </c>
      <c r="J962">
        <v>0.34</v>
      </c>
      <c r="K962">
        <v>0.30299999999999999</v>
      </c>
      <c r="L962">
        <v>0.28999999999999998</v>
      </c>
      <c r="M962">
        <v>0.41789999999999999</v>
      </c>
      <c r="N962">
        <v>47</v>
      </c>
      <c r="O962">
        <v>127</v>
      </c>
      <c r="P962">
        <v>174</v>
      </c>
      <c r="Q962" t="str">
        <f t="shared" ref="Q962:Q1001" si="135">IF(OR(WEEKDAY(B962)=1, WEEKDAY(B962)=7), "Weekend", "Weekday")</f>
        <v>Weekend</v>
      </c>
      <c r="R962" t="str">
        <f t="shared" ref="R962:R1001" si="136">IF(I962=1,"Clear",IF(I962=2,"Mist/Cloudy",IF(I962=3,"Light Rain/Snow","Heavy Rain/Snow")))</f>
        <v>Clear</v>
      </c>
      <c r="S962" t="str">
        <f t="shared" ref="S962:S1001" si="137">IF(AND(F962&gt;=6, F962&lt;12), "Morning", IF(AND(F962&gt;=12, F962&lt;17), "Afternoon", IF(AND(F962&gt;=17, F962&lt;21), "Evening", "Night")))</f>
        <v>Afternoon</v>
      </c>
      <c r="T962" t="str">
        <f t="shared" ref="T962:T1001" si="138">TEXT(B962, "mmmm")</f>
        <v>February</v>
      </c>
      <c r="U962" t="str">
        <f t="shared" ref="U962:U1001" si="139">CHOOSE(C962, "Spring", "Summer", "Fall", "Winter")</f>
        <v>Spring</v>
      </c>
      <c r="V962">
        <f t="shared" ref="V962:V1001" si="140">CORREL($J$2:$J$1001, $P$2:$P$1001)</f>
        <v>0.22929155386993369</v>
      </c>
      <c r="W962">
        <f t="shared" ref="W962:W1001" si="141">CORREL($L$2:$L$1001, $P$2:$P$1001)</f>
        <v>-0.25435329828790432</v>
      </c>
      <c r="X962">
        <f t="shared" ref="X962:X1001" si="142">CORREL($M$2:$M$1001, $P$2:$P$1001)</f>
        <v>0.10399668008577614</v>
      </c>
      <c r="Y962">
        <f t="shared" ref="Y962:Y1001" si="143">CORREL($F$2:$F$1001, $P$2:$P$1001)</f>
        <v>0.36604748519325236</v>
      </c>
    </row>
    <row r="963" spans="1:25" x14ac:dyDescent="0.3">
      <c r="A963">
        <v>962</v>
      </c>
      <c r="B963" s="1">
        <v>40586</v>
      </c>
      <c r="C963">
        <v>1</v>
      </c>
      <c r="D963">
        <v>0</v>
      </c>
      <c r="E963">
        <v>2</v>
      </c>
      <c r="F963">
        <v>16</v>
      </c>
      <c r="G963" t="b">
        <v>0</v>
      </c>
      <c r="H963">
        <v>6</v>
      </c>
      <c r="I963">
        <v>1</v>
      </c>
      <c r="J963">
        <v>0.34</v>
      </c>
      <c r="K963">
        <v>0.30299999999999999</v>
      </c>
      <c r="L963">
        <v>0.28999999999999998</v>
      </c>
      <c r="M963">
        <v>0.41789999999999999</v>
      </c>
      <c r="N963">
        <v>42</v>
      </c>
      <c r="O963">
        <v>103</v>
      </c>
      <c r="P963">
        <v>145</v>
      </c>
      <c r="Q963" t="str">
        <f t="shared" si="135"/>
        <v>Weekend</v>
      </c>
      <c r="R963" t="str">
        <f t="shared" si="136"/>
        <v>Clear</v>
      </c>
      <c r="S963" t="str">
        <f t="shared" si="137"/>
        <v>Afternoon</v>
      </c>
      <c r="T963" t="str">
        <f t="shared" si="138"/>
        <v>February</v>
      </c>
      <c r="U963" t="str">
        <f t="shared" si="139"/>
        <v>Spring</v>
      </c>
      <c r="V963">
        <f t="shared" si="140"/>
        <v>0.22929155386993369</v>
      </c>
      <c r="W963">
        <f t="shared" si="141"/>
        <v>-0.25435329828790432</v>
      </c>
      <c r="X963">
        <f t="shared" si="142"/>
        <v>0.10399668008577614</v>
      </c>
      <c r="Y963">
        <f t="shared" si="143"/>
        <v>0.36604748519325236</v>
      </c>
    </row>
    <row r="964" spans="1:25" x14ac:dyDescent="0.3">
      <c r="A964">
        <v>963</v>
      </c>
      <c r="B964" s="1">
        <v>40586</v>
      </c>
      <c r="C964">
        <v>1</v>
      </c>
      <c r="D964">
        <v>0</v>
      </c>
      <c r="E964">
        <v>2</v>
      </c>
      <c r="F964">
        <v>17</v>
      </c>
      <c r="G964" t="b">
        <v>0</v>
      </c>
      <c r="H964">
        <v>6</v>
      </c>
      <c r="I964">
        <v>1</v>
      </c>
      <c r="J964">
        <v>0.32</v>
      </c>
      <c r="K964">
        <v>0.28789999999999999</v>
      </c>
      <c r="L964">
        <v>0.31</v>
      </c>
      <c r="M964">
        <v>0.52239999999999998</v>
      </c>
      <c r="N964">
        <v>24</v>
      </c>
      <c r="O964">
        <v>113</v>
      </c>
      <c r="P964">
        <v>137</v>
      </c>
      <c r="Q964" t="str">
        <f t="shared" si="135"/>
        <v>Weekend</v>
      </c>
      <c r="R964" t="str">
        <f t="shared" si="136"/>
        <v>Clear</v>
      </c>
      <c r="S964" t="str">
        <f t="shared" si="137"/>
        <v>Evening</v>
      </c>
      <c r="T964" t="str">
        <f t="shared" si="138"/>
        <v>February</v>
      </c>
      <c r="U964" t="str">
        <f t="shared" si="139"/>
        <v>Spring</v>
      </c>
      <c r="V964">
        <f t="shared" si="140"/>
        <v>0.22929155386993369</v>
      </c>
      <c r="W964">
        <f t="shared" si="141"/>
        <v>-0.25435329828790432</v>
      </c>
      <c r="X964">
        <f t="shared" si="142"/>
        <v>0.10399668008577614</v>
      </c>
      <c r="Y964">
        <f t="shared" si="143"/>
        <v>0.36604748519325236</v>
      </c>
    </row>
    <row r="965" spans="1:25" x14ac:dyDescent="0.3">
      <c r="A965">
        <v>964</v>
      </c>
      <c r="B965" s="1">
        <v>40586</v>
      </c>
      <c r="C965">
        <v>1</v>
      </c>
      <c r="D965">
        <v>0</v>
      </c>
      <c r="E965">
        <v>2</v>
      </c>
      <c r="F965">
        <v>18</v>
      </c>
      <c r="G965" t="b">
        <v>0</v>
      </c>
      <c r="H965">
        <v>6</v>
      </c>
      <c r="I965">
        <v>1</v>
      </c>
      <c r="J965">
        <v>0.28000000000000003</v>
      </c>
      <c r="K965">
        <v>0.2576</v>
      </c>
      <c r="L965">
        <v>0.38</v>
      </c>
      <c r="M965">
        <v>0.32840000000000003</v>
      </c>
      <c r="N965">
        <v>4</v>
      </c>
      <c r="O965">
        <v>60</v>
      </c>
      <c r="P965">
        <v>64</v>
      </c>
      <c r="Q965" t="str">
        <f t="shared" si="135"/>
        <v>Weekend</v>
      </c>
      <c r="R965" t="str">
        <f t="shared" si="136"/>
        <v>Clear</v>
      </c>
      <c r="S965" t="str">
        <f t="shared" si="137"/>
        <v>Evening</v>
      </c>
      <c r="T965" t="str">
        <f t="shared" si="138"/>
        <v>February</v>
      </c>
      <c r="U965" t="str">
        <f t="shared" si="139"/>
        <v>Spring</v>
      </c>
      <c r="V965">
        <f t="shared" si="140"/>
        <v>0.22929155386993369</v>
      </c>
      <c r="W965">
        <f t="shared" si="141"/>
        <v>-0.25435329828790432</v>
      </c>
      <c r="X965">
        <f t="shared" si="142"/>
        <v>0.10399668008577614</v>
      </c>
      <c r="Y965">
        <f t="shared" si="143"/>
        <v>0.36604748519325236</v>
      </c>
    </row>
    <row r="966" spans="1:25" x14ac:dyDescent="0.3">
      <c r="A966">
        <v>965</v>
      </c>
      <c r="B966" s="1">
        <v>40586</v>
      </c>
      <c r="C966">
        <v>1</v>
      </c>
      <c r="D966">
        <v>0</v>
      </c>
      <c r="E966">
        <v>2</v>
      </c>
      <c r="F966">
        <v>19</v>
      </c>
      <c r="G966" t="b">
        <v>0</v>
      </c>
      <c r="H966">
        <v>6</v>
      </c>
      <c r="I966">
        <v>1</v>
      </c>
      <c r="J966">
        <v>0.28000000000000003</v>
      </c>
      <c r="K966">
        <v>0.2727</v>
      </c>
      <c r="L966">
        <v>0.38</v>
      </c>
      <c r="M966">
        <v>0.16420000000000001</v>
      </c>
      <c r="N966">
        <v>2</v>
      </c>
      <c r="O966">
        <v>39</v>
      </c>
      <c r="P966">
        <v>41</v>
      </c>
      <c r="Q966" t="str">
        <f t="shared" si="135"/>
        <v>Weekend</v>
      </c>
      <c r="R966" t="str">
        <f t="shared" si="136"/>
        <v>Clear</v>
      </c>
      <c r="S966" t="str">
        <f t="shared" si="137"/>
        <v>Evening</v>
      </c>
      <c r="T966" t="str">
        <f t="shared" si="138"/>
        <v>February</v>
      </c>
      <c r="U966" t="str">
        <f t="shared" si="139"/>
        <v>Spring</v>
      </c>
      <c r="V966">
        <f t="shared" si="140"/>
        <v>0.22929155386993369</v>
      </c>
      <c r="W966">
        <f t="shared" si="141"/>
        <v>-0.25435329828790432</v>
      </c>
      <c r="X966">
        <f t="shared" si="142"/>
        <v>0.10399668008577614</v>
      </c>
      <c r="Y966">
        <f t="shared" si="143"/>
        <v>0.36604748519325236</v>
      </c>
    </row>
    <row r="967" spans="1:25" x14ac:dyDescent="0.3">
      <c r="A967">
        <v>966</v>
      </c>
      <c r="B967" s="1">
        <v>40586</v>
      </c>
      <c r="C967">
        <v>1</v>
      </c>
      <c r="D967">
        <v>0</v>
      </c>
      <c r="E967">
        <v>2</v>
      </c>
      <c r="F967">
        <v>20</v>
      </c>
      <c r="G967" t="b">
        <v>0</v>
      </c>
      <c r="H967">
        <v>6</v>
      </c>
      <c r="I967">
        <v>1</v>
      </c>
      <c r="J967">
        <v>0.26</v>
      </c>
      <c r="K967">
        <v>0.2576</v>
      </c>
      <c r="L967">
        <v>0.41</v>
      </c>
      <c r="M967">
        <v>0.22389999999999999</v>
      </c>
      <c r="N967">
        <v>1</v>
      </c>
      <c r="O967">
        <v>39</v>
      </c>
      <c r="P967">
        <v>40</v>
      </c>
      <c r="Q967" t="str">
        <f t="shared" si="135"/>
        <v>Weekend</v>
      </c>
      <c r="R967" t="str">
        <f t="shared" si="136"/>
        <v>Clear</v>
      </c>
      <c r="S967" t="str">
        <f t="shared" si="137"/>
        <v>Evening</v>
      </c>
      <c r="T967" t="str">
        <f t="shared" si="138"/>
        <v>February</v>
      </c>
      <c r="U967" t="str">
        <f t="shared" si="139"/>
        <v>Spring</v>
      </c>
      <c r="V967">
        <f t="shared" si="140"/>
        <v>0.22929155386993369</v>
      </c>
      <c r="W967">
        <f t="shared" si="141"/>
        <v>-0.25435329828790432</v>
      </c>
      <c r="X967">
        <f t="shared" si="142"/>
        <v>0.10399668008577614</v>
      </c>
      <c r="Y967">
        <f t="shared" si="143"/>
        <v>0.36604748519325236</v>
      </c>
    </row>
    <row r="968" spans="1:25" x14ac:dyDescent="0.3">
      <c r="A968">
        <v>967</v>
      </c>
      <c r="B968" s="1">
        <v>40586</v>
      </c>
      <c r="C968">
        <v>1</v>
      </c>
      <c r="D968">
        <v>0</v>
      </c>
      <c r="E968">
        <v>2</v>
      </c>
      <c r="F968">
        <v>21</v>
      </c>
      <c r="G968" t="b">
        <v>0</v>
      </c>
      <c r="H968">
        <v>6</v>
      </c>
      <c r="I968">
        <v>1</v>
      </c>
      <c r="J968">
        <v>0.26</v>
      </c>
      <c r="K968">
        <v>0.30299999999999999</v>
      </c>
      <c r="L968">
        <v>0.41</v>
      </c>
      <c r="M968">
        <v>0</v>
      </c>
      <c r="N968">
        <v>9</v>
      </c>
      <c r="O968">
        <v>42</v>
      </c>
      <c r="P968">
        <v>51</v>
      </c>
      <c r="Q968" t="str">
        <f t="shared" si="135"/>
        <v>Weekend</v>
      </c>
      <c r="R968" t="str">
        <f t="shared" si="136"/>
        <v>Clear</v>
      </c>
      <c r="S968" t="str">
        <f t="shared" si="137"/>
        <v>Night</v>
      </c>
      <c r="T968" t="str">
        <f t="shared" si="138"/>
        <v>February</v>
      </c>
      <c r="U968" t="str">
        <f t="shared" si="139"/>
        <v>Spring</v>
      </c>
      <c r="V968">
        <f t="shared" si="140"/>
        <v>0.22929155386993369</v>
      </c>
      <c r="W968">
        <f t="shared" si="141"/>
        <v>-0.25435329828790432</v>
      </c>
      <c r="X968">
        <f t="shared" si="142"/>
        <v>0.10399668008577614</v>
      </c>
      <c r="Y968">
        <f t="shared" si="143"/>
        <v>0.36604748519325236</v>
      </c>
    </row>
    <row r="969" spans="1:25" x14ac:dyDescent="0.3">
      <c r="A969">
        <v>968</v>
      </c>
      <c r="B969" s="1">
        <v>40586</v>
      </c>
      <c r="C969">
        <v>1</v>
      </c>
      <c r="D969">
        <v>0</v>
      </c>
      <c r="E969">
        <v>2</v>
      </c>
      <c r="F969">
        <v>22</v>
      </c>
      <c r="G969" t="b">
        <v>0</v>
      </c>
      <c r="H969">
        <v>6</v>
      </c>
      <c r="I969">
        <v>1</v>
      </c>
      <c r="J969">
        <v>0.24</v>
      </c>
      <c r="K969">
        <v>0.2576</v>
      </c>
      <c r="L969">
        <v>0.44</v>
      </c>
      <c r="M969">
        <v>8.9599999999999999E-2</v>
      </c>
      <c r="N969">
        <v>6</v>
      </c>
      <c r="O969">
        <v>39</v>
      </c>
      <c r="P969">
        <v>45</v>
      </c>
      <c r="Q969" t="str">
        <f t="shared" si="135"/>
        <v>Weekend</v>
      </c>
      <c r="R969" t="str">
        <f t="shared" si="136"/>
        <v>Clear</v>
      </c>
      <c r="S969" t="str">
        <f t="shared" si="137"/>
        <v>Night</v>
      </c>
      <c r="T969" t="str">
        <f t="shared" si="138"/>
        <v>February</v>
      </c>
      <c r="U969" t="str">
        <f t="shared" si="139"/>
        <v>Spring</v>
      </c>
      <c r="V969">
        <f t="shared" si="140"/>
        <v>0.22929155386993369</v>
      </c>
      <c r="W969">
        <f t="shared" si="141"/>
        <v>-0.25435329828790432</v>
      </c>
      <c r="X969">
        <f t="shared" si="142"/>
        <v>0.10399668008577614</v>
      </c>
      <c r="Y969">
        <f t="shared" si="143"/>
        <v>0.36604748519325236</v>
      </c>
    </row>
    <row r="970" spans="1:25" x14ac:dyDescent="0.3">
      <c r="A970">
        <v>969</v>
      </c>
      <c r="B970" s="1">
        <v>40586</v>
      </c>
      <c r="C970">
        <v>1</v>
      </c>
      <c r="D970">
        <v>0</v>
      </c>
      <c r="E970">
        <v>2</v>
      </c>
      <c r="F970">
        <v>23</v>
      </c>
      <c r="G970" t="b">
        <v>0</v>
      </c>
      <c r="H970">
        <v>6</v>
      </c>
      <c r="I970">
        <v>1</v>
      </c>
      <c r="J970">
        <v>0.22</v>
      </c>
      <c r="K970">
        <v>0.2273</v>
      </c>
      <c r="L970">
        <v>0.51</v>
      </c>
      <c r="M970">
        <v>0.1343</v>
      </c>
      <c r="N970">
        <v>1</v>
      </c>
      <c r="O970">
        <v>31</v>
      </c>
      <c r="P970">
        <v>32</v>
      </c>
      <c r="Q970" t="str">
        <f t="shared" si="135"/>
        <v>Weekend</v>
      </c>
      <c r="R970" t="str">
        <f t="shared" si="136"/>
        <v>Clear</v>
      </c>
      <c r="S970" t="str">
        <f t="shared" si="137"/>
        <v>Night</v>
      </c>
      <c r="T970" t="str">
        <f t="shared" si="138"/>
        <v>February</v>
      </c>
      <c r="U970" t="str">
        <f t="shared" si="139"/>
        <v>Spring</v>
      </c>
      <c r="V970">
        <f t="shared" si="140"/>
        <v>0.22929155386993369</v>
      </c>
      <c r="W970">
        <f t="shared" si="141"/>
        <v>-0.25435329828790432</v>
      </c>
      <c r="X970">
        <f t="shared" si="142"/>
        <v>0.10399668008577614</v>
      </c>
      <c r="Y970">
        <f t="shared" si="143"/>
        <v>0.36604748519325236</v>
      </c>
    </row>
    <row r="971" spans="1:25" x14ac:dyDescent="0.3">
      <c r="A971">
        <v>970</v>
      </c>
      <c r="B971" s="1">
        <v>40587</v>
      </c>
      <c r="C971">
        <v>1</v>
      </c>
      <c r="D971">
        <v>0</v>
      </c>
      <c r="E971">
        <v>2</v>
      </c>
      <c r="F971">
        <v>0</v>
      </c>
      <c r="G971" t="b">
        <v>0</v>
      </c>
      <c r="H971">
        <v>0</v>
      </c>
      <c r="I971">
        <v>1</v>
      </c>
      <c r="J971">
        <v>0.2</v>
      </c>
      <c r="K971">
        <v>0.2273</v>
      </c>
      <c r="L971">
        <v>0.64</v>
      </c>
      <c r="M971">
        <v>0.1045</v>
      </c>
      <c r="N971">
        <v>5</v>
      </c>
      <c r="O971">
        <v>34</v>
      </c>
      <c r="P971">
        <v>39</v>
      </c>
      <c r="Q971" t="str">
        <f t="shared" si="135"/>
        <v>Weekend</v>
      </c>
      <c r="R971" t="str">
        <f t="shared" si="136"/>
        <v>Clear</v>
      </c>
      <c r="S971" t="str">
        <f t="shared" si="137"/>
        <v>Night</v>
      </c>
      <c r="T971" t="str">
        <f t="shared" si="138"/>
        <v>February</v>
      </c>
      <c r="U971" t="str">
        <f t="shared" si="139"/>
        <v>Spring</v>
      </c>
      <c r="V971">
        <f t="shared" si="140"/>
        <v>0.22929155386993369</v>
      </c>
      <c r="W971">
        <f t="shared" si="141"/>
        <v>-0.25435329828790432</v>
      </c>
      <c r="X971">
        <f t="shared" si="142"/>
        <v>0.10399668008577614</v>
      </c>
      <c r="Y971">
        <f t="shared" si="143"/>
        <v>0.36604748519325236</v>
      </c>
    </row>
    <row r="972" spans="1:25" x14ac:dyDescent="0.3">
      <c r="A972">
        <v>971</v>
      </c>
      <c r="B972" s="1">
        <v>40587</v>
      </c>
      <c r="C972">
        <v>1</v>
      </c>
      <c r="D972">
        <v>0</v>
      </c>
      <c r="E972">
        <v>2</v>
      </c>
      <c r="F972">
        <v>1</v>
      </c>
      <c r="G972" t="b">
        <v>0</v>
      </c>
      <c r="H972">
        <v>0</v>
      </c>
      <c r="I972">
        <v>1</v>
      </c>
      <c r="J972">
        <v>0.2</v>
      </c>
      <c r="K972">
        <v>0.2273</v>
      </c>
      <c r="L972">
        <v>0.59</v>
      </c>
      <c r="M972">
        <v>8.9599999999999999E-2</v>
      </c>
      <c r="N972">
        <v>1</v>
      </c>
      <c r="O972">
        <v>23</v>
      </c>
      <c r="P972">
        <v>24</v>
      </c>
      <c r="Q972" t="str">
        <f t="shared" si="135"/>
        <v>Weekend</v>
      </c>
      <c r="R972" t="str">
        <f t="shared" si="136"/>
        <v>Clear</v>
      </c>
      <c r="S972" t="str">
        <f t="shared" si="137"/>
        <v>Night</v>
      </c>
      <c r="T972" t="str">
        <f t="shared" si="138"/>
        <v>February</v>
      </c>
      <c r="U972" t="str">
        <f t="shared" si="139"/>
        <v>Spring</v>
      </c>
      <c r="V972">
        <f t="shared" si="140"/>
        <v>0.22929155386993369</v>
      </c>
      <c r="W972">
        <f t="shared" si="141"/>
        <v>-0.25435329828790432</v>
      </c>
      <c r="X972">
        <f t="shared" si="142"/>
        <v>0.10399668008577614</v>
      </c>
      <c r="Y972">
        <f t="shared" si="143"/>
        <v>0.36604748519325236</v>
      </c>
    </row>
    <row r="973" spans="1:25" x14ac:dyDescent="0.3">
      <c r="A973">
        <v>972</v>
      </c>
      <c r="B973" s="1">
        <v>40587</v>
      </c>
      <c r="C973">
        <v>1</v>
      </c>
      <c r="D973">
        <v>0</v>
      </c>
      <c r="E973">
        <v>2</v>
      </c>
      <c r="F973">
        <v>2</v>
      </c>
      <c r="G973" t="b">
        <v>0</v>
      </c>
      <c r="H973">
        <v>0</v>
      </c>
      <c r="I973">
        <v>2</v>
      </c>
      <c r="J973">
        <v>0.2</v>
      </c>
      <c r="K973">
        <v>0.2273</v>
      </c>
      <c r="L973">
        <v>0.75</v>
      </c>
      <c r="M973">
        <v>8.9599999999999999E-2</v>
      </c>
      <c r="N973">
        <v>1</v>
      </c>
      <c r="O973">
        <v>19</v>
      </c>
      <c r="P973">
        <v>20</v>
      </c>
      <c r="Q973" t="str">
        <f t="shared" si="135"/>
        <v>Weekend</v>
      </c>
      <c r="R973" t="str">
        <f t="shared" si="136"/>
        <v>Mist/Cloudy</v>
      </c>
      <c r="S973" t="str">
        <f t="shared" si="137"/>
        <v>Night</v>
      </c>
      <c r="T973" t="str">
        <f t="shared" si="138"/>
        <v>February</v>
      </c>
      <c r="U973" t="str">
        <f t="shared" si="139"/>
        <v>Spring</v>
      </c>
      <c r="V973">
        <f t="shared" si="140"/>
        <v>0.22929155386993369</v>
      </c>
      <c r="W973">
        <f t="shared" si="141"/>
        <v>-0.25435329828790432</v>
      </c>
      <c r="X973">
        <f t="shared" si="142"/>
        <v>0.10399668008577614</v>
      </c>
      <c r="Y973">
        <f t="shared" si="143"/>
        <v>0.36604748519325236</v>
      </c>
    </row>
    <row r="974" spans="1:25" x14ac:dyDescent="0.3">
      <c r="A974">
        <v>973</v>
      </c>
      <c r="B974" s="1">
        <v>40587</v>
      </c>
      <c r="C974">
        <v>1</v>
      </c>
      <c r="D974">
        <v>0</v>
      </c>
      <c r="E974">
        <v>2</v>
      </c>
      <c r="F974">
        <v>3</v>
      </c>
      <c r="G974" t="b">
        <v>0</v>
      </c>
      <c r="H974">
        <v>0</v>
      </c>
      <c r="I974">
        <v>2</v>
      </c>
      <c r="J974">
        <v>0.2</v>
      </c>
      <c r="K974">
        <v>0.2273</v>
      </c>
      <c r="L974">
        <v>0.69</v>
      </c>
      <c r="M974">
        <v>0.1045</v>
      </c>
      <c r="N974">
        <v>4</v>
      </c>
      <c r="O974">
        <v>8</v>
      </c>
      <c r="P974">
        <v>12</v>
      </c>
      <c r="Q974" t="str">
        <f t="shared" si="135"/>
        <v>Weekend</v>
      </c>
      <c r="R974" t="str">
        <f t="shared" si="136"/>
        <v>Mist/Cloudy</v>
      </c>
      <c r="S974" t="str">
        <f t="shared" si="137"/>
        <v>Night</v>
      </c>
      <c r="T974" t="str">
        <f t="shared" si="138"/>
        <v>February</v>
      </c>
      <c r="U974" t="str">
        <f t="shared" si="139"/>
        <v>Spring</v>
      </c>
      <c r="V974">
        <f t="shared" si="140"/>
        <v>0.22929155386993369</v>
      </c>
      <c r="W974">
        <f t="shared" si="141"/>
        <v>-0.25435329828790432</v>
      </c>
      <c r="X974">
        <f t="shared" si="142"/>
        <v>0.10399668008577614</v>
      </c>
      <c r="Y974">
        <f t="shared" si="143"/>
        <v>0.36604748519325236</v>
      </c>
    </row>
    <row r="975" spans="1:25" x14ac:dyDescent="0.3">
      <c r="A975">
        <v>974</v>
      </c>
      <c r="B975" s="1">
        <v>40587</v>
      </c>
      <c r="C975">
        <v>1</v>
      </c>
      <c r="D975">
        <v>0</v>
      </c>
      <c r="E975">
        <v>2</v>
      </c>
      <c r="F975">
        <v>4</v>
      </c>
      <c r="G975" t="b">
        <v>0</v>
      </c>
      <c r="H975">
        <v>0</v>
      </c>
      <c r="I975">
        <v>2</v>
      </c>
      <c r="J975">
        <v>0.2</v>
      </c>
      <c r="K975">
        <v>0.21210000000000001</v>
      </c>
      <c r="L975">
        <v>0.69</v>
      </c>
      <c r="M975">
        <v>0.16420000000000001</v>
      </c>
      <c r="N975">
        <v>0</v>
      </c>
      <c r="O975">
        <v>2</v>
      </c>
      <c r="P975">
        <v>2</v>
      </c>
      <c r="Q975" t="str">
        <f t="shared" si="135"/>
        <v>Weekend</v>
      </c>
      <c r="R975" t="str">
        <f t="shared" si="136"/>
        <v>Mist/Cloudy</v>
      </c>
      <c r="S975" t="str">
        <f t="shared" si="137"/>
        <v>Night</v>
      </c>
      <c r="T975" t="str">
        <f t="shared" si="138"/>
        <v>February</v>
      </c>
      <c r="U975" t="str">
        <f t="shared" si="139"/>
        <v>Spring</v>
      </c>
      <c r="V975">
        <f t="shared" si="140"/>
        <v>0.22929155386993369</v>
      </c>
      <c r="W975">
        <f t="shared" si="141"/>
        <v>-0.25435329828790432</v>
      </c>
      <c r="X975">
        <f t="shared" si="142"/>
        <v>0.10399668008577614</v>
      </c>
      <c r="Y975">
        <f t="shared" si="143"/>
        <v>0.36604748519325236</v>
      </c>
    </row>
    <row r="976" spans="1:25" x14ac:dyDescent="0.3">
      <c r="A976">
        <v>975</v>
      </c>
      <c r="B976" s="1">
        <v>40587</v>
      </c>
      <c r="C976">
        <v>1</v>
      </c>
      <c r="D976">
        <v>0</v>
      </c>
      <c r="E976">
        <v>2</v>
      </c>
      <c r="F976">
        <v>6</v>
      </c>
      <c r="G976" t="b">
        <v>0</v>
      </c>
      <c r="H976">
        <v>0</v>
      </c>
      <c r="I976">
        <v>2</v>
      </c>
      <c r="J976">
        <v>0.2</v>
      </c>
      <c r="K976">
        <v>0.21210000000000001</v>
      </c>
      <c r="L976">
        <v>0.69</v>
      </c>
      <c r="M976">
        <v>0.1343</v>
      </c>
      <c r="N976">
        <v>2</v>
      </c>
      <c r="O976">
        <v>3</v>
      </c>
      <c r="P976">
        <v>5</v>
      </c>
      <c r="Q976" t="str">
        <f t="shared" si="135"/>
        <v>Weekend</v>
      </c>
      <c r="R976" t="str">
        <f t="shared" si="136"/>
        <v>Mist/Cloudy</v>
      </c>
      <c r="S976" t="str">
        <f t="shared" si="137"/>
        <v>Morning</v>
      </c>
      <c r="T976" t="str">
        <f t="shared" si="138"/>
        <v>February</v>
      </c>
      <c r="U976" t="str">
        <f t="shared" si="139"/>
        <v>Spring</v>
      </c>
      <c r="V976">
        <f t="shared" si="140"/>
        <v>0.22929155386993369</v>
      </c>
      <c r="W976">
        <f t="shared" si="141"/>
        <v>-0.25435329828790432</v>
      </c>
      <c r="X976">
        <f t="shared" si="142"/>
        <v>0.10399668008577614</v>
      </c>
      <c r="Y976">
        <f t="shared" si="143"/>
        <v>0.36604748519325236</v>
      </c>
    </row>
    <row r="977" spans="1:25" x14ac:dyDescent="0.3">
      <c r="A977">
        <v>976</v>
      </c>
      <c r="B977" s="1">
        <v>40587</v>
      </c>
      <c r="C977">
        <v>1</v>
      </c>
      <c r="D977">
        <v>0</v>
      </c>
      <c r="E977">
        <v>2</v>
      </c>
      <c r="F977">
        <v>7</v>
      </c>
      <c r="G977" t="b">
        <v>0</v>
      </c>
      <c r="H977">
        <v>0</v>
      </c>
      <c r="I977">
        <v>2</v>
      </c>
      <c r="J977">
        <v>0.22</v>
      </c>
      <c r="K977">
        <v>0.2727</v>
      </c>
      <c r="L977">
        <v>0.55000000000000004</v>
      </c>
      <c r="M977">
        <v>0</v>
      </c>
      <c r="N977">
        <v>0</v>
      </c>
      <c r="O977">
        <v>3</v>
      </c>
      <c r="P977">
        <v>3</v>
      </c>
      <c r="Q977" t="str">
        <f t="shared" si="135"/>
        <v>Weekend</v>
      </c>
      <c r="R977" t="str">
        <f t="shared" si="136"/>
        <v>Mist/Cloudy</v>
      </c>
      <c r="S977" t="str">
        <f t="shared" si="137"/>
        <v>Morning</v>
      </c>
      <c r="T977" t="str">
        <f t="shared" si="138"/>
        <v>February</v>
      </c>
      <c r="U977" t="str">
        <f t="shared" si="139"/>
        <v>Spring</v>
      </c>
      <c r="V977">
        <f t="shared" si="140"/>
        <v>0.22929155386993369</v>
      </c>
      <c r="W977">
        <f t="shared" si="141"/>
        <v>-0.25435329828790432</v>
      </c>
      <c r="X977">
        <f t="shared" si="142"/>
        <v>0.10399668008577614</v>
      </c>
      <c r="Y977">
        <f t="shared" si="143"/>
        <v>0.36604748519325236</v>
      </c>
    </row>
    <row r="978" spans="1:25" x14ac:dyDescent="0.3">
      <c r="A978">
        <v>977</v>
      </c>
      <c r="B978" s="1">
        <v>40587</v>
      </c>
      <c r="C978">
        <v>1</v>
      </c>
      <c r="D978">
        <v>0</v>
      </c>
      <c r="E978">
        <v>2</v>
      </c>
      <c r="F978">
        <v>8</v>
      </c>
      <c r="G978" t="b">
        <v>0</v>
      </c>
      <c r="H978">
        <v>0</v>
      </c>
      <c r="I978">
        <v>2</v>
      </c>
      <c r="J978">
        <v>0.22</v>
      </c>
      <c r="K978">
        <v>0.2273</v>
      </c>
      <c r="L978">
        <v>0.64</v>
      </c>
      <c r="M978">
        <v>0.19400000000000001</v>
      </c>
      <c r="N978">
        <v>1</v>
      </c>
      <c r="O978">
        <v>11</v>
      </c>
      <c r="P978">
        <v>12</v>
      </c>
      <c r="Q978" t="str">
        <f t="shared" si="135"/>
        <v>Weekend</v>
      </c>
      <c r="R978" t="str">
        <f t="shared" si="136"/>
        <v>Mist/Cloudy</v>
      </c>
      <c r="S978" t="str">
        <f t="shared" si="137"/>
        <v>Morning</v>
      </c>
      <c r="T978" t="str">
        <f t="shared" si="138"/>
        <v>February</v>
      </c>
      <c r="U978" t="str">
        <f t="shared" si="139"/>
        <v>Spring</v>
      </c>
      <c r="V978">
        <f t="shared" si="140"/>
        <v>0.22929155386993369</v>
      </c>
      <c r="W978">
        <f t="shared" si="141"/>
        <v>-0.25435329828790432</v>
      </c>
      <c r="X978">
        <f t="shared" si="142"/>
        <v>0.10399668008577614</v>
      </c>
      <c r="Y978">
        <f t="shared" si="143"/>
        <v>0.36604748519325236</v>
      </c>
    </row>
    <row r="979" spans="1:25" x14ac:dyDescent="0.3">
      <c r="A979">
        <v>978</v>
      </c>
      <c r="B979" s="1">
        <v>40587</v>
      </c>
      <c r="C979">
        <v>1</v>
      </c>
      <c r="D979">
        <v>0</v>
      </c>
      <c r="E979">
        <v>2</v>
      </c>
      <c r="F979">
        <v>9</v>
      </c>
      <c r="G979" t="b">
        <v>0</v>
      </c>
      <c r="H979">
        <v>0</v>
      </c>
      <c r="I979">
        <v>2</v>
      </c>
      <c r="J979">
        <v>0.24</v>
      </c>
      <c r="K979">
        <v>0.2273</v>
      </c>
      <c r="L979">
        <v>0.6</v>
      </c>
      <c r="M979">
        <v>0.22389999999999999</v>
      </c>
      <c r="N979">
        <v>12</v>
      </c>
      <c r="O979">
        <v>35</v>
      </c>
      <c r="P979">
        <v>47</v>
      </c>
      <c r="Q979" t="str">
        <f t="shared" si="135"/>
        <v>Weekend</v>
      </c>
      <c r="R979" t="str">
        <f t="shared" si="136"/>
        <v>Mist/Cloudy</v>
      </c>
      <c r="S979" t="str">
        <f t="shared" si="137"/>
        <v>Morning</v>
      </c>
      <c r="T979" t="str">
        <f t="shared" si="138"/>
        <v>February</v>
      </c>
      <c r="U979" t="str">
        <f t="shared" si="139"/>
        <v>Spring</v>
      </c>
      <c r="V979">
        <f t="shared" si="140"/>
        <v>0.22929155386993369</v>
      </c>
      <c r="W979">
        <f t="shared" si="141"/>
        <v>-0.25435329828790432</v>
      </c>
      <c r="X979">
        <f t="shared" si="142"/>
        <v>0.10399668008577614</v>
      </c>
      <c r="Y979">
        <f t="shared" si="143"/>
        <v>0.36604748519325236</v>
      </c>
    </row>
    <row r="980" spans="1:25" x14ac:dyDescent="0.3">
      <c r="A980">
        <v>979</v>
      </c>
      <c r="B980" s="1">
        <v>40587</v>
      </c>
      <c r="C980">
        <v>1</v>
      </c>
      <c r="D980">
        <v>0</v>
      </c>
      <c r="E980">
        <v>2</v>
      </c>
      <c r="F980">
        <v>10</v>
      </c>
      <c r="G980" t="b">
        <v>0</v>
      </c>
      <c r="H980">
        <v>0</v>
      </c>
      <c r="I980">
        <v>1</v>
      </c>
      <c r="J980">
        <v>0.3</v>
      </c>
      <c r="K980">
        <v>0.2727</v>
      </c>
      <c r="L980">
        <v>0.45</v>
      </c>
      <c r="M980">
        <v>0.32840000000000003</v>
      </c>
      <c r="N980">
        <v>19</v>
      </c>
      <c r="O980">
        <v>86</v>
      </c>
      <c r="P980">
        <v>105</v>
      </c>
      <c r="Q980" t="str">
        <f t="shared" si="135"/>
        <v>Weekend</v>
      </c>
      <c r="R980" t="str">
        <f t="shared" si="136"/>
        <v>Clear</v>
      </c>
      <c r="S980" t="str">
        <f t="shared" si="137"/>
        <v>Morning</v>
      </c>
      <c r="T980" t="str">
        <f t="shared" si="138"/>
        <v>February</v>
      </c>
      <c r="U980" t="str">
        <f t="shared" si="139"/>
        <v>Spring</v>
      </c>
      <c r="V980">
        <f t="shared" si="140"/>
        <v>0.22929155386993369</v>
      </c>
      <c r="W980">
        <f t="shared" si="141"/>
        <v>-0.25435329828790432</v>
      </c>
      <c r="X980">
        <f t="shared" si="142"/>
        <v>0.10399668008577614</v>
      </c>
      <c r="Y980">
        <f t="shared" si="143"/>
        <v>0.36604748519325236</v>
      </c>
    </row>
    <row r="981" spans="1:25" x14ac:dyDescent="0.3">
      <c r="A981">
        <v>980</v>
      </c>
      <c r="B981" s="1">
        <v>40587</v>
      </c>
      <c r="C981">
        <v>1</v>
      </c>
      <c r="D981">
        <v>0</v>
      </c>
      <c r="E981">
        <v>2</v>
      </c>
      <c r="F981">
        <v>11</v>
      </c>
      <c r="G981" t="b">
        <v>0</v>
      </c>
      <c r="H981">
        <v>0</v>
      </c>
      <c r="I981">
        <v>1</v>
      </c>
      <c r="J981">
        <v>0.32</v>
      </c>
      <c r="K981">
        <v>0.28789999999999999</v>
      </c>
      <c r="L981">
        <v>0.39</v>
      </c>
      <c r="M981">
        <v>0.44779999999999998</v>
      </c>
      <c r="N981">
        <v>26</v>
      </c>
      <c r="O981">
        <v>86</v>
      </c>
      <c r="P981">
        <v>112</v>
      </c>
      <c r="Q981" t="str">
        <f t="shared" si="135"/>
        <v>Weekend</v>
      </c>
      <c r="R981" t="str">
        <f t="shared" si="136"/>
        <v>Clear</v>
      </c>
      <c r="S981" t="str">
        <f t="shared" si="137"/>
        <v>Morning</v>
      </c>
      <c r="T981" t="str">
        <f t="shared" si="138"/>
        <v>February</v>
      </c>
      <c r="U981" t="str">
        <f t="shared" si="139"/>
        <v>Spring</v>
      </c>
      <c r="V981">
        <f t="shared" si="140"/>
        <v>0.22929155386993369</v>
      </c>
      <c r="W981">
        <f t="shared" si="141"/>
        <v>-0.25435329828790432</v>
      </c>
      <c r="X981">
        <f t="shared" si="142"/>
        <v>0.10399668008577614</v>
      </c>
      <c r="Y981">
        <f t="shared" si="143"/>
        <v>0.36604748519325236</v>
      </c>
    </row>
    <row r="982" spans="1:25" x14ac:dyDescent="0.3">
      <c r="A982">
        <v>981</v>
      </c>
      <c r="B982" s="1">
        <v>40587</v>
      </c>
      <c r="C982">
        <v>1</v>
      </c>
      <c r="D982">
        <v>0</v>
      </c>
      <c r="E982">
        <v>2</v>
      </c>
      <c r="F982">
        <v>12</v>
      </c>
      <c r="G982" t="b">
        <v>0</v>
      </c>
      <c r="H982">
        <v>0</v>
      </c>
      <c r="I982">
        <v>1</v>
      </c>
      <c r="J982">
        <v>0.36</v>
      </c>
      <c r="K982">
        <v>0.31819999999999998</v>
      </c>
      <c r="L982">
        <v>0.32</v>
      </c>
      <c r="M982">
        <v>0.4627</v>
      </c>
      <c r="N982">
        <v>58</v>
      </c>
      <c r="O982">
        <v>94</v>
      </c>
      <c r="P982">
        <v>152</v>
      </c>
      <c r="Q982" t="str">
        <f t="shared" si="135"/>
        <v>Weekend</v>
      </c>
      <c r="R982" t="str">
        <f t="shared" si="136"/>
        <v>Clear</v>
      </c>
      <c r="S982" t="str">
        <f t="shared" si="137"/>
        <v>Afternoon</v>
      </c>
      <c r="T982" t="str">
        <f t="shared" si="138"/>
        <v>February</v>
      </c>
      <c r="U982" t="str">
        <f t="shared" si="139"/>
        <v>Spring</v>
      </c>
      <c r="V982">
        <f t="shared" si="140"/>
        <v>0.22929155386993369</v>
      </c>
      <c r="W982">
        <f t="shared" si="141"/>
        <v>-0.25435329828790432</v>
      </c>
      <c r="X982">
        <f t="shared" si="142"/>
        <v>0.10399668008577614</v>
      </c>
      <c r="Y982">
        <f t="shared" si="143"/>
        <v>0.36604748519325236</v>
      </c>
    </row>
    <row r="983" spans="1:25" x14ac:dyDescent="0.3">
      <c r="A983">
        <v>982</v>
      </c>
      <c r="B983" s="1">
        <v>40587</v>
      </c>
      <c r="C983">
        <v>1</v>
      </c>
      <c r="D983">
        <v>0</v>
      </c>
      <c r="E983">
        <v>2</v>
      </c>
      <c r="F983">
        <v>13</v>
      </c>
      <c r="G983" t="b">
        <v>0</v>
      </c>
      <c r="H983">
        <v>0</v>
      </c>
      <c r="I983">
        <v>1</v>
      </c>
      <c r="J983">
        <v>0.38</v>
      </c>
      <c r="K983">
        <v>0.39389999999999997</v>
      </c>
      <c r="L983">
        <v>0.28999999999999998</v>
      </c>
      <c r="M983">
        <v>0.35820000000000002</v>
      </c>
      <c r="N983">
        <v>62</v>
      </c>
      <c r="O983">
        <v>92</v>
      </c>
      <c r="P983">
        <v>154</v>
      </c>
      <c r="Q983" t="str">
        <f t="shared" si="135"/>
        <v>Weekend</v>
      </c>
      <c r="R983" t="str">
        <f t="shared" si="136"/>
        <v>Clear</v>
      </c>
      <c r="S983" t="str">
        <f t="shared" si="137"/>
        <v>Afternoon</v>
      </c>
      <c r="T983" t="str">
        <f t="shared" si="138"/>
        <v>February</v>
      </c>
      <c r="U983" t="str">
        <f t="shared" si="139"/>
        <v>Spring</v>
      </c>
      <c r="V983">
        <f t="shared" si="140"/>
        <v>0.22929155386993369</v>
      </c>
      <c r="W983">
        <f t="shared" si="141"/>
        <v>-0.25435329828790432</v>
      </c>
      <c r="X983">
        <f t="shared" si="142"/>
        <v>0.10399668008577614</v>
      </c>
      <c r="Y983">
        <f t="shared" si="143"/>
        <v>0.36604748519325236</v>
      </c>
    </row>
    <row r="984" spans="1:25" x14ac:dyDescent="0.3">
      <c r="A984">
        <v>983</v>
      </c>
      <c r="B984" s="1">
        <v>40587</v>
      </c>
      <c r="C984">
        <v>1</v>
      </c>
      <c r="D984">
        <v>0</v>
      </c>
      <c r="E984">
        <v>2</v>
      </c>
      <c r="F984">
        <v>14</v>
      </c>
      <c r="G984" t="b">
        <v>0</v>
      </c>
      <c r="H984">
        <v>0</v>
      </c>
      <c r="I984">
        <v>2</v>
      </c>
      <c r="J984">
        <v>0.4</v>
      </c>
      <c r="K984">
        <v>0.40910000000000002</v>
      </c>
      <c r="L984">
        <v>0.3</v>
      </c>
      <c r="M984">
        <v>0.41789999999999999</v>
      </c>
      <c r="N984">
        <v>51</v>
      </c>
      <c r="O984">
        <v>110</v>
      </c>
      <c r="P984">
        <v>161</v>
      </c>
      <c r="Q984" t="str">
        <f t="shared" si="135"/>
        <v>Weekend</v>
      </c>
      <c r="R984" t="str">
        <f t="shared" si="136"/>
        <v>Mist/Cloudy</v>
      </c>
      <c r="S984" t="str">
        <f t="shared" si="137"/>
        <v>Afternoon</v>
      </c>
      <c r="T984" t="str">
        <f t="shared" si="138"/>
        <v>February</v>
      </c>
      <c r="U984" t="str">
        <f t="shared" si="139"/>
        <v>Spring</v>
      </c>
      <c r="V984">
        <f t="shared" si="140"/>
        <v>0.22929155386993369</v>
      </c>
      <c r="W984">
        <f t="shared" si="141"/>
        <v>-0.25435329828790432</v>
      </c>
      <c r="X984">
        <f t="shared" si="142"/>
        <v>0.10399668008577614</v>
      </c>
      <c r="Y984">
        <f t="shared" si="143"/>
        <v>0.36604748519325236</v>
      </c>
    </row>
    <row r="985" spans="1:25" x14ac:dyDescent="0.3">
      <c r="A985">
        <v>984</v>
      </c>
      <c r="B985" s="1">
        <v>40587</v>
      </c>
      <c r="C985">
        <v>1</v>
      </c>
      <c r="D985">
        <v>0</v>
      </c>
      <c r="E985">
        <v>2</v>
      </c>
      <c r="F985">
        <v>15</v>
      </c>
      <c r="G985" t="b">
        <v>0</v>
      </c>
      <c r="H985">
        <v>0</v>
      </c>
      <c r="I985">
        <v>2</v>
      </c>
      <c r="J985">
        <v>0.4</v>
      </c>
      <c r="K985">
        <v>0.40910000000000002</v>
      </c>
      <c r="L985">
        <v>0.3</v>
      </c>
      <c r="M985">
        <v>0.29849999999999999</v>
      </c>
      <c r="N985">
        <v>40</v>
      </c>
      <c r="O985">
        <v>122</v>
      </c>
      <c r="P985">
        <v>162</v>
      </c>
      <c r="Q985" t="str">
        <f t="shared" si="135"/>
        <v>Weekend</v>
      </c>
      <c r="R985" t="str">
        <f t="shared" si="136"/>
        <v>Mist/Cloudy</v>
      </c>
      <c r="S985" t="str">
        <f t="shared" si="137"/>
        <v>Afternoon</v>
      </c>
      <c r="T985" t="str">
        <f t="shared" si="138"/>
        <v>February</v>
      </c>
      <c r="U985" t="str">
        <f t="shared" si="139"/>
        <v>Spring</v>
      </c>
      <c r="V985">
        <f t="shared" si="140"/>
        <v>0.22929155386993369</v>
      </c>
      <c r="W985">
        <f t="shared" si="141"/>
        <v>-0.25435329828790432</v>
      </c>
      <c r="X985">
        <f t="shared" si="142"/>
        <v>0.10399668008577614</v>
      </c>
      <c r="Y985">
        <f t="shared" si="143"/>
        <v>0.36604748519325236</v>
      </c>
    </row>
    <row r="986" spans="1:25" x14ac:dyDescent="0.3">
      <c r="A986">
        <v>985</v>
      </c>
      <c r="B986" s="1">
        <v>40587</v>
      </c>
      <c r="C986">
        <v>1</v>
      </c>
      <c r="D986">
        <v>0</v>
      </c>
      <c r="E986">
        <v>2</v>
      </c>
      <c r="F986">
        <v>16</v>
      </c>
      <c r="G986" t="b">
        <v>0</v>
      </c>
      <c r="H986">
        <v>0</v>
      </c>
      <c r="I986">
        <v>2</v>
      </c>
      <c r="J986">
        <v>0.42</v>
      </c>
      <c r="K986">
        <v>0.42420000000000002</v>
      </c>
      <c r="L986">
        <v>0.28000000000000003</v>
      </c>
      <c r="M986">
        <v>0.32840000000000003</v>
      </c>
      <c r="N986">
        <v>28</v>
      </c>
      <c r="O986">
        <v>106</v>
      </c>
      <c r="P986">
        <v>134</v>
      </c>
      <c r="Q986" t="str">
        <f t="shared" si="135"/>
        <v>Weekend</v>
      </c>
      <c r="R986" t="str">
        <f t="shared" si="136"/>
        <v>Mist/Cloudy</v>
      </c>
      <c r="S986" t="str">
        <f t="shared" si="137"/>
        <v>Afternoon</v>
      </c>
      <c r="T986" t="str">
        <f t="shared" si="138"/>
        <v>February</v>
      </c>
      <c r="U986" t="str">
        <f t="shared" si="139"/>
        <v>Spring</v>
      </c>
      <c r="V986">
        <f t="shared" si="140"/>
        <v>0.22929155386993369</v>
      </c>
      <c r="W986">
        <f t="shared" si="141"/>
        <v>-0.25435329828790432</v>
      </c>
      <c r="X986">
        <f t="shared" si="142"/>
        <v>0.10399668008577614</v>
      </c>
      <c r="Y986">
        <f t="shared" si="143"/>
        <v>0.36604748519325236</v>
      </c>
    </row>
    <row r="987" spans="1:25" x14ac:dyDescent="0.3">
      <c r="A987">
        <v>986</v>
      </c>
      <c r="B987" s="1">
        <v>40587</v>
      </c>
      <c r="C987">
        <v>1</v>
      </c>
      <c r="D987">
        <v>0</v>
      </c>
      <c r="E987">
        <v>2</v>
      </c>
      <c r="F987">
        <v>17</v>
      </c>
      <c r="G987" t="b">
        <v>0</v>
      </c>
      <c r="H987">
        <v>0</v>
      </c>
      <c r="I987">
        <v>1</v>
      </c>
      <c r="J987">
        <v>0.42</v>
      </c>
      <c r="K987">
        <v>0.42420000000000002</v>
      </c>
      <c r="L987">
        <v>0.28000000000000003</v>
      </c>
      <c r="M987">
        <v>0.32840000000000003</v>
      </c>
      <c r="N987">
        <v>30</v>
      </c>
      <c r="O987">
        <v>95</v>
      </c>
      <c r="P987">
        <v>125</v>
      </c>
      <c r="Q987" t="str">
        <f t="shared" si="135"/>
        <v>Weekend</v>
      </c>
      <c r="R987" t="str">
        <f t="shared" si="136"/>
        <v>Clear</v>
      </c>
      <c r="S987" t="str">
        <f t="shared" si="137"/>
        <v>Evening</v>
      </c>
      <c r="T987" t="str">
        <f t="shared" si="138"/>
        <v>February</v>
      </c>
      <c r="U987" t="str">
        <f t="shared" si="139"/>
        <v>Spring</v>
      </c>
      <c r="V987">
        <f t="shared" si="140"/>
        <v>0.22929155386993369</v>
      </c>
      <c r="W987">
        <f t="shared" si="141"/>
        <v>-0.25435329828790432</v>
      </c>
      <c r="X987">
        <f t="shared" si="142"/>
        <v>0.10399668008577614</v>
      </c>
      <c r="Y987">
        <f t="shared" si="143"/>
        <v>0.36604748519325236</v>
      </c>
    </row>
    <row r="988" spans="1:25" x14ac:dyDescent="0.3">
      <c r="A988">
        <v>987</v>
      </c>
      <c r="B988" s="1">
        <v>40587</v>
      </c>
      <c r="C988">
        <v>1</v>
      </c>
      <c r="D988">
        <v>0</v>
      </c>
      <c r="E988">
        <v>2</v>
      </c>
      <c r="F988">
        <v>18</v>
      </c>
      <c r="G988" t="b">
        <v>0</v>
      </c>
      <c r="H988">
        <v>0</v>
      </c>
      <c r="I988">
        <v>1</v>
      </c>
      <c r="J988">
        <v>0.4</v>
      </c>
      <c r="K988">
        <v>0.40910000000000002</v>
      </c>
      <c r="L988">
        <v>0.32</v>
      </c>
      <c r="M988">
        <v>0.29849999999999999</v>
      </c>
      <c r="N988">
        <v>17</v>
      </c>
      <c r="O988">
        <v>78</v>
      </c>
      <c r="P988">
        <v>95</v>
      </c>
      <c r="Q988" t="str">
        <f t="shared" si="135"/>
        <v>Weekend</v>
      </c>
      <c r="R988" t="str">
        <f t="shared" si="136"/>
        <v>Clear</v>
      </c>
      <c r="S988" t="str">
        <f t="shared" si="137"/>
        <v>Evening</v>
      </c>
      <c r="T988" t="str">
        <f t="shared" si="138"/>
        <v>February</v>
      </c>
      <c r="U988" t="str">
        <f t="shared" si="139"/>
        <v>Spring</v>
      </c>
      <c r="V988">
        <f t="shared" si="140"/>
        <v>0.22929155386993369</v>
      </c>
      <c r="W988">
        <f t="shared" si="141"/>
        <v>-0.25435329828790432</v>
      </c>
      <c r="X988">
        <f t="shared" si="142"/>
        <v>0.10399668008577614</v>
      </c>
      <c r="Y988">
        <f t="shared" si="143"/>
        <v>0.36604748519325236</v>
      </c>
    </row>
    <row r="989" spans="1:25" x14ac:dyDescent="0.3">
      <c r="A989">
        <v>988</v>
      </c>
      <c r="B989" s="1">
        <v>40587</v>
      </c>
      <c r="C989">
        <v>1</v>
      </c>
      <c r="D989">
        <v>0</v>
      </c>
      <c r="E989">
        <v>2</v>
      </c>
      <c r="F989">
        <v>19</v>
      </c>
      <c r="G989" t="b">
        <v>0</v>
      </c>
      <c r="H989">
        <v>0</v>
      </c>
      <c r="I989">
        <v>1</v>
      </c>
      <c r="J989">
        <v>0.4</v>
      </c>
      <c r="K989">
        <v>0.40910000000000002</v>
      </c>
      <c r="L989">
        <v>0.35</v>
      </c>
      <c r="M989">
        <v>0.28360000000000002</v>
      </c>
      <c r="N989">
        <v>11</v>
      </c>
      <c r="O989">
        <v>50</v>
      </c>
      <c r="P989">
        <v>61</v>
      </c>
      <c r="Q989" t="str">
        <f t="shared" si="135"/>
        <v>Weekend</v>
      </c>
      <c r="R989" t="str">
        <f t="shared" si="136"/>
        <v>Clear</v>
      </c>
      <c r="S989" t="str">
        <f t="shared" si="137"/>
        <v>Evening</v>
      </c>
      <c r="T989" t="str">
        <f t="shared" si="138"/>
        <v>February</v>
      </c>
      <c r="U989" t="str">
        <f t="shared" si="139"/>
        <v>Spring</v>
      </c>
      <c r="V989">
        <f t="shared" si="140"/>
        <v>0.22929155386993369</v>
      </c>
      <c r="W989">
        <f t="shared" si="141"/>
        <v>-0.25435329828790432</v>
      </c>
      <c r="X989">
        <f t="shared" si="142"/>
        <v>0.10399668008577614</v>
      </c>
      <c r="Y989">
        <f t="shared" si="143"/>
        <v>0.36604748519325236</v>
      </c>
    </row>
    <row r="990" spans="1:25" x14ac:dyDescent="0.3">
      <c r="A990">
        <v>989</v>
      </c>
      <c r="B990" s="1">
        <v>40587</v>
      </c>
      <c r="C990">
        <v>1</v>
      </c>
      <c r="D990">
        <v>0</v>
      </c>
      <c r="E990">
        <v>2</v>
      </c>
      <c r="F990">
        <v>20</v>
      </c>
      <c r="G990" t="b">
        <v>0</v>
      </c>
      <c r="H990">
        <v>0</v>
      </c>
      <c r="I990">
        <v>1</v>
      </c>
      <c r="J990">
        <v>0.4</v>
      </c>
      <c r="K990">
        <v>0.40910000000000002</v>
      </c>
      <c r="L990">
        <v>0.35</v>
      </c>
      <c r="M990">
        <v>0.32840000000000003</v>
      </c>
      <c r="N990">
        <v>15</v>
      </c>
      <c r="O990">
        <v>32</v>
      </c>
      <c r="P990">
        <v>47</v>
      </c>
      <c r="Q990" t="str">
        <f t="shared" si="135"/>
        <v>Weekend</v>
      </c>
      <c r="R990" t="str">
        <f t="shared" si="136"/>
        <v>Clear</v>
      </c>
      <c r="S990" t="str">
        <f t="shared" si="137"/>
        <v>Evening</v>
      </c>
      <c r="T990" t="str">
        <f t="shared" si="138"/>
        <v>February</v>
      </c>
      <c r="U990" t="str">
        <f t="shared" si="139"/>
        <v>Spring</v>
      </c>
      <c r="V990">
        <f t="shared" si="140"/>
        <v>0.22929155386993369</v>
      </c>
      <c r="W990">
        <f t="shared" si="141"/>
        <v>-0.25435329828790432</v>
      </c>
      <c r="X990">
        <f t="shared" si="142"/>
        <v>0.10399668008577614</v>
      </c>
      <c r="Y990">
        <f t="shared" si="143"/>
        <v>0.36604748519325236</v>
      </c>
    </row>
    <row r="991" spans="1:25" x14ac:dyDescent="0.3">
      <c r="A991">
        <v>990</v>
      </c>
      <c r="B991" s="1">
        <v>40587</v>
      </c>
      <c r="C991">
        <v>1</v>
      </c>
      <c r="D991">
        <v>0</v>
      </c>
      <c r="E991">
        <v>2</v>
      </c>
      <c r="F991">
        <v>21</v>
      </c>
      <c r="G991" t="b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0.35820000000000002</v>
      </c>
      <c r="N991">
        <v>6</v>
      </c>
      <c r="O991">
        <v>45</v>
      </c>
      <c r="P991">
        <v>51</v>
      </c>
      <c r="Q991" t="str">
        <f t="shared" si="135"/>
        <v>Weekend</v>
      </c>
      <c r="R991" t="str">
        <f t="shared" si="136"/>
        <v>Clear</v>
      </c>
      <c r="S991" t="str">
        <f t="shared" si="137"/>
        <v>Night</v>
      </c>
      <c r="T991" t="str">
        <f t="shared" si="138"/>
        <v>February</v>
      </c>
      <c r="U991" t="str">
        <f t="shared" si="139"/>
        <v>Spring</v>
      </c>
      <c r="V991">
        <f t="shared" si="140"/>
        <v>0.22929155386993369</v>
      </c>
      <c r="W991">
        <f t="shared" si="141"/>
        <v>-0.25435329828790432</v>
      </c>
      <c r="X991">
        <f t="shared" si="142"/>
        <v>0.10399668008577614</v>
      </c>
      <c r="Y991">
        <f t="shared" si="143"/>
        <v>0.36604748519325236</v>
      </c>
    </row>
    <row r="992" spans="1:25" x14ac:dyDescent="0.3">
      <c r="A992">
        <v>991</v>
      </c>
      <c r="B992" s="1">
        <v>40587</v>
      </c>
      <c r="C992">
        <v>1</v>
      </c>
      <c r="D992">
        <v>0</v>
      </c>
      <c r="E992">
        <v>2</v>
      </c>
      <c r="F992">
        <v>22</v>
      </c>
      <c r="G992" t="b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0.29849999999999999</v>
      </c>
      <c r="N992">
        <v>5</v>
      </c>
      <c r="O992">
        <v>31</v>
      </c>
      <c r="P992">
        <v>36</v>
      </c>
      <c r="Q992" t="str">
        <f t="shared" si="135"/>
        <v>Weekend</v>
      </c>
      <c r="R992" t="str">
        <f t="shared" si="136"/>
        <v>Clear</v>
      </c>
      <c r="S992" t="str">
        <f t="shared" si="137"/>
        <v>Night</v>
      </c>
      <c r="T992" t="str">
        <f t="shared" si="138"/>
        <v>February</v>
      </c>
      <c r="U992" t="str">
        <f t="shared" si="139"/>
        <v>Spring</v>
      </c>
      <c r="V992">
        <f t="shared" si="140"/>
        <v>0.22929155386993369</v>
      </c>
      <c r="W992">
        <f t="shared" si="141"/>
        <v>-0.25435329828790432</v>
      </c>
      <c r="X992">
        <f t="shared" si="142"/>
        <v>0.10399668008577614</v>
      </c>
      <c r="Y992">
        <f t="shared" si="143"/>
        <v>0.36604748519325236</v>
      </c>
    </row>
    <row r="993" spans="1:25" x14ac:dyDescent="0.3">
      <c r="A993">
        <v>992</v>
      </c>
      <c r="B993" s="1">
        <v>40587</v>
      </c>
      <c r="C993">
        <v>1</v>
      </c>
      <c r="D993">
        <v>0</v>
      </c>
      <c r="E993">
        <v>2</v>
      </c>
      <c r="F993">
        <v>23</v>
      </c>
      <c r="G993" t="b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3</v>
      </c>
      <c r="O993">
        <v>27</v>
      </c>
      <c r="P993">
        <v>30</v>
      </c>
      <c r="Q993" t="str">
        <f t="shared" si="135"/>
        <v>Weekend</v>
      </c>
      <c r="R993" t="str">
        <f t="shared" si="136"/>
        <v>Clear</v>
      </c>
      <c r="S993" t="str">
        <f t="shared" si="137"/>
        <v>Night</v>
      </c>
      <c r="T993" t="str">
        <f t="shared" si="138"/>
        <v>February</v>
      </c>
      <c r="U993" t="str">
        <f t="shared" si="139"/>
        <v>Spring</v>
      </c>
      <c r="V993">
        <f t="shared" si="140"/>
        <v>0.22929155386993369</v>
      </c>
      <c r="W993">
        <f t="shared" si="141"/>
        <v>-0.25435329828790432</v>
      </c>
      <c r="X993">
        <f t="shared" si="142"/>
        <v>0.10399668008577614</v>
      </c>
      <c r="Y993">
        <f t="shared" si="143"/>
        <v>0.36604748519325236</v>
      </c>
    </row>
    <row r="994" spans="1:25" x14ac:dyDescent="0.3">
      <c r="A994">
        <v>993</v>
      </c>
      <c r="B994" s="1">
        <v>40588</v>
      </c>
      <c r="C994">
        <v>1</v>
      </c>
      <c r="D994">
        <v>0</v>
      </c>
      <c r="E994">
        <v>2</v>
      </c>
      <c r="F994">
        <v>0</v>
      </c>
      <c r="G994" t="b">
        <v>0</v>
      </c>
      <c r="H994">
        <v>1</v>
      </c>
      <c r="I994">
        <v>1</v>
      </c>
      <c r="J994">
        <v>0.38</v>
      </c>
      <c r="K994">
        <v>0.39389999999999997</v>
      </c>
      <c r="L994">
        <v>0.37</v>
      </c>
      <c r="M994">
        <v>0.35820000000000002</v>
      </c>
      <c r="N994">
        <v>3</v>
      </c>
      <c r="O994">
        <v>8</v>
      </c>
      <c r="P994">
        <v>11</v>
      </c>
      <c r="Q994" t="str">
        <f t="shared" si="135"/>
        <v>Weekday</v>
      </c>
      <c r="R994" t="str">
        <f t="shared" si="136"/>
        <v>Clear</v>
      </c>
      <c r="S994" t="str">
        <f t="shared" si="137"/>
        <v>Night</v>
      </c>
      <c r="T994" t="str">
        <f t="shared" si="138"/>
        <v>February</v>
      </c>
      <c r="U994" t="str">
        <f t="shared" si="139"/>
        <v>Spring</v>
      </c>
      <c r="V994">
        <f t="shared" si="140"/>
        <v>0.22929155386993369</v>
      </c>
      <c r="W994">
        <f t="shared" si="141"/>
        <v>-0.25435329828790432</v>
      </c>
      <c r="X994">
        <f t="shared" si="142"/>
        <v>0.10399668008577614</v>
      </c>
      <c r="Y994">
        <f t="shared" si="143"/>
        <v>0.36604748519325236</v>
      </c>
    </row>
    <row r="995" spans="1:25" x14ac:dyDescent="0.3">
      <c r="A995">
        <v>994</v>
      </c>
      <c r="B995" s="1">
        <v>40588</v>
      </c>
      <c r="C995">
        <v>1</v>
      </c>
      <c r="D995">
        <v>0</v>
      </c>
      <c r="E995">
        <v>2</v>
      </c>
      <c r="F995">
        <v>1</v>
      </c>
      <c r="G995" t="b">
        <v>0</v>
      </c>
      <c r="H995">
        <v>1</v>
      </c>
      <c r="I995">
        <v>1</v>
      </c>
      <c r="J995">
        <v>0.38</v>
      </c>
      <c r="K995">
        <v>0.39389999999999997</v>
      </c>
      <c r="L995">
        <v>0.37</v>
      </c>
      <c r="M995">
        <v>0.35820000000000002</v>
      </c>
      <c r="N995">
        <v>1</v>
      </c>
      <c r="O995">
        <v>6</v>
      </c>
      <c r="P995">
        <v>7</v>
      </c>
      <c r="Q995" t="str">
        <f t="shared" si="135"/>
        <v>Weekday</v>
      </c>
      <c r="R995" t="str">
        <f t="shared" si="136"/>
        <v>Clear</v>
      </c>
      <c r="S995" t="str">
        <f t="shared" si="137"/>
        <v>Night</v>
      </c>
      <c r="T995" t="str">
        <f t="shared" si="138"/>
        <v>February</v>
      </c>
      <c r="U995" t="str">
        <f t="shared" si="139"/>
        <v>Spring</v>
      </c>
      <c r="V995">
        <f t="shared" si="140"/>
        <v>0.22929155386993369</v>
      </c>
      <c r="W995">
        <f t="shared" si="141"/>
        <v>-0.25435329828790432</v>
      </c>
      <c r="X995">
        <f t="shared" si="142"/>
        <v>0.10399668008577614</v>
      </c>
      <c r="Y995">
        <f t="shared" si="143"/>
        <v>0.36604748519325236</v>
      </c>
    </row>
    <row r="996" spans="1:25" x14ac:dyDescent="0.3">
      <c r="A996">
        <v>995</v>
      </c>
      <c r="B996" s="1">
        <v>40588</v>
      </c>
      <c r="C996">
        <v>1</v>
      </c>
      <c r="D996">
        <v>0</v>
      </c>
      <c r="E996">
        <v>2</v>
      </c>
      <c r="F996">
        <v>2</v>
      </c>
      <c r="G996" t="b">
        <v>0</v>
      </c>
      <c r="H996">
        <v>1</v>
      </c>
      <c r="I996">
        <v>1</v>
      </c>
      <c r="J996">
        <v>0.36</v>
      </c>
      <c r="K996">
        <v>0.33329999999999999</v>
      </c>
      <c r="L996">
        <v>0.4</v>
      </c>
      <c r="M996">
        <v>0.29849999999999999</v>
      </c>
      <c r="N996">
        <v>0</v>
      </c>
      <c r="O996">
        <v>2</v>
      </c>
      <c r="P996">
        <v>2</v>
      </c>
      <c r="Q996" t="str">
        <f t="shared" si="135"/>
        <v>Weekday</v>
      </c>
      <c r="R996" t="str">
        <f t="shared" si="136"/>
        <v>Clear</v>
      </c>
      <c r="S996" t="str">
        <f t="shared" si="137"/>
        <v>Night</v>
      </c>
      <c r="T996" t="str">
        <f t="shared" si="138"/>
        <v>February</v>
      </c>
      <c r="U996" t="str">
        <f t="shared" si="139"/>
        <v>Spring</v>
      </c>
      <c r="V996">
        <f t="shared" si="140"/>
        <v>0.22929155386993369</v>
      </c>
      <c r="W996">
        <f t="shared" si="141"/>
        <v>-0.25435329828790432</v>
      </c>
      <c r="X996">
        <f t="shared" si="142"/>
        <v>0.10399668008577614</v>
      </c>
      <c r="Y996">
        <f t="shared" si="143"/>
        <v>0.36604748519325236</v>
      </c>
    </row>
    <row r="997" spans="1:25" x14ac:dyDescent="0.3">
      <c r="A997">
        <v>996</v>
      </c>
      <c r="B997" s="1">
        <v>40588</v>
      </c>
      <c r="C997">
        <v>1</v>
      </c>
      <c r="D997">
        <v>0</v>
      </c>
      <c r="E997">
        <v>2</v>
      </c>
      <c r="F997">
        <v>3</v>
      </c>
      <c r="G997" t="b">
        <v>0</v>
      </c>
      <c r="H997">
        <v>1</v>
      </c>
      <c r="I997">
        <v>1</v>
      </c>
      <c r="J997">
        <v>0.34</v>
      </c>
      <c r="K997">
        <v>0.31819999999999998</v>
      </c>
      <c r="L997">
        <v>0.46</v>
      </c>
      <c r="M997">
        <v>0.22389999999999999</v>
      </c>
      <c r="N997">
        <v>1</v>
      </c>
      <c r="O997">
        <v>1</v>
      </c>
      <c r="P997">
        <v>2</v>
      </c>
      <c r="Q997" t="str">
        <f t="shared" si="135"/>
        <v>Weekday</v>
      </c>
      <c r="R997" t="str">
        <f t="shared" si="136"/>
        <v>Clear</v>
      </c>
      <c r="S997" t="str">
        <f t="shared" si="137"/>
        <v>Night</v>
      </c>
      <c r="T997" t="str">
        <f t="shared" si="138"/>
        <v>February</v>
      </c>
      <c r="U997" t="str">
        <f t="shared" si="139"/>
        <v>Spring</v>
      </c>
      <c r="V997">
        <f t="shared" si="140"/>
        <v>0.22929155386993369</v>
      </c>
      <c r="W997">
        <f t="shared" si="141"/>
        <v>-0.25435329828790432</v>
      </c>
      <c r="X997">
        <f t="shared" si="142"/>
        <v>0.10399668008577614</v>
      </c>
      <c r="Y997">
        <f t="shared" si="143"/>
        <v>0.36604748519325236</v>
      </c>
    </row>
    <row r="998" spans="1:25" x14ac:dyDescent="0.3">
      <c r="A998">
        <v>997</v>
      </c>
      <c r="B998" s="1">
        <v>40588</v>
      </c>
      <c r="C998">
        <v>1</v>
      </c>
      <c r="D998">
        <v>0</v>
      </c>
      <c r="E998">
        <v>2</v>
      </c>
      <c r="F998">
        <v>4</v>
      </c>
      <c r="G998" t="b">
        <v>0</v>
      </c>
      <c r="H998">
        <v>1</v>
      </c>
      <c r="I998">
        <v>1</v>
      </c>
      <c r="J998">
        <v>0.32</v>
      </c>
      <c r="K998">
        <v>0.30299999999999999</v>
      </c>
      <c r="L998">
        <v>0.53</v>
      </c>
      <c r="M998">
        <v>0.28360000000000002</v>
      </c>
      <c r="N998">
        <v>0</v>
      </c>
      <c r="O998">
        <v>2</v>
      </c>
      <c r="P998">
        <v>2</v>
      </c>
      <c r="Q998" t="str">
        <f t="shared" si="135"/>
        <v>Weekday</v>
      </c>
      <c r="R998" t="str">
        <f t="shared" si="136"/>
        <v>Clear</v>
      </c>
      <c r="S998" t="str">
        <f t="shared" si="137"/>
        <v>Night</v>
      </c>
      <c r="T998" t="str">
        <f t="shared" si="138"/>
        <v>February</v>
      </c>
      <c r="U998" t="str">
        <f t="shared" si="139"/>
        <v>Spring</v>
      </c>
      <c r="V998">
        <f t="shared" si="140"/>
        <v>0.22929155386993369</v>
      </c>
      <c r="W998">
        <f t="shared" si="141"/>
        <v>-0.25435329828790432</v>
      </c>
      <c r="X998">
        <f t="shared" si="142"/>
        <v>0.10399668008577614</v>
      </c>
      <c r="Y998">
        <f t="shared" si="143"/>
        <v>0.36604748519325236</v>
      </c>
    </row>
    <row r="999" spans="1:25" x14ac:dyDescent="0.3">
      <c r="A999">
        <v>998</v>
      </c>
      <c r="B999" s="1">
        <v>40588</v>
      </c>
      <c r="C999">
        <v>1</v>
      </c>
      <c r="D999">
        <v>0</v>
      </c>
      <c r="E999">
        <v>2</v>
      </c>
      <c r="F999">
        <v>5</v>
      </c>
      <c r="G999" t="b">
        <v>0</v>
      </c>
      <c r="H999">
        <v>1</v>
      </c>
      <c r="I999">
        <v>1</v>
      </c>
      <c r="J999">
        <v>0.32</v>
      </c>
      <c r="K999">
        <v>0.30299999999999999</v>
      </c>
      <c r="L999">
        <v>0.53</v>
      </c>
      <c r="M999">
        <v>0.28360000000000002</v>
      </c>
      <c r="N999">
        <v>0</v>
      </c>
      <c r="O999">
        <v>3</v>
      </c>
      <c r="P999">
        <v>3</v>
      </c>
      <c r="Q999" t="str">
        <f t="shared" si="135"/>
        <v>Weekday</v>
      </c>
      <c r="R999" t="str">
        <f t="shared" si="136"/>
        <v>Clear</v>
      </c>
      <c r="S999" t="str">
        <f t="shared" si="137"/>
        <v>Night</v>
      </c>
      <c r="T999" t="str">
        <f t="shared" si="138"/>
        <v>February</v>
      </c>
      <c r="U999" t="str">
        <f t="shared" si="139"/>
        <v>Spring</v>
      </c>
      <c r="V999">
        <f t="shared" si="140"/>
        <v>0.22929155386993369</v>
      </c>
      <c r="W999">
        <f t="shared" si="141"/>
        <v>-0.25435329828790432</v>
      </c>
      <c r="X999">
        <f t="shared" si="142"/>
        <v>0.10399668008577614</v>
      </c>
      <c r="Y999">
        <f t="shared" si="143"/>
        <v>0.36604748519325236</v>
      </c>
    </row>
    <row r="1000" spans="1:25" x14ac:dyDescent="0.3">
      <c r="A1000">
        <v>999</v>
      </c>
      <c r="B1000" s="1">
        <v>40588</v>
      </c>
      <c r="C1000">
        <v>1</v>
      </c>
      <c r="D1000">
        <v>0</v>
      </c>
      <c r="E1000">
        <v>2</v>
      </c>
      <c r="F1000">
        <v>6</v>
      </c>
      <c r="G1000" t="b">
        <v>0</v>
      </c>
      <c r="H1000">
        <v>1</v>
      </c>
      <c r="I1000">
        <v>1</v>
      </c>
      <c r="J1000">
        <v>0.34</v>
      </c>
      <c r="K1000">
        <v>0.30299999999999999</v>
      </c>
      <c r="L1000">
        <v>0.46</v>
      </c>
      <c r="M1000">
        <v>0.29849999999999999</v>
      </c>
      <c r="N1000">
        <v>1</v>
      </c>
      <c r="O1000">
        <v>25</v>
      </c>
      <c r="P1000">
        <v>26</v>
      </c>
      <c r="Q1000" t="str">
        <f t="shared" si="135"/>
        <v>Weekday</v>
      </c>
      <c r="R1000" t="str">
        <f t="shared" si="136"/>
        <v>Clear</v>
      </c>
      <c r="S1000" t="str">
        <f t="shared" si="137"/>
        <v>Morning</v>
      </c>
      <c r="T1000" t="str">
        <f t="shared" si="138"/>
        <v>February</v>
      </c>
      <c r="U1000" t="str">
        <f t="shared" si="139"/>
        <v>Spring</v>
      </c>
      <c r="V1000">
        <f t="shared" si="140"/>
        <v>0.22929155386993369</v>
      </c>
      <c r="W1000">
        <f t="shared" si="141"/>
        <v>-0.25435329828790432</v>
      </c>
      <c r="X1000">
        <f t="shared" si="142"/>
        <v>0.10399668008577614</v>
      </c>
      <c r="Y1000">
        <f t="shared" si="143"/>
        <v>0.36604748519325236</v>
      </c>
    </row>
    <row r="1001" spans="1:25" x14ac:dyDescent="0.3">
      <c r="A1001">
        <v>1000</v>
      </c>
      <c r="B1001" s="1">
        <v>40588</v>
      </c>
      <c r="C1001">
        <v>1</v>
      </c>
      <c r="D1001">
        <v>0</v>
      </c>
      <c r="E1001">
        <v>2</v>
      </c>
      <c r="F1001">
        <v>7</v>
      </c>
      <c r="G1001" t="b">
        <v>0</v>
      </c>
      <c r="H1001">
        <v>1</v>
      </c>
      <c r="I1001">
        <v>1</v>
      </c>
      <c r="J1001">
        <v>0.34</v>
      </c>
      <c r="K1001">
        <v>0.30299999999999999</v>
      </c>
      <c r="L1001">
        <v>0.46</v>
      </c>
      <c r="M1001">
        <v>0.29849999999999999</v>
      </c>
      <c r="N1001">
        <v>2</v>
      </c>
      <c r="O1001">
        <v>96</v>
      </c>
      <c r="P1001">
        <v>98</v>
      </c>
      <c r="Q1001" t="str">
        <f t="shared" si="135"/>
        <v>Weekday</v>
      </c>
      <c r="R1001" t="str">
        <f t="shared" si="136"/>
        <v>Clear</v>
      </c>
      <c r="S1001" t="str">
        <f t="shared" si="137"/>
        <v>Morning</v>
      </c>
      <c r="T1001" t="str">
        <f t="shared" si="138"/>
        <v>February</v>
      </c>
      <c r="U1001" t="str">
        <f t="shared" si="139"/>
        <v>Spring</v>
      </c>
      <c r="V1001">
        <f t="shared" si="140"/>
        <v>0.22929155386993369</v>
      </c>
      <c r="W1001">
        <f t="shared" si="141"/>
        <v>-0.25435329828790432</v>
      </c>
      <c r="X1001">
        <f t="shared" si="142"/>
        <v>0.10399668008577614</v>
      </c>
      <c r="Y1001">
        <f t="shared" si="143"/>
        <v>0.36604748519325236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1F5D-A615-459B-92BF-4BD96C280CD7}">
  <dimension ref="A3:K44"/>
  <sheetViews>
    <sheetView workbookViewId="0">
      <selection activeCell="I6" sqref="I6"/>
    </sheetView>
  </sheetViews>
  <sheetFormatPr defaultRowHeight="14.4" x14ac:dyDescent="0.3"/>
  <cols>
    <col min="2" max="2" width="22.44140625" customWidth="1"/>
    <col min="9" max="9" width="12" customWidth="1"/>
    <col min="10" max="10" width="11.6640625" customWidth="1"/>
    <col min="11" max="11" width="15.44140625" customWidth="1"/>
  </cols>
  <sheetData>
    <row r="3" spans="1:11" ht="15.6" x14ac:dyDescent="0.3">
      <c r="B3" s="20" t="s">
        <v>46</v>
      </c>
      <c r="I3" s="22" t="s">
        <v>47</v>
      </c>
    </row>
    <row r="4" spans="1:11" ht="15.6" x14ac:dyDescent="0.3">
      <c r="B4" s="21">
        <v>58304</v>
      </c>
      <c r="I4" s="22">
        <v>58.3</v>
      </c>
    </row>
    <row r="6" spans="1:11" x14ac:dyDescent="0.3">
      <c r="A6" s="13" t="s">
        <v>23</v>
      </c>
      <c r="B6" s="14" t="s">
        <v>29</v>
      </c>
      <c r="J6" s="13" t="s">
        <v>23</v>
      </c>
      <c r="K6" s="14" t="s">
        <v>29</v>
      </c>
    </row>
    <row r="7" spans="1:11" x14ac:dyDescent="0.3">
      <c r="A7" s="15">
        <v>0.02</v>
      </c>
      <c r="B7" s="19">
        <v>168</v>
      </c>
      <c r="J7" s="15" t="s">
        <v>40</v>
      </c>
      <c r="K7" s="19">
        <v>37373</v>
      </c>
    </row>
    <row r="8" spans="1:11" x14ac:dyDescent="0.3">
      <c r="A8" s="15">
        <v>0.04</v>
      </c>
      <c r="B8" s="19">
        <v>387</v>
      </c>
      <c r="J8" s="15" t="s">
        <v>41</v>
      </c>
      <c r="K8" s="19">
        <v>36</v>
      </c>
    </row>
    <row r="9" spans="1:11" x14ac:dyDescent="0.3">
      <c r="A9" s="15">
        <v>0.06</v>
      </c>
      <c r="B9" s="19">
        <v>608</v>
      </c>
      <c r="J9" s="15" t="s">
        <v>42</v>
      </c>
      <c r="K9" s="19">
        <v>2789</v>
      </c>
    </row>
    <row r="10" spans="1:11" x14ac:dyDescent="0.3">
      <c r="A10" s="15">
        <v>0.08</v>
      </c>
      <c r="B10" s="19">
        <v>357</v>
      </c>
      <c r="J10" s="15" t="s">
        <v>43</v>
      </c>
      <c r="K10" s="19">
        <v>18106</v>
      </c>
    </row>
    <row r="11" spans="1:11" x14ac:dyDescent="0.3">
      <c r="A11" s="15">
        <v>0.1</v>
      </c>
      <c r="B11" s="19">
        <v>1259</v>
      </c>
      <c r="J11" s="15" t="s">
        <v>39</v>
      </c>
      <c r="K11" s="19"/>
    </row>
    <row r="12" spans="1:11" x14ac:dyDescent="0.3">
      <c r="A12" s="15">
        <v>0.12</v>
      </c>
      <c r="B12" s="19">
        <v>2104</v>
      </c>
      <c r="J12" s="15" t="s">
        <v>24</v>
      </c>
      <c r="K12" s="19">
        <v>58304</v>
      </c>
    </row>
    <row r="13" spans="1:11" x14ac:dyDescent="0.3">
      <c r="A13" s="15">
        <v>0.14000000000000001</v>
      </c>
      <c r="B13" s="19">
        <v>4335</v>
      </c>
    </row>
    <row r="14" spans="1:11" x14ac:dyDescent="0.3">
      <c r="A14" s="15">
        <v>0.16</v>
      </c>
      <c r="B14" s="19">
        <v>7003</v>
      </c>
    </row>
    <row r="15" spans="1:11" x14ac:dyDescent="0.3">
      <c r="A15" s="15">
        <v>0.18</v>
      </c>
      <c r="B15" s="19">
        <v>4045</v>
      </c>
    </row>
    <row r="16" spans="1:11" x14ac:dyDescent="0.3">
      <c r="A16" s="15">
        <v>0.2</v>
      </c>
      <c r="B16" s="19">
        <v>7926</v>
      </c>
    </row>
    <row r="17" spans="1:11" x14ac:dyDescent="0.3">
      <c r="A17" s="15">
        <v>0.22</v>
      </c>
      <c r="B17" s="19">
        <v>7212</v>
      </c>
    </row>
    <row r="18" spans="1:11" x14ac:dyDescent="0.3">
      <c r="A18" s="15">
        <v>0.24</v>
      </c>
      <c r="B18" s="19">
        <v>5965</v>
      </c>
    </row>
    <row r="19" spans="1:11" x14ac:dyDescent="0.3">
      <c r="A19" s="15">
        <v>0.26</v>
      </c>
      <c r="B19" s="19">
        <v>3157</v>
      </c>
    </row>
    <row r="20" spans="1:11" x14ac:dyDescent="0.3">
      <c r="A20" s="15">
        <v>0.28000000000000003</v>
      </c>
      <c r="B20" s="19">
        <v>1958</v>
      </c>
    </row>
    <row r="21" spans="1:11" x14ac:dyDescent="0.3">
      <c r="A21" s="15">
        <v>0.3</v>
      </c>
      <c r="B21" s="19">
        <v>3551</v>
      </c>
      <c r="J21" s="13" t="s">
        <v>23</v>
      </c>
      <c r="K21" s="14" t="s">
        <v>29</v>
      </c>
    </row>
    <row r="22" spans="1:11" x14ac:dyDescent="0.3">
      <c r="A22" s="15">
        <v>0.32</v>
      </c>
      <c r="B22" s="19">
        <v>1966</v>
      </c>
      <c r="J22" s="15" t="s">
        <v>27</v>
      </c>
      <c r="K22" s="19">
        <v>42435</v>
      </c>
    </row>
    <row r="23" spans="1:11" x14ac:dyDescent="0.3">
      <c r="A23" s="15">
        <v>0.34</v>
      </c>
      <c r="B23" s="19">
        <v>2478</v>
      </c>
      <c r="J23" s="15" t="s">
        <v>28</v>
      </c>
      <c r="K23" s="19">
        <v>15869</v>
      </c>
    </row>
    <row r="24" spans="1:11" x14ac:dyDescent="0.3">
      <c r="A24" s="15">
        <v>0.36</v>
      </c>
      <c r="B24" s="19">
        <v>1341</v>
      </c>
      <c r="J24" s="15" t="s">
        <v>39</v>
      </c>
      <c r="K24" s="19"/>
    </row>
    <row r="25" spans="1:11" x14ac:dyDescent="0.3">
      <c r="A25" s="15">
        <v>0.38</v>
      </c>
      <c r="B25" s="19">
        <v>521</v>
      </c>
      <c r="J25" s="15" t="s">
        <v>24</v>
      </c>
      <c r="K25" s="19">
        <v>58304</v>
      </c>
    </row>
    <row r="26" spans="1:11" x14ac:dyDescent="0.3">
      <c r="A26" s="15">
        <v>0.4</v>
      </c>
      <c r="B26" s="19">
        <v>985</v>
      </c>
    </row>
    <row r="27" spans="1:11" x14ac:dyDescent="0.3">
      <c r="A27" s="15">
        <v>0.42</v>
      </c>
      <c r="B27" s="19">
        <v>519</v>
      </c>
    </row>
    <row r="28" spans="1:11" x14ac:dyDescent="0.3">
      <c r="A28" s="15">
        <v>0.44</v>
      </c>
      <c r="B28" s="19">
        <v>194</v>
      </c>
    </row>
    <row r="29" spans="1:11" x14ac:dyDescent="0.3">
      <c r="A29" s="15">
        <v>0.46</v>
      </c>
      <c r="B29" s="19">
        <v>265</v>
      </c>
    </row>
    <row r="30" spans="1:11" x14ac:dyDescent="0.3">
      <c r="A30" s="15" t="s">
        <v>39</v>
      </c>
      <c r="B30" s="19"/>
    </row>
    <row r="31" spans="1:11" x14ac:dyDescent="0.3">
      <c r="A31" s="15" t="s">
        <v>24</v>
      </c>
      <c r="B31" s="19">
        <v>58304</v>
      </c>
    </row>
    <row r="33" spans="1:2" x14ac:dyDescent="0.3">
      <c r="A33" s="13" t="s">
        <v>23</v>
      </c>
      <c r="B33" s="14" t="s">
        <v>26</v>
      </c>
    </row>
    <row r="34" spans="1:2" x14ac:dyDescent="0.3">
      <c r="A34" s="15" t="s">
        <v>40</v>
      </c>
      <c r="B34" s="14">
        <v>61.671617161716171</v>
      </c>
    </row>
    <row r="35" spans="1:2" x14ac:dyDescent="0.3">
      <c r="A35" s="15" t="s">
        <v>41</v>
      </c>
      <c r="B35" s="14">
        <v>36</v>
      </c>
    </row>
    <row r="36" spans="1:2" x14ac:dyDescent="0.3">
      <c r="A36" s="15" t="s">
        <v>42</v>
      </c>
      <c r="B36" s="14">
        <v>33.202380952380949</v>
      </c>
    </row>
    <row r="37" spans="1:2" x14ac:dyDescent="0.3">
      <c r="A37" s="15" t="s">
        <v>43</v>
      </c>
      <c r="B37" s="14">
        <v>58.595469255663431</v>
      </c>
    </row>
    <row r="38" spans="1:2" x14ac:dyDescent="0.3">
      <c r="A38" s="15" t="s">
        <v>24</v>
      </c>
      <c r="B38" s="14">
        <v>58.304000000000002</v>
      </c>
    </row>
    <row r="41" spans="1:2" x14ac:dyDescent="0.3">
      <c r="A41" s="13" t="s">
        <v>23</v>
      </c>
      <c r="B41" s="14" t="s">
        <v>25</v>
      </c>
    </row>
    <row r="42" spans="1:2" x14ac:dyDescent="0.3">
      <c r="A42" s="15" t="s">
        <v>44</v>
      </c>
      <c r="B42" s="14">
        <v>38189</v>
      </c>
    </row>
    <row r="43" spans="1:2" x14ac:dyDescent="0.3">
      <c r="A43" s="15" t="s">
        <v>45</v>
      </c>
      <c r="B43" s="14">
        <v>20115</v>
      </c>
    </row>
    <row r="44" spans="1:2" x14ac:dyDescent="0.3">
      <c r="A44" s="15" t="s">
        <v>24</v>
      </c>
      <c r="B44" s="14">
        <v>58304</v>
      </c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C94F5D-8E75-4C5A-8E72-87DA32BBA9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Dataset_1</vt:lpstr>
      <vt:lpstr>Dataset_2</vt:lpstr>
      <vt:lpstr>Data set 1&amp; 2Merge </vt:lpstr>
      <vt:lpstr>Dataset_3</vt:lpstr>
      <vt:lpstr>Final Data set </vt:lpstr>
      <vt:lpstr>Dashboard Pivot Table &amp;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2026-03-22T06:30:29Z</dcterms:created>
  <dcterms:modified xsi:type="dcterms:W3CDTF">2026-03-27T07:12:52Z</dcterms:modified>
</cp:coreProperties>
</file>